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Catalogue" sheetId="2" state="visible" r:id="rId4"/>
    <sheet name="Bases" sheetId="3" state="visible" r:id="rId5"/>
    <sheet name="Éléments" sheetId="4" state="visible" r:id="rId6"/>
    <sheet name="Fusions" sheetId="5" state="visible" r:id="rId7"/>
    <sheet name="Constructeur" sheetId="6" state="visible" r:id="rId8"/>
    <sheet name="Rotation" sheetId="7" state="visible" r:id="rId9"/>
    <sheet name="Déblocages" sheetId="8" state="visible" r:id="rId10"/>
    <sheet name="Paramètres" sheetId="9" state="visible" r:id="rId11"/>
  </sheets>
  <definedNames>
    <definedName function="false" hidden="true" localSheetId="2" name="_xlnm._FilterDatabase" vbProcedure="false">Bases!$A$4:$P$83</definedName>
    <definedName function="false" hidden="true" localSheetId="1" name="_xlnm._FilterDatabase" vbProcedure="false">Catalogue!$A$4:$U$488</definedName>
    <definedName function="false" hidden="true" localSheetId="4" name="_xlnm._FilterDatabase" vbProcedure="false">Fusions!$A$4:$L$59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<sst xmlns="http://schemas.openxmlformats.org/spreadsheetml/2006/main" count="2326" uniqueCount="1392">
  <si>
    <t xml:space="preserve">RPG tour par tour : compétences</t>
  </si>
  <si>
    <t xml:space="preserve">Familles de compétences par classe, variantes élémentaires, fusions, déblocages et rotation.</t>
  </si>
  <si>
    <t xml:space="preserve">PRINCIPE</t>
  </si>
  <si>
    <t xml:space="preserve">3 familles par classe</t>
  </si>
  <si>
    <t xml:space="preserve">Attaque (liée à l'arme 1 : épée, bâton, arc), Soutien (liée à l'arme 2 : bouclier, orbe, carquois : buff, soin, bouclier, debuff) et Passif.</t>
  </si>
  <si>
    <t xml:space="preserve">Équipement</t>
  </si>
  <si>
    <t xml:space="preserve">3 compétences actives + 2 passives. Une seule ultime parmi les actives (réglable dans Paramètres).</t>
  </si>
  <si>
    <t xml:space="preserve">Recharge</t>
  </si>
  <si>
    <t xml:space="preserve">Calculée (Bases, col. H). Les actives du kit de départ (niveau 1) n'ont aucune recharge : utilisables à chaque action. Les autres : score = puissance × 2 si attaque de zone + valeur d'effet ; score ≤ 1,0 → recharge 1 (chaque manche), ≤ 2,4 → recharge 2 (1 manche de pause), au-delà ou ultime → recharge 3 (2 manches de pause).</t>
  </si>
  <si>
    <t xml:space="preserve">Éléments</t>
  </si>
  <si>
    <t xml:space="preserve">Chaque compétence active existe en 10 éléments. Neutre = version de départ. L'élément ajoute une altération ou un bonus (Feu : Brûlure, Glace : Froid puis Gel, Eau : Mouillé…).</t>
  </si>
  <si>
    <t xml:space="preserve">Déblocage</t>
  </si>
  <si>
    <t xml:space="preserve">Les compétences de base se débloquent par niveau (1 à 60). Un élément se débloque en terminant le dernier étage de son biome : Terre (20), Feu (30), Vent (40), Acide (50), Eau (60), Glace (70), Électricité (80), Lumière (90), Ombre (100).</t>
  </si>
  <si>
    <t xml:space="preserve">Fusions</t>
  </si>
  <si>
    <t xml:space="preserve">Deux éléments sur une même compétence (55 fusions, noms du fichier Éléments/Fusions) : puissance ×1,10 et effet propre. Disponibles à la Tour d'alchimie (étage 85 du diagramme).</t>
  </si>
  <si>
    <t xml:space="preserve">Départ</t>
  </si>
  <si>
    <t xml:space="preserve">Chaque classe commence avec 2 actives sans recharge et 1 passif, en Neutre (ex. Guerrier : Frappe rapide, Coup d'estoc, Peau dure). Coup d'estoc, Lance arcanique et Tir précis passent à 0,90 de puissance (avec leur effet) pour rester un choix face à l'attaque à 1,00.</t>
  </si>
  <si>
    <t xml:space="preserve">ONGLETS</t>
  </si>
  <si>
    <t xml:space="preserve">Catalogue</t>
  </si>
  <si>
    <t xml:space="preserve">Les 484 compétences : 45 de base × 10 éléments, 24 passifs de classe et 10 affinités élémentaires. Filtres sur chaque colonne.</t>
  </si>
  <si>
    <t xml:space="preserve">Bases</t>
  </si>
  <si>
    <t xml:space="preserve">Les 79 compétences de base (cellules jaunes) : nom, racine des variantes, cible, recharge, puissance, effet, niveau requis. Tout le reste en découle.</t>
  </si>
  <si>
    <t xml:space="preserve">Étage de déblocage, effet ajouté aux attaques, effet ajouté aux soutiens, passif d'affinité, matrice des avantages.</t>
  </si>
  <si>
    <t xml:space="preserve">Les 55 fusions avec leur effet en combat au tour par tour et l'étage où elles deviennent possibles.</t>
  </si>
  <si>
    <t xml:space="preserve">Constructeur</t>
  </si>
  <si>
    <t xml:space="preserve">Une compétence + 1 ou 2 éléments → nom, effets, puissance, dégâts estimés contre un ennemi d'un élément donné.</t>
  </si>
  <si>
    <t xml:space="preserve">Rotation</t>
  </si>
  <si>
    <t xml:space="preserve">3 actives + 2 passives : contrôles (classe, ultimes, déblocage) et simulation de 12 tours avec puissance moyenne par tour.</t>
  </si>
  <si>
    <t xml:space="preserve">Déblocages</t>
  </si>
  <si>
    <t xml:space="preserve">Combien de compétences chaque classe a à chaque étape de la tour, et le kit de départ.</t>
  </si>
  <si>
    <t xml:space="preserve">Paramètres</t>
  </si>
  <si>
    <t xml:space="preserve">Nombre d'emplacements, ultimes, ennemis par vague, repère de puissance, bonus de fusion, étage de la Tour d'alchimie.</t>
  </si>
  <si>
    <t xml:space="preserve">ÉQUILIBRAGE</t>
  </si>
  <si>
    <t xml:space="preserve">Repère</t>
  </si>
  <si>
    <t xml:space="preserve">Le bestiaire calibre les PV des monstres sur 1,5 × la stat d'attaque par tour. Une rotation ultime + compétence à 2 tours + compétence à 1 tour donne ~1,9 ; avec un soutien à la place, ~1,6.</t>
  </si>
  <si>
    <t xml:space="preserve">Puissances</t>
  </si>
  <si>
    <t xml:space="preserve">Sans recharge (départ) : ~0,9 à 1,0 ; recharge 1 : ~1,0 ; recharge 2 : ~1,5 à 1,8 (mono) ou ~0,8 à 0,95 sur toute la vague ; ultime : 2,8 à 3,0 (mono) ou ~1,5 à 1,6 (zone).</t>
  </si>
  <si>
    <t xml:space="preserve">Altérations</t>
  </si>
  <si>
    <t xml:space="preserve">Mêmes règles que le bestiaire : cumul max, durée, contrôles divisés par 2 sur les boss, jamais d'immunité totale.</t>
  </si>
  <si>
    <t xml:space="preserve">HYPOTHÈSES À VALIDER</t>
  </si>
  <si>
    <t xml:space="preserve">Stat du Tireur</t>
  </si>
  <si>
    <t xml:space="preserve">Le Tireur utilise la Force pour ses dégâts (et l'Agilité, la Précision et les critiques via l'équipement). À changer si tu préfères l'Agilité.</t>
  </si>
  <si>
    <t xml:space="preserve">Actions et mana</t>
  </si>
  <si>
    <t xml:space="preserve">Pas de mana : seules les recharges limitent les compétences. Solo : 3 actions par manche pour toute l'équipe (1 à 3 personnages). Multi : 3 actions par joueur. Une compétence à recharge ne peut être lancée qu'une fois par manche ; celles du kit de départ, sans recharge, autant de fois que voulu.</t>
  </si>
  <si>
    <t xml:space="preserve">Fusions tardives</t>
  </si>
  <si>
    <t xml:space="preserve">Le diagramme place la Tour d'alchimie à l'étage 85 : les fusions arrivent donc en fin de tour. Mettre 0 dans Paramètres pour les autoriser plus tôt.</t>
  </si>
  <si>
    <t xml:space="preserve">Ombre</t>
  </si>
  <si>
    <t xml:space="preserve">L'Ombre se débloque en finissant la tour (étage 100) : c'est une récompense de fin de jeu.</t>
  </si>
  <si>
    <t xml:space="preserve">LÉGENDE</t>
  </si>
  <si>
    <t xml:space="preserve">Cellule jaune, texte bleu</t>
  </si>
  <si>
    <t xml:space="preserve">Valeur modifiable. Les autres cellules sont des formules : ne pas les écraser. Fond orange = ultime.</t>
  </si>
  <si>
    <t xml:space="preserve">Catalogue des compétences et de leurs variantes élémentaires</t>
  </si>
  <si>
    <t xml:space="preserve">Chaque compétence active existe en 10 éléments (Neutre = version de départ). Passifs de classe et affinités élémentaires en fin de liste. Filtres sur chaque colonne.</t>
  </si>
  <si>
    <t xml:space="preserve">ID</t>
  </si>
  <si>
    <t xml:space="preserve">Classe</t>
  </si>
  <si>
    <t xml:space="preserve">Famille</t>
  </si>
  <si>
    <t xml:space="preserve">Type</t>
  </si>
  <si>
    <t xml:space="preserve">Compétence de base</t>
  </si>
  <si>
    <t xml:space="preserve">Élément</t>
  </si>
  <si>
    <t xml:space="preserve">Nom</t>
  </si>
  <si>
    <t xml:space="preserve">Cible</t>
  </si>
  <si>
    <t xml:space="preserve">Recharge (tours)</t>
  </si>
  <si>
    <t xml:space="preserve">Ultime</t>
  </si>
  <si>
    <t xml:space="preserve">Puissance (× stat)</t>
  </si>
  <si>
    <t xml:space="preserve">Stat</t>
  </si>
  <si>
    <t xml:space="preserve">Effet de base</t>
  </si>
  <si>
    <t xml:space="preserve">Effet de l’élément</t>
  </si>
  <si>
    <t xml:space="preserve">Déclenchement</t>
  </si>
  <si>
    <t xml:space="preserve">Niveau requis</t>
  </si>
  <si>
    <t xml:space="preserve">Étage à terminer</t>
  </si>
  <si>
    <t xml:space="preserve">Disponible</t>
  </si>
  <si>
    <t xml:space="preserve">Puissance par tour (vague)</t>
  </si>
  <si>
    <t xml:space="preserve">(aide) N° base</t>
  </si>
  <si>
    <t xml:space="preserve">(aide) N° élément</t>
  </si>
  <si>
    <t xml:space="preserve">GUE-A01-NEU</t>
  </si>
  <si>
    <t xml:space="preserve">GUE-A01-TER</t>
  </si>
  <si>
    <t xml:space="preserve">GUE-A01-FEU</t>
  </si>
  <si>
    <t xml:space="preserve">GUE-A01-VEN</t>
  </si>
  <si>
    <t xml:space="preserve">GUE-A01-ACI</t>
  </si>
  <si>
    <t xml:space="preserve">GUE-A01-EAU</t>
  </si>
  <si>
    <t xml:space="preserve">GUE-A01-GLA</t>
  </si>
  <si>
    <t xml:space="preserve">GUE-A01-ELE</t>
  </si>
  <si>
    <t xml:space="preserve">GUE-A01-LUM</t>
  </si>
  <si>
    <t xml:space="preserve">GUE-A01-OMB</t>
  </si>
  <si>
    <t xml:space="preserve">GUE-A02-NEU</t>
  </si>
  <si>
    <t xml:space="preserve">GUE-A02-TER</t>
  </si>
  <si>
    <t xml:space="preserve">GUE-A02-FEU</t>
  </si>
  <si>
    <t xml:space="preserve">GUE-A02-VEN</t>
  </si>
  <si>
    <t xml:space="preserve">GUE-A02-ACI</t>
  </si>
  <si>
    <t xml:space="preserve">GUE-A02-EAU</t>
  </si>
  <si>
    <t xml:space="preserve">GUE-A02-GLA</t>
  </si>
  <si>
    <t xml:space="preserve">GUE-A02-ELE</t>
  </si>
  <si>
    <t xml:space="preserve">GUE-A02-LUM</t>
  </si>
  <si>
    <t xml:space="preserve">GUE-A02-OMB</t>
  </si>
  <si>
    <t xml:space="preserve">GUE-A03-NEU</t>
  </si>
  <si>
    <t xml:space="preserve">GUE-A03-TER</t>
  </si>
  <si>
    <t xml:space="preserve">GUE-A03-FEU</t>
  </si>
  <si>
    <t xml:space="preserve">GUE-A03-VEN</t>
  </si>
  <si>
    <t xml:space="preserve">GUE-A03-ACI</t>
  </si>
  <si>
    <t xml:space="preserve">GUE-A03-EAU</t>
  </si>
  <si>
    <t xml:space="preserve">GUE-A03-GLA</t>
  </si>
  <si>
    <t xml:space="preserve">GUE-A03-ELE</t>
  </si>
  <si>
    <t xml:space="preserve">GUE-A03-LUM</t>
  </si>
  <si>
    <t xml:space="preserve">GUE-A03-OMB</t>
  </si>
  <si>
    <t xml:space="preserve">GUE-A04-NEU</t>
  </si>
  <si>
    <t xml:space="preserve">GUE-A04-TER</t>
  </si>
  <si>
    <t xml:space="preserve">GUE-A04-FEU</t>
  </si>
  <si>
    <t xml:space="preserve">GUE-A04-VEN</t>
  </si>
  <si>
    <t xml:space="preserve">GUE-A04-ACI</t>
  </si>
  <si>
    <t xml:space="preserve">GUE-A04-EAU</t>
  </si>
  <si>
    <t xml:space="preserve">GUE-A04-GLA</t>
  </si>
  <si>
    <t xml:space="preserve">GUE-A04-ELE</t>
  </si>
  <si>
    <t xml:space="preserve">GUE-A04-LUM</t>
  </si>
  <si>
    <t xml:space="preserve">GUE-A04-OMB</t>
  </si>
  <si>
    <t xml:space="preserve">GUE-A05-NEU</t>
  </si>
  <si>
    <t xml:space="preserve">GUE-A05-TER</t>
  </si>
  <si>
    <t xml:space="preserve">GUE-A05-FEU</t>
  </si>
  <si>
    <t xml:space="preserve">GUE-A05-VEN</t>
  </si>
  <si>
    <t xml:space="preserve">GUE-A05-ACI</t>
  </si>
  <si>
    <t xml:space="preserve">GUE-A05-EAU</t>
  </si>
  <si>
    <t xml:space="preserve">GUE-A05-GLA</t>
  </si>
  <si>
    <t xml:space="preserve">GUE-A05-ELE</t>
  </si>
  <si>
    <t xml:space="preserve">GUE-A05-LUM</t>
  </si>
  <si>
    <t xml:space="preserve">GUE-A05-OMB</t>
  </si>
  <si>
    <t xml:space="preserve">GUE-A06-NEU</t>
  </si>
  <si>
    <t xml:space="preserve">GUE-A06-TER</t>
  </si>
  <si>
    <t xml:space="preserve">GUE-A06-FEU</t>
  </si>
  <si>
    <t xml:space="preserve">GUE-A06-VEN</t>
  </si>
  <si>
    <t xml:space="preserve">GUE-A06-ACI</t>
  </si>
  <si>
    <t xml:space="preserve">GUE-A06-EAU</t>
  </si>
  <si>
    <t xml:space="preserve">GUE-A06-GLA</t>
  </si>
  <si>
    <t xml:space="preserve">GUE-A06-ELE</t>
  </si>
  <si>
    <t xml:space="preserve">GUE-A06-LUM</t>
  </si>
  <si>
    <t xml:space="preserve">GUE-A06-OMB</t>
  </si>
  <si>
    <t xml:space="preserve">GUE-A07-NEU</t>
  </si>
  <si>
    <t xml:space="preserve">GUE-A07-TER</t>
  </si>
  <si>
    <t xml:space="preserve">GUE-A07-FEU</t>
  </si>
  <si>
    <t xml:space="preserve">GUE-A07-VEN</t>
  </si>
  <si>
    <t xml:space="preserve">GUE-A07-ACI</t>
  </si>
  <si>
    <t xml:space="preserve">GUE-A07-EAU</t>
  </si>
  <si>
    <t xml:space="preserve">GUE-A07-GLA</t>
  </si>
  <si>
    <t xml:space="preserve">GUE-A07-ELE</t>
  </si>
  <si>
    <t xml:space="preserve">GUE-A07-LUM</t>
  </si>
  <si>
    <t xml:space="preserve">GUE-A07-OMB</t>
  </si>
  <si>
    <t xml:space="preserve">GUE-A08-NEU</t>
  </si>
  <si>
    <t xml:space="preserve">GUE-A08-TER</t>
  </si>
  <si>
    <t xml:space="preserve">GUE-A08-FEU</t>
  </si>
  <si>
    <t xml:space="preserve">GUE-A08-VEN</t>
  </si>
  <si>
    <t xml:space="preserve">GUE-A08-ACI</t>
  </si>
  <si>
    <t xml:space="preserve">GUE-A08-EAU</t>
  </si>
  <si>
    <t xml:space="preserve">GUE-A08-GLA</t>
  </si>
  <si>
    <t xml:space="preserve">GUE-A08-ELE</t>
  </si>
  <si>
    <t xml:space="preserve">GUE-A08-LUM</t>
  </si>
  <si>
    <t xml:space="preserve">GUE-A08-OMB</t>
  </si>
  <si>
    <t xml:space="preserve">GUE-S01-NEU</t>
  </si>
  <si>
    <t xml:space="preserve">GUE-S01-TER</t>
  </si>
  <si>
    <t xml:space="preserve">GUE-S01-FEU</t>
  </si>
  <si>
    <t xml:space="preserve">GUE-S01-VEN</t>
  </si>
  <si>
    <t xml:space="preserve">GUE-S01-ACI</t>
  </si>
  <si>
    <t xml:space="preserve">GUE-S01-EAU</t>
  </si>
  <si>
    <t xml:space="preserve">GUE-S01-GLA</t>
  </si>
  <si>
    <t xml:space="preserve">GUE-S01-ELE</t>
  </si>
  <si>
    <t xml:space="preserve">GUE-S01-LUM</t>
  </si>
  <si>
    <t xml:space="preserve">GUE-S01-OMB</t>
  </si>
  <si>
    <t xml:space="preserve">GUE-S02-NEU</t>
  </si>
  <si>
    <t xml:space="preserve">GUE-S02-TER</t>
  </si>
  <si>
    <t xml:space="preserve">GUE-S02-FEU</t>
  </si>
  <si>
    <t xml:space="preserve">GUE-S02-VEN</t>
  </si>
  <si>
    <t xml:space="preserve">GUE-S02-ACI</t>
  </si>
  <si>
    <t xml:space="preserve">GUE-S02-EAU</t>
  </si>
  <si>
    <t xml:space="preserve">GUE-S02-GLA</t>
  </si>
  <si>
    <t xml:space="preserve">GUE-S02-ELE</t>
  </si>
  <si>
    <t xml:space="preserve">GUE-S02-LUM</t>
  </si>
  <si>
    <t xml:space="preserve">GUE-S02-OMB</t>
  </si>
  <si>
    <t xml:space="preserve">GUE-S03-NEU</t>
  </si>
  <si>
    <t xml:space="preserve">GUE-S03-TER</t>
  </si>
  <si>
    <t xml:space="preserve">GUE-S03-FEU</t>
  </si>
  <si>
    <t xml:space="preserve">GUE-S03-VEN</t>
  </si>
  <si>
    <t xml:space="preserve">GUE-S03-ACI</t>
  </si>
  <si>
    <t xml:space="preserve">GUE-S03-EAU</t>
  </si>
  <si>
    <t xml:space="preserve">GUE-S03-GLA</t>
  </si>
  <si>
    <t xml:space="preserve">GUE-S03-ELE</t>
  </si>
  <si>
    <t xml:space="preserve">GUE-S03-LUM</t>
  </si>
  <si>
    <t xml:space="preserve">GUE-S03-OMB</t>
  </si>
  <si>
    <t xml:space="preserve">GUE-S04-NEU</t>
  </si>
  <si>
    <t xml:space="preserve">GUE-S04-TER</t>
  </si>
  <si>
    <t xml:space="preserve">GUE-S04-FEU</t>
  </si>
  <si>
    <t xml:space="preserve">GUE-S04-VEN</t>
  </si>
  <si>
    <t xml:space="preserve">GUE-S04-ACI</t>
  </si>
  <si>
    <t xml:space="preserve">GUE-S04-EAU</t>
  </si>
  <si>
    <t xml:space="preserve">GUE-S04-GLA</t>
  </si>
  <si>
    <t xml:space="preserve">GUE-S04-ELE</t>
  </si>
  <si>
    <t xml:space="preserve">GUE-S04-LUM</t>
  </si>
  <si>
    <t xml:space="preserve">GUE-S04-OMB</t>
  </si>
  <si>
    <t xml:space="preserve">GUE-S05-NEU</t>
  </si>
  <si>
    <t xml:space="preserve">GUE-S05-TER</t>
  </si>
  <si>
    <t xml:space="preserve">GUE-S05-FEU</t>
  </si>
  <si>
    <t xml:space="preserve">GUE-S05-VEN</t>
  </si>
  <si>
    <t xml:space="preserve">GUE-S05-ACI</t>
  </si>
  <si>
    <t xml:space="preserve">GUE-S05-EAU</t>
  </si>
  <si>
    <t xml:space="preserve">GUE-S05-GLA</t>
  </si>
  <si>
    <t xml:space="preserve">GUE-S05-ELE</t>
  </si>
  <si>
    <t xml:space="preserve">GUE-S05-LUM</t>
  </si>
  <si>
    <t xml:space="preserve">GUE-S05-OMB</t>
  </si>
  <si>
    <t xml:space="preserve">GUE-S06-NEU</t>
  </si>
  <si>
    <t xml:space="preserve">GUE-S06-TER</t>
  </si>
  <si>
    <t xml:space="preserve">GUE-S06-FEU</t>
  </si>
  <si>
    <t xml:space="preserve">GUE-S06-VEN</t>
  </si>
  <si>
    <t xml:space="preserve">GUE-S06-ACI</t>
  </si>
  <si>
    <t xml:space="preserve">GUE-S06-EAU</t>
  </si>
  <si>
    <t xml:space="preserve">GUE-S06-GLA</t>
  </si>
  <si>
    <t xml:space="preserve">GUE-S06-ELE</t>
  </si>
  <si>
    <t xml:space="preserve">GUE-S06-LUM</t>
  </si>
  <si>
    <t xml:space="preserve">GUE-S06-OMB</t>
  </si>
  <si>
    <t xml:space="preserve">GUE-S07-NEU</t>
  </si>
  <si>
    <t xml:space="preserve">GUE-S07-TER</t>
  </si>
  <si>
    <t xml:space="preserve">GUE-S07-FEU</t>
  </si>
  <si>
    <t xml:space="preserve">GUE-S07-VEN</t>
  </si>
  <si>
    <t xml:space="preserve">GUE-S07-ACI</t>
  </si>
  <si>
    <t xml:space="preserve">GUE-S07-EAU</t>
  </si>
  <si>
    <t xml:space="preserve">GUE-S07-GLA</t>
  </si>
  <si>
    <t xml:space="preserve">GUE-S07-ELE</t>
  </si>
  <si>
    <t xml:space="preserve">GUE-S07-LUM</t>
  </si>
  <si>
    <t xml:space="preserve">GUE-S07-OMB</t>
  </si>
  <si>
    <t xml:space="preserve">GUE-P01</t>
  </si>
  <si>
    <t xml:space="preserve">GUE-P02</t>
  </si>
  <si>
    <t xml:space="preserve">GUE-P03</t>
  </si>
  <si>
    <t xml:space="preserve">GUE-P04</t>
  </si>
  <si>
    <t xml:space="preserve">GUE-P05</t>
  </si>
  <si>
    <t xml:space="preserve">GUE-P06</t>
  </si>
  <si>
    <t xml:space="preserve">GUE-P07</t>
  </si>
  <si>
    <t xml:space="preserve">GUE-P08</t>
  </si>
  <si>
    <t xml:space="preserve">MAG-A01-NEU</t>
  </si>
  <si>
    <t xml:space="preserve">MAG-A01-TER</t>
  </si>
  <si>
    <t xml:space="preserve">MAG-A01-FEU</t>
  </si>
  <si>
    <t xml:space="preserve">MAG-A01-VEN</t>
  </si>
  <si>
    <t xml:space="preserve">MAG-A01-ACI</t>
  </si>
  <si>
    <t xml:space="preserve">MAG-A01-EAU</t>
  </si>
  <si>
    <t xml:space="preserve">MAG-A01-GLA</t>
  </si>
  <si>
    <t xml:space="preserve">MAG-A01-ELE</t>
  </si>
  <si>
    <t xml:space="preserve">MAG-A01-LUM</t>
  </si>
  <si>
    <t xml:space="preserve">MAG-A01-OMB</t>
  </si>
  <si>
    <t xml:space="preserve">MAG-A02-NEU</t>
  </si>
  <si>
    <t xml:space="preserve">MAG-A02-TER</t>
  </si>
  <si>
    <t xml:space="preserve">MAG-A02-FEU</t>
  </si>
  <si>
    <t xml:space="preserve">MAG-A02-VEN</t>
  </si>
  <si>
    <t xml:space="preserve">MAG-A02-ACI</t>
  </si>
  <si>
    <t xml:space="preserve">MAG-A02-EAU</t>
  </si>
  <si>
    <t xml:space="preserve">MAG-A02-GLA</t>
  </si>
  <si>
    <t xml:space="preserve">MAG-A02-ELE</t>
  </si>
  <si>
    <t xml:space="preserve">MAG-A02-LUM</t>
  </si>
  <si>
    <t xml:space="preserve">MAG-A02-OMB</t>
  </si>
  <si>
    <t xml:space="preserve">MAG-A03-NEU</t>
  </si>
  <si>
    <t xml:space="preserve">MAG-A03-TER</t>
  </si>
  <si>
    <t xml:space="preserve">MAG-A03-FEU</t>
  </si>
  <si>
    <t xml:space="preserve">MAG-A03-VEN</t>
  </si>
  <si>
    <t xml:space="preserve">MAG-A03-ACI</t>
  </si>
  <si>
    <t xml:space="preserve">MAG-A03-EAU</t>
  </si>
  <si>
    <t xml:space="preserve">MAG-A03-GLA</t>
  </si>
  <si>
    <t xml:space="preserve">MAG-A03-ELE</t>
  </si>
  <si>
    <t xml:space="preserve">MAG-A03-LUM</t>
  </si>
  <si>
    <t xml:space="preserve">MAG-A03-OMB</t>
  </si>
  <si>
    <t xml:space="preserve">MAG-A04-NEU</t>
  </si>
  <si>
    <t xml:space="preserve">MAG-A04-TER</t>
  </si>
  <si>
    <t xml:space="preserve">MAG-A04-FEU</t>
  </si>
  <si>
    <t xml:space="preserve">MAG-A04-VEN</t>
  </si>
  <si>
    <t xml:space="preserve">MAG-A04-ACI</t>
  </si>
  <si>
    <t xml:space="preserve">MAG-A04-EAU</t>
  </si>
  <si>
    <t xml:space="preserve">MAG-A04-GLA</t>
  </si>
  <si>
    <t xml:space="preserve">MAG-A04-ELE</t>
  </si>
  <si>
    <t xml:space="preserve">MAG-A04-LUM</t>
  </si>
  <si>
    <t xml:space="preserve">MAG-A04-OMB</t>
  </si>
  <si>
    <t xml:space="preserve">MAG-A05-NEU</t>
  </si>
  <si>
    <t xml:space="preserve">MAG-A05-TER</t>
  </si>
  <si>
    <t xml:space="preserve">MAG-A05-FEU</t>
  </si>
  <si>
    <t xml:space="preserve">MAG-A05-VEN</t>
  </si>
  <si>
    <t xml:space="preserve">MAG-A05-ACI</t>
  </si>
  <si>
    <t xml:space="preserve">MAG-A05-EAU</t>
  </si>
  <si>
    <t xml:space="preserve">MAG-A05-GLA</t>
  </si>
  <si>
    <t xml:space="preserve">MAG-A05-ELE</t>
  </si>
  <si>
    <t xml:space="preserve">MAG-A05-LUM</t>
  </si>
  <si>
    <t xml:space="preserve">MAG-A05-OMB</t>
  </si>
  <si>
    <t xml:space="preserve">MAG-A06-NEU</t>
  </si>
  <si>
    <t xml:space="preserve">MAG-A06-TER</t>
  </si>
  <si>
    <t xml:space="preserve">MAG-A06-FEU</t>
  </si>
  <si>
    <t xml:space="preserve">MAG-A06-VEN</t>
  </si>
  <si>
    <t xml:space="preserve">MAG-A06-ACI</t>
  </si>
  <si>
    <t xml:space="preserve">MAG-A06-EAU</t>
  </si>
  <si>
    <t xml:space="preserve">MAG-A06-GLA</t>
  </si>
  <si>
    <t xml:space="preserve">MAG-A06-ELE</t>
  </si>
  <si>
    <t xml:space="preserve">MAG-A06-LUM</t>
  </si>
  <si>
    <t xml:space="preserve">MAG-A06-OMB</t>
  </si>
  <si>
    <t xml:space="preserve">MAG-A07-NEU</t>
  </si>
  <si>
    <t xml:space="preserve">MAG-A07-TER</t>
  </si>
  <si>
    <t xml:space="preserve">MAG-A07-FEU</t>
  </si>
  <si>
    <t xml:space="preserve">MAG-A07-VEN</t>
  </si>
  <si>
    <t xml:space="preserve">MAG-A07-ACI</t>
  </si>
  <si>
    <t xml:space="preserve">MAG-A07-EAU</t>
  </si>
  <si>
    <t xml:space="preserve">MAG-A07-GLA</t>
  </si>
  <si>
    <t xml:space="preserve">MAG-A07-ELE</t>
  </si>
  <si>
    <t xml:space="preserve">MAG-A07-LUM</t>
  </si>
  <si>
    <t xml:space="preserve">MAG-A07-OMB</t>
  </si>
  <si>
    <t xml:space="preserve">MAG-A08-NEU</t>
  </si>
  <si>
    <t xml:space="preserve">MAG-A08-TER</t>
  </si>
  <si>
    <t xml:space="preserve">MAG-A08-FEU</t>
  </si>
  <si>
    <t xml:space="preserve">MAG-A08-VEN</t>
  </si>
  <si>
    <t xml:space="preserve">MAG-A08-ACI</t>
  </si>
  <si>
    <t xml:space="preserve">MAG-A08-EAU</t>
  </si>
  <si>
    <t xml:space="preserve">MAG-A08-GLA</t>
  </si>
  <si>
    <t xml:space="preserve">MAG-A08-ELE</t>
  </si>
  <si>
    <t xml:space="preserve">MAG-A08-LUM</t>
  </si>
  <si>
    <t xml:space="preserve">MAG-A08-OMB</t>
  </si>
  <si>
    <t xml:space="preserve">MAG-S01-NEU</t>
  </si>
  <si>
    <t xml:space="preserve">MAG-S01-TER</t>
  </si>
  <si>
    <t xml:space="preserve">MAG-S01-FEU</t>
  </si>
  <si>
    <t xml:space="preserve">MAG-S01-VEN</t>
  </si>
  <si>
    <t xml:space="preserve">MAG-S01-ACI</t>
  </si>
  <si>
    <t xml:space="preserve">MAG-S01-EAU</t>
  </si>
  <si>
    <t xml:space="preserve">MAG-S01-GLA</t>
  </si>
  <si>
    <t xml:space="preserve">MAG-S01-ELE</t>
  </si>
  <si>
    <t xml:space="preserve">MAG-S01-LUM</t>
  </si>
  <si>
    <t xml:space="preserve">MAG-S01-OMB</t>
  </si>
  <si>
    <t xml:space="preserve">MAG-S02-NEU</t>
  </si>
  <si>
    <t xml:space="preserve">MAG-S02-TER</t>
  </si>
  <si>
    <t xml:space="preserve">MAG-S02-FEU</t>
  </si>
  <si>
    <t xml:space="preserve">MAG-S02-VEN</t>
  </si>
  <si>
    <t xml:space="preserve">MAG-S02-ACI</t>
  </si>
  <si>
    <t xml:space="preserve">MAG-S02-EAU</t>
  </si>
  <si>
    <t xml:space="preserve">MAG-S02-GLA</t>
  </si>
  <si>
    <t xml:space="preserve">MAG-S02-ELE</t>
  </si>
  <si>
    <t xml:space="preserve">MAG-S02-LUM</t>
  </si>
  <si>
    <t xml:space="preserve">MAG-S02-OMB</t>
  </si>
  <si>
    <t xml:space="preserve">MAG-S03-NEU</t>
  </si>
  <si>
    <t xml:space="preserve">MAG-S03-TER</t>
  </si>
  <si>
    <t xml:space="preserve">MAG-S03-FEU</t>
  </si>
  <si>
    <t xml:space="preserve">MAG-S03-VEN</t>
  </si>
  <si>
    <t xml:space="preserve">MAG-S03-ACI</t>
  </si>
  <si>
    <t xml:space="preserve">MAG-S03-EAU</t>
  </si>
  <si>
    <t xml:space="preserve">MAG-S03-GLA</t>
  </si>
  <si>
    <t xml:space="preserve">MAG-S03-ELE</t>
  </si>
  <si>
    <t xml:space="preserve">MAG-S03-LUM</t>
  </si>
  <si>
    <t xml:space="preserve">MAG-S03-OMB</t>
  </si>
  <si>
    <t xml:space="preserve">MAG-S04-NEU</t>
  </si>
  <si>
    <t xml:space="preserve">MAG-S04-TER</t>
  </si>
  <si>
    <t xml:space="preserve">MAG-S04-FEU</t>
  </si>
  <si>
    <t xml:space="preserve">MAG-S04-VEN</t>
  </si>
  <si>
    <t xml:space="preserve">MAG-S04-ACI</t>
  </si>
  <si>
    <t xml:space="preserve">MAG-S04-EAU</t>
  </si>
  <si>
    <t xml:space="preserve">MAG-S04-GLA</t>
  </si>
  <si>
    <t xml:space="preserve">MAG-S04-ELE</t>
  </si>
  <si>
    <t xml:space="preserve">MAG-S04-LUM</t>
  </si>
  <si>
    <t xml:space="preserve">MAG-S04-OMB</t>
  </si>
  <si>
    <t xml:space="preserve">MAG-S05-NEU</t>
  </si>
  <si>
    <t xml:space="preserve">MAG-S05-TER</t>
  </si>
  <si>
    <t xml:space="preserve">MAG-S05-FEU</t>
  </si>
  <si>
    <t xml:space="preserve">MAG-S05-VEN</t>
  </si>
  <si>
    <t xml:space="preserve">MAG-S05-ACI</t>
  </si>
  <si>
    <t xml:space="preserve">MAG-S05-EAU</t>
  </si>
  <si>
    <t xml:space="preserve">MAG-S05-GLA</t>
  </si>
  <si>
    <t xml:space="preserve">MAG-S05-ELE</t>
  </si>
  <si>
    <t xml:space="preserve">MAG-S05-LUM</t>
  </si>
  <si>
    <t xml:space="preserve">MAG-S05-OMB</t>
  </si>
  <si>
    <t xml:space="preserve">MAG-S06-NEU</t>
  </si>
  <si>
    <t xml:space="preserve">MAG-S06-TER</t>
  </si>
  <si>
    <t xml:space="preserve">MAG-S06-FEU</t>
  </si>
  <si>
    <t xml:space="preserve">MAG-S06-VEN</t>
  </si>
  <si>
    <t xml:space="preserve">MAG-S06-ACI</t>
  </si>
  <si>
    <t xml:space="preserve">MAG-S06-EAU</t>
  </si>
  <si>
    <t xml:space="preserve">MAG-S06-GLA</t>
  </si>
  <si>
    <t xml:space="preserve">MAG-S06-ELE</t>
  </si>
  <si>
    <t xml:space="preserve">MAG-S06-LUM</t>
  </si>
  <si>
    <t xml:space="preserve">MAG-S06-OMB</t>
  </si>
  <si>
    <t xml:space="preserve">MAG-S07-NEU</t>
  </si>
  <si>
    <t xml:space="preserve">MAG-S07-TER</t>
  </si>
  <si>
    <t xml:space="preserve">MAG-S07-FEU</t>
  </si>
  <si>
    <t xml:space="preserve">MAG-S07-VEN</t>
  </si>
  <si>
    <t xml:space="preserve">MAG-S07-ACI</t>
  </si>
  <si>
    <t xml:space="preserve">MAG-S07-EAU</t>
  </si>
  <si>
    <t xml:space="preserve">MAG-S07-GLA</t>
  </si>
  <si>
    <t xml:space="preserve">MAG-S07-ELE</t>
  </si>
  <si>
    <t xml:space="preserve">MAG-S07-LUM</t>
  </si>
  <si>
    <t xml:space="preserve">MAG-S07-OMB</t>
  </si>
  <si>
    <t xml:space="preserve">MAG-P01</t>
  </si>
  <si>
    <t xml:space="preserve">MAG-P02</t>
  </si>
  <si>
    <t xml:space="preserve">MAG-P03</t>
  </si>
  <si>
    <t xml:space="preserve">MAG-P04</t>
  </si>
  <si>
    <t xml:space="preserve">MAG-P05</t>
  </si>
  <si>
    <t xml:space="preserve">MAG-P06</t>
  </si>
  <si>
    <t xml:space="preserve">MAG-P07</t>
  </si>
  <si>
    <t xml:space="preserve">MAG-P08</t>
  </si>
  <si>
    <t xml:space="preserve">TIR-A01-NEU</t>
  </si>
  <si>
    <t xml:space="preserve">TIR-A01-TER</t>
  </si>
  <si>
    <t xml:space="preserve">TIR-A01-FEU</t>
  </si>
  <si>
    <t xml:space="preserve">TIR-A01-VEN</t>
  </si>
  <si>
    <t xml:space="preserve">TIR-A01-ACI</t>
  </si>
  <si>
    <t xml:space="preserve">TIR-A01-EAU</t>
  </si>
  <si>
    <t xml:space="preserve">TIR-A01-GLA</t>
  </si>
  <si>
    <t xml:space="preserve">TIR-A01-ELE</t>
  </si>
  <si>
    <t xml:space="preserve">TIR-A01-LUM</t>
  </si>
  <si>
    <t xml:space="preserve">TIR-A01-OMB</t>
  </si>
  <si>
    <t xml:space="preserve">TIR-A02-NEU</t>
  </si>
  <si>
    <t xml:space="preserve">TIR-A02-TER</t>
  </si>
  <si>
    <t xml:space="preserve">TIR-A02-FEU</t>
  </si>
  <si>
    <t xml:space="preserve">TIR-A02-VEN</t>
  </si>
  <si>
    <t xml:space="preserve">TIR-A02-ACI</t>
  </si>
  <si>
    <t xml:space="preserve">TIR-A02-EAU</t>
  </si>
  <si>
    <t xml:space="preserve">TIR-A02-GLA</t>
  </si>
  <si>
    <t xml:space="preserve">TIR-A02-ELE</t>
  </si>
  <si>
    <t xml:space="preserve">TIR-A02-LUM</t>
  </si>
  <si>
    <t xml:space="preserve">TIR-A02-OMB</t>
  </si>
  <si>
    <t xml:space="preserve">TIR-A03-NEU</t>
  </si>
  <si>
    <t xml:space="preserve">TIR-A03-TER</t>
  </si>
  <si>
    <t xml:space="preserve">TIR-A03-FEU</t>
  </si>
  <si>
    <t xml:space="preserve">TIR-A03-VEN</t>
  </si>
  <si>
    <t xml:space="preserve">TIR-A03-ACI</t>
  </si>
  <si>
    <t xml:space="preserve">TIR-A03-EAU</t>
  </si>
  <si>
    <t xml:space="preserve">TIR-A03-GLA</t>
  </si>
  <si>
    <t xml:space="preserve">TIR-A03-ELE</t>
  </si>
  <si>
    <t xml:space="preserve">TIR-A03-LUM</t>
  </si>
  <si>
    <t xml:space="preserve">TIR-A03-OMB</t>
  </si>
  <si>
    <t xml:space="preserve">TIR-A04-NEU</t>
  </si>
  <si>
    <t xml:space="preserve">TIR-A04-TER</t>
  </si>
  <si>
    <t xml:space="preserve">TIR-A04-FEU</t>
  </si>
  <si>
    <t xml:space="preserve">TIR-A04-VEN</t>
  </si>
  <si>
    <t xml:space="preserve">TIR-A04-ACI</t>
  </si>
  <si>
    <t xml:space="preserve">TIR-A04-EAU</t>
  </si>
  <si>
    <t xml:space="preserve">TIR-A04-GLA</t>
  </si>
  <si>
    <t xml:space="preserve">TIR-A04-ELE</t>
  </si>
  <si>
    <t xml:space="preserve">TIR-A04-LUM</t>
  </si>
  <si>
    <t xml:space="preserve">TIR-A04-OMB</t>
  </si>
  <si>
    <t xml:space="preserve">TIR-A05-NEU</t>
  </si>
  <si>
    <t xml:space="preserve">TIR-A05-TER</t>
  </si>
  <si>
    <t xml:space="preserve">TIR-A05-FEU</t>
  </si>
  <si>
    <t xml:space="preserve">TIR-A05-VEN</t>
  </si>
  <si>
    <t xml:space="preserve">TIR-A05-ACI</t>
  </si>
  <si>
    <t xml:space="preserve">TIR-A05-EAU</t>
  </si>
  <si>
    <t xml:space="preserve">TIR-A05-GLA</t>
  </si>
  <si>
    <t xml:space="preserve">TIR-A05-ELE</t>
  </si>
  <si>
    <t xml:space="preserve">TIR-A05-LUM</t>
  </si>
  <si>
    <t xml:space="preserve">TIR-A05-OMB</t>
  </si>
  <si>
    <t xml:space="preserve">TIR-A06-NEU</t>
  </si>
  <si>
    <t xml:space="preserve">TIR-A06-TER</t>
  </si>
  <si>
    <t xml:space="preserve">TIR-A06-FEU</t>
  </si>
  <si>
    <t xml:space="preserve">TIR-A06-VEN</t>
  </si>
  <si>
    <t xml:space="preserve">TIR-A06-ACI</t>
  </si>
  <si>
    <t xml:space="preserve">TIR-A06-EAU</t>
  </si>
  <si>
    <t xml:space="preserve">TIR-A06-GLA</t>
  </si>
  <si>
    <t xml:space="preserve">TIR-A06-ELE</t>
  </si>
  <si>
    <t xml:space="preserve">TIR-A06-LUM</t>
  </si>
  <si>
    <t xml:space="preserve">TIR-A06-OMB</t>
  </si>
  <si>
    <t xml:space="preserve">TIR-A07-NEU</t>
  </si>
  <si>
    <t xml:space="preserve">TIR-A07-TER</t>
  </si>
  <si>
    <t xml:space="preserve">TIR-A07-FEU</t>
  </si>
  <si>
    <t xml:space="preserve">TIR-A07-VEN</t>
  </si>
  <si>
    <t xml:space="preserve">TIR-A07-ACI</t>
  </si>
  <si>
    <t xml:space="preserve">TIR-A07-EAU</t>
  </si>
  <si>
    <t xml:space="preserve">TIR-A07-GLA</t>
  </si>
  <si>
    <t xml:space="preserve">TIR-A07-ELE</t>
  </si>
  <si>
    <t xml:space="preserve">TIR-A07-LUM</t>
  </si>
  <si>
    <t xml:space="preserve">TIR-A07-OMB</t>
  </si>
  <si>
    <t xml:space="preserve">TIR-A08-NEU</t>
  </si>
  <si>
    <t xml:space="preserve">TIR-A08-TER</t>
  </si>
  <si>
    <t xml:space="preserve">TIR-A08-FEU</t>
  </si>
  <si>
    <t xml:space="preserve">TIR-A08-VEN</t>
  </si>
  <si>
    <t xml:space="preserve">TIR-A08-ACI</t>
  </si>
  <si>
    <t xml:space="preserve">TIR-A08-EAU</t>
  </si>
  <si>
    <t xml:space="preserve">TIR-A08-GLA</t>
  </si>
  <si>
    <t xml:space="preserve">TIR-A08-ELE</t>
  </si>
  <si>
    <t xml:space="preserve">TIR-A08-LUM</t>
  </si>
  <si>
    <t xml:space="preserve">TIR-A08-OMB</t>
  </si>
  <si>
    <t xml:space="preserve">TIR-S01-NEU</t>
  </si>
  <si>
    <t xml:space="preserve">TIR-S01-TER</t>
  </si>
  <si>
    <t xml:space="preserve">TIR-S01-FEU</t>
  </si>
  <si>
    <t xml:space="preserve">TIR-S01-VEN</t>
  </si>
  <si>
    <t xml:space="preserve">TIR-S01-ACI</t>
  </si>
  <si>
    <t xml:space="preserve">TIR-S01-EAU</t>
  </si>
  <si>
    <t xml:space="preserve">TIR-S01-GLA</t>
  </si>
  <si>
    <t xml:space="preserve">TIR-S01-ELE</t>
  </si>
  <si>
    <t xml:space="preserve">TIR-S01-LUM</t>
  </si>
  <si>
    <t xml:space="preserve">TIR-S01-OMB</t>
  </si>
  <si>
    <t xml:space="preserve">TIR-S02-NEU</t>
  </si>
  <si>
    <t xml:space="preserve">TIR-S02-TER</t>
  </si>
  <si>
    <t xml:space="preserve">TIR-S02-FEU</t>
  </si>
  <si>
    <t xml:space="preserve">TIR-S02-VEN</t>
  </si>
  <si>
    <t xml:space="preserve">TIR-S02-ACI</t>
  </si>
  <si>
    <t xml:space="preserve">TIR-S02-EAU</t>
  </si>
  <si>
    <t xml:space="preserve">TIR-S02-GLA</t>
  </si>
  <si>
    <t xml:space="preserve">TIR-S02-ELE</t>
  </si>
  <si>
    <t xml:space="preserve">TIR-S02-LUM</t>
  </si>
  <si>
    <t xml:space="preserve">TIR-S02-OMB</t>
  </si>
  <si>
    <t xml:space="preserve">TIR-S03-NEU</t>
  </si>
  <si>
    <t xml:space="preserve">TIR-S03-TER</t>
  </si>
  <si>
    <t xml:space="preserve">TIR-S03-FEU</t>
  </si>
  <si>
    <t xml:space="preserve">TIR-S03-VEN</t>
  </si>
  <si>
    <t xml:space="preserve">TIR-S03-ACI</t>
  </si>
  <si>
    <t xml:space="preserve">TIR-S03-EAU</t>
  </si>
  <si>
    <t xml:space="preserve">TIR-S03-GLA</t>
  </si>
  <si>
    <t xml:space="preserve">TIR-S03-ELE</t>
  </si>
  <si>
    <t xml:space="preserve">TIR-S03-LUM</t>
  </si>
  <si>
    <t xml:space="preserve">TIR-S03-OMB</t>
  </si>
  <si>
    <t xml:space="preserve">TIR-S04-NEU</t>
  </si>
  <si>
    <t xml:space="preserve">TIR-S04-TER</t>
  </si>
  <si>
    <t xml:space="preserve">TIR-S04-FEU</t>
  </si>
  <si>
    <t xml:space="preserve">TIR-S04-VEN</t>
  </si>
  <si>
    <t xml:space="preserve">TIR-S04-ACI</t>
  </si>
  <si>
    <t xml:space="preserve">TIR-S04-EAU</t>
  </si>
  <si>
    <t xml:space="preserve">TIR-S04-GLA</t>
  </si>
  <si>
    <t xml:space="preserve">TIR-S04-ELE</t>
  </si>
  <si>
    <t xml:space="preserve">TIR-S04-LUM</t>
  </si>
  <si>
    <t xml:space="preserve">TIR-S04-OMB</t>
  </si>
  <si>
    <t xml:space="preserve">TIR-S05-NEU</t>
  </si>
  <si>
    <t xml:space="preserve">TIR-S05-TER</t>
  </si>
  <si>
    <t xml:space="preserve">TIR-S05-FEU</t>
  </si>
  <si>
    <t xml:space="preserve">TIR-S05-VEN</t>
  </si>
  <si>
    <t xml:space="preserve">TIR-S05-ACI</t>
  </si>
  <si>
    <t xml:space="preserve">TIR-S05-EAU</t>
  </si>
  <si>
    <t xml:space="preserve">TIR-S05-GLA</t>
  </si>
  <si>
    <t xml:space="preserve">TIR-S05-ELE</t>
  </si>
  <si>
    <t xml:space="preserve">TIR-S05-LUM</t>
  </si>
  <si>
    <t xml:space="preserve">TIR-S05-OMB</t>
  </si>
  <si>
    <t xml:space="preserve">TIR-S06-NEU</t>
  </si>
  <si>
    <t xml:space="preserve">TIR-S06-TER</t>
  </si>
  <si>
    <t xml:space="preserve">TIR-S06-FEU</t>
  </si>
  <si>
    <t xml:space="preserve">TIR-S06-VEN</t>
  </si>
  <si>
    <t xml:space="preserve">TIR-S06-ACI</t>
  </si>
  <si>
    <t xml:space="preserve">TIR-S06-EAU</t>
  </si>
  <si>
    <t xml:space="preserve">TIR-S06-GLA</t>
  </si>
  <si>
    <t xml:space="preserve">TIR-S06-ELE</t>
  </si>
  <si>
    <t xml:space="preserve">TIR-S06-LUM</t>
  </si>
  <si>
    <t xml:space="preserve">TIR-S06-OMB</t>
  </si>
  <si>
    <t xml:space="preserve">TIR-S07-NEU</t>
  </si>
  <si>
    <t xml:space="preserve">TIR-S07-TER</t>
  </si>
  <si>
    <t xml:space="preserve">TIR-S07-FEU</t>
  </si>
  <si>
    <t xml:space="preserve">TIR-S07-VEN</t>
  </si>
  <si>
    <t xml:space="preserve">TIR-S07-ACI</t>
  </si>
  <si>
    <t xml:space="preserve">TIR-S07-EAU</t>
  </si>
  <si>
    <t xml:space="preserve">TIR-S07-GLA</t>
  </si>
  <si>
    <t xml:space="preserve">TIR-S07-ELE</t>
  </si>
  <si>
    <t xml:space="preserve">TIR-S07-LUM</t>
  </si>
  <si>
    <t xml:space="preserve">TIR-S07-OMB</t>
  </si>
  <si>
    <t xml:space="preserve">TIR-P01</t>
  </si>
  <si>
    <t xml:space="preserve">TIR-P02</t>
  </si>
  <si>
    <t xml:space="preserve">TIR-P03</t>
  </si>
  <si>
    <t xml:space="preserve">TIR-P04</t>
  </si>
  <si>
    <t xml:space="preserve">TIR-P05</t>
  </si>
  <si>
    <t xml:space="preserve">TIR-P06</t>
  </si>
  <si>
    <t xml:space="preserve">TIR-P07</t>
  </si>
  <si>
    <t xml:space="preserve">TIR-P08</t>
  </si>
  <si>
    <t xml:space="preserve">TOU-AFF-NEU</t>
  </si>
  <si>
    <t xml:space="preserve">TOU-AFF-TER</t>
  </si>
  <si>
    <t xml:space="preserve">TOU-AFF-FEU</t>
  </si>
  <si>
    <t xml:space="preserve">TOU-AFF-VEN</t>
  </si>
  <si>
    <t xml:space="preserve">TOU-AFF-ACI</t>
  </si>
  <si>
    <t xml:space="preserve">TOU-AFF-EAU</t>
  </si>
  <si>
    <t xml:space="preserve">TOU-AFF-GLA</t>
  </si>
  <si>
    <t xml:space="preserve">TOU-AFF-ELE</t>
  </si>
  <si>
    <t xml:space="preserve">TOU-AFF-LUM</t>
  </si>
  <si>
    <t xml:space="preserve">TOU-AFF-OMB</t>
  </si>
  <si>
    <t xml:space="preserve">« Puissance par tour (vague) » = puissance × ennemis touchés (3 pour une zone) ÷ recharge : sert à comparer une compétence à 1 tour et une ultime à 3 tours.</t>
  </si>
  <si>
    <t xml:space="preserve">Compétences de base (version Neutre)</t>
  </si>
  <si>
    <t xml:space="preserve">La version de départ de chaque compétence. Le Catalogue en tire les 10 variantes élémentaires. Modifiez ici : tout le classeur suit.</t>
  </si>
  <si>
    <t xml:space="preserve">Nom (Neutre)</t>
  </si>
  <si>
    <t xml:space="preserve">Racine des variantes</t>
  </si>
  <si>
    <t xml:space="preserve">Valeur d'effet (équiv. puissance)</t>
  </si>
  <si>
    <t xml:space="preserve">Score de recharge</t>
  </si>
  <si>
    <t xml:space="preserve">GUE-A01</t>
  </si>
  <si>
    <t xml:space="preserve">Guerrier</t>
  </si>
  <si>
    <t xml:space="preserve">Frappe rapide</t>
  </si>
  <si>
    <t xml:space="preserve">Attaque (arme 1)</t>
  </si>
  <si>
    <t xml:space="preserve">Attaque</t>
  </si>
  <si>
    <t xml:space="preserve">Mono</t>
  </si>
  <si>
    <t xml:space="preserve">Non</t>
  </si>
  <si>
    <t xml:space="preserve">Force</t>
  </si>
  <si>
    <t xml:space="preserve">Coup d'épée simple et fiable.</t>
  </si>
  <si>
    <t xml:space="preserve">Active</t>
  </si>
  <si>
    <t xml:space="preserve">GUE-A02</t>
  </si>
  <si>
    <t xml:space="preserve">Coup d'estoc</t>
  </si>
  <si>
    <t xml:space="preserve">Estoc</t>
  </si>
  <si>
    <t xml:space="preserve">Perce la garde : ignore 20 % de l'Armure.</t>
  </si>
  <si>
    <t xml:space="preserve">GUE-A03</t>
  </si>
  <si>
    <t xml:space="preserve">Coup vertical</t>
  </si>
  <si>
    <t xml:space="preserve">15 % : Assommé (la cible perd 1 tour).</t>
  </si>
  <si>
    <t xml:space="preserve">GUE-A04</t>
  </si>
  <si>
    <t xml:space="preserve">Tourbillon</t>
  </si>
  <si>
    <t xml:space="preserve">Zone</t>
  </si>
  <si>
    <t xml:space="preserve">Frappe tous les ennemis de la vague.</t>
  </si>
  <si>
    <t xml:space="preserve">GUE-A05</t>
  </si>
  <si>
    <t xml:space="preserve">Entaille</t>
  </si>
  <si>
    <t xml:space="preserve">35 % : Saignement (5 % de la Force par tour, 3 tours).</t>
  </si>
  <si>
    <t xml:space="preserve">GUE-A06</t>
  </si>
  <si>
    <t xml:space="preserve">Charge</t>
  </si>
  <si>
    <t xml:space="preserve">Intimide la cible (−10 % de dégâts infligés, 2 tours).</t>
  </si>
  <si>
    <t xml:space="preserve">GUE-A07</t>
  </si>
  <si>
    <t xml:space="preserve">Exécution</t>
  </si>
  <si>
    <t xml:space="preserve">Oui</t>
  </si>
  <si>
    <t xml:space="preserve">+50 % de dégâts si la cible a moins de 30 % de ses PV.</t>
  </si>
  <si>
    <t xml:space="preserve">GUE-A08</t>
  </si>
  <si>
    <t xml:space="preserve">Onde de choc</t>
  </si>
  <si>
    <t xml:space="preserve">Frappe toute la vague ; 20 % : Assommé.</t>
  </si>
  <si>
    <t xml:space="preserve">GUE-S01</t>
  </si>
  <si>
    <t xml:space="preserve">Garde</t>
  </si>
  <si>
    <t xml:space="preserve">Soutien (arme 2)</t>
  </si>
  <si>
    <t xml:space="preserve">Buff</t>
  </si>
  <si>
    <t xml:space="preserve">Soi</t>
  </si>
  <si>
    <t xml:space="preserve">+30 % de Résistance pendant 2 tours.</t>
  </si>
  <si>
    <t xml:space="preserve">GUE-S02</t>
  </si>
  <si>
    <t xml:space="preserve">Coup de bouclier</t>
  </si>
  <si>
    <t xml:space="preserve">Debuff</t>
  </si>
  <si>
    <t xml:space="preserve">25 % : Assommé (1 tour).</t>
  </si>
  <si>
    <t xml:space="preserve">GUE-S03</t>
  </si>
  <si>
    <t xml:space="preserve">Cri de guerre</t>
  </si>
  <si>
    <t xml:space="preserve">Cri</t>
  </si>
  <si>
    <t xml:space="preserve">+20 % de Force pendant 2 tours.</t>
  </si>
  <si>
    <t xml:space="preserve">GUE-S04</t>
  </si>
  <si>
    <t xml:space="preserve">Mur de boucliers</t>
  </si>
  <si>
    <t xml:space="preserve">Rempart</t>
  </si>
  <si>
    <t xml:space="preserve">Bouclier</t>
  </si>
  <si>
    <t xml:space="preserve">Bouclier = 15 % des PV max pendant 2 tours, en plus des PV (Vitalité).</t>
  </si>
  <si>
    <t xml:space="preserve">GUE-S05</t>
  </si>
  <si>
    <t xml:space="preserve">Second souffle</t>
  </si>
  <si>
    <t xml:space="preserve">Souffle</t>
  </si>
  <si>
    <t xml:space="preserve">Soin</t>
  </si>
  <si>
    <t xml:space="preserve">Soigne 15 % des PV max.</t>
  </si>
  <si>
    <t xml:space="preserve">GUE-S06</t>
  </si>
  <si>
    <t xml:space="preserve">Riposte</t>
  </si>
  <si>
    <t xml:space="preserve">Renvoie 30 % des dégâts physiques subis pendant 2 tours.</t>
  </si>
  <si>
    <t xml:space="preserve">GUE-S07</t>
  </si>
  <si>
    <t xml:space="preserve">Forteresse</t>
  </si>
  <si>
    <t xml:space="preserve">Bouclier = 30 % des PV max + immunité aux contrôles pendant 2 tours.</t>
  </si>
  <si>
    <t xml:space="preserve">Peau dure</t>
  </si>
  <si>
    <t xml:space="preserve">—</t>
  </si>
  <si>
    <t xml:space="preserve">Passif</t>
  </si>
  <si>
    <t xml:space="preserve">+8 % de Résistance.</t>
  </si>
  <si>
    <t xml:space="preserve">Permanent</t>
  </si>
  <si>
    <t xml:space="preserve">Soif de sang</t>
  </si>
  <si>
    <t xml:space="preserve">Vol de vie : 5 % des dégâts infligés.</t>
  </si>
  <si>
    <t xml:space="preserve">Contre-attaque</t>
  </si>
  <si>
    <t xml:space="preserve">15 % de riposter quand il est touché (50 % de la Force).</t>
  </si>
  <si>
    <t xml:space="preserve">Quand il est touché</t>
  </si>
  <si>
    <t xml:space="preserve">Rage</t>
  </si>
  <si>
    <t xml:space="preserve">+2 % de dégâts par tranche de 10 % de PV perdus (max +15 %).</t>
  </si>
  <si>
    <t xml:space="preserve">Briseur de garde</t>
  </si>
  <si>
    <t xml:space="preserve">Chaque coup vole 2 % de la Résistance de la cible (5 piles max).</t>
  </si>
  <si>
    <t xml:space="preserve">À chaque coup</t>
  </si>
  <si>
    <t xml:space="preserve">Bouclier réflexe</t>
  </si>
  <si>
    <t xml:space="preserve">Bouclier de 8 % des PV max.</t>
  </si>
  <si>
    <t xml:space="preserve">Tous les 3 tours</t>
  </si>
  <si>
    <t xml:space="preserve">Maître d'armes</t>
  </si>
  <si>
    <t xml:space="preserve">+5 % de Pénétration et +5 % de dégâts critiques.</t>
  </si>
  <si>
    <t xml:space="preserve">Endurance du vétéran</t>
  </si>
  <si>
    <t xml:space="preserve">Rend 3 % des PV max.</t>
  </si>
  <si>
    <t xml:space="preserve">Chaque tour</t>
  </si>
  <si>
    <t xml:space="preserve">MAG-A01</t>
  </si>
  <si>
    <t xml:space="preserve">Mage</t>
  </si>
  <si>
    <t xml:space="preserve">Boule arcanique</t>
  </si>
  <si>
    <t xml:space="preserve">Boule</t>
  </si>
  <si>
    <t xml:space="preserve">Magie</t>
  </si>
  <si>
    <t xml:space="preserve">Projectile magique fiable.</t>
  </si>
  <si>
    <t xml:space="preserve">MAG-A02</t>
  </si>
  <si>
    <t xml:space="preserve">Lance arcanique</t>
  </si>
  <si>
    <t xml:space="preserve">Lance</t>
  </si>
  <si>
    <t xml:space="preserve">Ignore 15 % de la Résistance.</t>
  </si>
  <si>
    <t xml:space="preserve">MAG-A03</t>
  </si>
  <si>
    <t xml:space="preserve">Tornade arcanique</t>
  </si>
  <si>
    <t xml:space="preserve">Tornade</t>
  </si>
  <si>
    <t xml:space="preserve">MAG-A04</t>
  </si>
  <si>
    <t xml:space="preserve">Rayon arcanique</t>
  </si>
  <si>
    <t xml:space="preserve">Rayon</t>
  </si>
  <si>
    <t xml:space="preserve">Deux impacts (2 × 40 %) : deux chances d'appliquer l'effet élémentaire.</t>
  </si>
  <si>
    <t xml:space="preserve">MAG-A05</t>
  </si>
  <si>
    <t xml:space="preserve">Pluie arcanique</t>
  </si>
  <si>
    <t xml:space="preserve">Pluie</t>
  </si>
  <si>
    <t xml:space="preserve">Frappe toute la vague ; +50 % de chance d'appliquer l'effet élémentaire.</t>
  </si>
  <si>
    <t xml:space="preserve">MAG-A06</t>
  </si>
  <si>
    <t xml:space="preserve">Nova arcanique</t>
  </si>
  <si>
    <t xml:space="preserve">Nova</t>
  </si>
  <si>
    <t xml:space="preserve">Frappe toute la vague ; les ennemis touchés infligent −10 % de dégâts (1 tour).</t>
  </si>
  <si>
    <t xml:space="preserve">MAG-A07</t>
  </si>
  <si>
    <t xml:space="preserve">Météore</t>
  </si>
  <si>
    <t xml:space="preserve">Frappe toute la vague ; l'effet élémentaire est garanti sur la cible principale.</t>
  </si>
  <si>
    <t xml:space="preserve">MAG-A08</t>
  </si>
  <si>
    <t xml:space="preserve">Explosion arcanique</t>
  </si>
  <si>
    <t xml:space="preserve">Explosion</t>
  </si>
  <si>
    <t xml:space="preserve">+25 % de dégâts si la cible porte une altération.</t>
  </si>
  <si>
    <t xml:space="preserve">MAG-S01</t>
  </si>
  <si>
    <t xml:space="preserve">Barrière</t>
  </si>
  <si>
    <t xml:space="preserve">Bouclier = 12 % des PV max pendant 2 tours.</t>
  </si>
  <si>
    <t xml:space="preserve">MAG-S02</t>
  </si>
  <si>
    <t xml:space="preserve">Soigne 18 % des PV max (augmenté par le Bonus de soins).</t>
  </si>
  <si>
    <t xml:space="preserve">MAG-S03</t>
  </si>
  <si>
    <t xml:space="preserve">Amplification</t>
  </si>
  <si>
    <t xml:space="preserve">+25 % de Magie pendant 2 tours.</t>
  </si>
  <si>
    <t xml:space="preserve">MAG-S04</t>
  </si>
  <si>
    <t xml:space="preserve">Malédiction</t>
  </si>
  <si>
    <t xml:space="preserve">La cible inflige −15 % de dégâts pendant 2 tours.</t>
  </si>
  <si>
    <t xml:space="preserve">MAG-S05</t>
  </si>
  <si>
    <t xml:space="preserve">Régénération</t>
  </si>
  <si>
    <t xml:space="preserve">Rend 6 % des PV max par tour pendant 3 tours.</t>
  </si>
  <si>
    <t xml:space="preserve">MAG-S06</t>
  </si>
  <si>
    <t xml:space="preserve">Purification</t>
  </si>
  <si>
    <t xml:space="preserve">Retire toutes les altérations et soigne 8 % des PV max.</t>
  </si>
  <si>
    <t xml:space="preserve">MAG-S07</t>
  </si>
  <si>
    <t xml:space="preserve">Sanctuaire</t>
  </si>
  <si>
    <t xml:space="preserve">Soigne 30 % des PV max + bouclier de 15 % des PV max.</t>
  </si>
  <si>
    <t xml:space="preserve">Concentration arcanique</t>
  </si>
  <si>
    <t xml:space="preserve">+8 % de Magie.</t>
  </si>
  <si>
    <t xml:space="preserve">Siphon</t>
  </si>
  <si>
    <t xml:space="preserve">Vol de vie : 4 % des dégâts magiques.</t>
  </si>
  <si>
    <t xml:space="preserve">Écho</t>
  </si>
  <si>
    <t xml:space="preserve">15 % qu'un sort à recharge 1 frappe une seconde fois (50 %).</t>
  </si>
  <si>
    <t xml:space="preserve">À chaque sort</t>
  </si>
  <si>
    <t xml:space="preserve">Persistance</t>
  </si>
  <si>
    <t xml:space="preserve">Les altérations infligées durent 1 tour de plus.</t>
  </si>
  <si>
    <t xml:space="preserve">Égide arcanique</t>
  </si>
  <si>
    <t xml:space="preserve">Bouclier de 6 % des PV max.</t>
  </si>
  <si>
    <t xml:space="preserve">Sagesse</t>
  </si>
  <si>
    <t xml:space="preserve">+10 % de Bonus de soins.</t>
  </si>
  <si>
    <t xml:space="preserve">Accélération</t>
  </si>
  <si>
    <t xml:space="preserve">Réduit de 1 tour la recharge de la compétence la plus longue.</t>
  </si>
  <si>
    <t xml:space="preserve">Érosion magique</t>
  </si>
  <si>
    <t xml:space="preserve">Chaque sort réduit de 3 % la Résistance de la cible (5 piles max).</t>
  </si>
  <si>
    <t xml:space="preserve">TIR-A01</t>
  </si>
  <si>
    <t xml:space="preserve">Tireur</t>
  </si>
  <si>
    <t xml:space="preserve">Tir rapide</t>
  </si>
  <si>
    <t xml:space="preserve">Tir fiable.</t>
  </si>
  <si>
    <t xml:space="preserve">TIR-A02</t>
  </si>
  <si>
    <t xml:space="preserve">Tir précis</t>
  </si>
  <si>
    <t xml:space="preserve">Ne rate jamais ; +20 % de chance de critique.</t>
  </si>
  <si>
    <t xml:space="preserve">TIR-A03</t>
  </si>
  <si>
    <t xml:space="preserve">Tir multiple</t>
  </si>
  <si>
    <t xml:space="preserve">TIR-A04</t>
  </si>
  <si>
    <t xml:space="preserve">Double tir</t>
  </si>
  <si>
    <t xml:space="preserve">Deux flèches (2 × 45 %) : deux chances d'appliquer l'effet élémentaire.</t>
  </si>
  <si>
    <t xml:space="preserve">TIR-A05</t>
  </si>
  <si>
    <t xml:space="preserve">Tir perçant</t>
  </si>
  <si>
    <t xml:space="preserve">Ignore 30 % de l'Armure ; traverse et touche un 2e ennemi à 50 %.</t>
  </si>
  <si>
    <t xml:space="preserve">TIR-A06</t>
  </si>
  <si>
    <t xml:space="preserve">Volée de flèches</t>
  </si>
  <si>
    <t xml:space="preserve">Volée</t>
  </si>
  <si>
    <t xml:space="preserve">Frappe toute la vague ; +10 % de chance de critique.</t>
  </si>
  <si>
    <t xml:space="preserve">TIR-A07</t>
  </si>
  <si>
    <t xml:space="preserve">Tir mortel</t>
  </si>
  <si>
    <t xml:space="preserve">Coup critique garanti.</t>
  </si>
  <si>
    <t xml:space="preserve">TIR-A08</t>
  </si>
  <si>
    <t xml:space="preserve">Averse de flèches</t>
  </si>
  <si>
    <t xml:space="preserve">Averse</t>
  </si>
  <si>
    <t xml:space="preserve">Frappe toute la vague deux fois (2 × 75 %).</t>
  </si>
  <si>
    <t xml:space="preserve">TIR-S01</t>
  </si>
  <si>
    <t xml:space="preserve">Œil de faucon</t>
  </si>
  <si>
    <t xml:space="preserve">Œil</t>
  </si>
  <si>
    <t xml:space="preserve">+20 % de Précision et +15 % de chance de critique pendant 2 tours.</t>
  </si>
  <si>
    <t xml:space="preserve">TIR-S02</t>
  </si>
  <si>
    <t xml:space="preserve">Roulade</t>
  </si>
  <si>
    <t xml:space="preserve">+40 % d'esquive pendant 1 tour.</t>
  </si>
  <si>
    <t xml:space="preserve">TIR-S03</t>
  </si>
  <si>
    <t xml:space="preserve">Flèche marquante</t>
  </si>
  <si>
    <t xml:space="preserve">Marque</t>
  </si>
  <si>
    <t xml:space="preserve">Marqué : la cible subit +15 % de dégâts pendant 2 tours.</t>
  </si>
  <si>
    <t xml:space="preserve">TIR-S04</t>
  </si>
  <si>
    <t xml:space="preserve">Piège à loup</t>
  </si>
  <si>
    <t xml:space="preserve">Piège</t>
  </si>
  <si>
    <t xml:space="preserve">Enraciné (−15 % Agilité) + Saignement pendant 3 tours.</t>
  </si>
  <si>
    <t xml:space="preserve">TIR-S05</t>
  </si>
  <si>
    <t xml:space="preserve">Remède</t>
  </si>
  <si>
    <t xml:space="preserve">TIR-S06</t>
  </si>
  <si>
    <t xml:space="preserve">Visée</t>
  </si>
  <si>
    <t xml:space="preserve">La prochaine attaque inflige +50 % de dégâts.</t>
  </si>
  <si>
    <t xml:space="preserve">TIR-S07</t>
  </si>
  <si>
    <t xml:space="preserve">Instinct du prédateur</t>
  </si>
  <si>
    <t xml:space="preserve">Instinct</t>
  </si>
  <si>
    <t xml:space="preserve">+30 % de dégâts et +20 % de chance de critique pendant 3 tours.</t>
  </si>
  <si>
    <t xml:space="preserve">Œil vif</t>
  </si>
  <si>
    <t xml:space="preserve">+5 % de chance de critique.</t>
  </si>
  <si>
    <t xml:space="preserve">Chasseur</t>
  </si>
  <si>
    <t xml:space="preserve">+15 % de dégâts contre une cible qui porte une altération.</t>
  </si>
  <si>
    <t xml:space="preserve">Premier sang</t>
  </si>
  <si>
    <t xml:space="preserve">Le premier tir de chaque vague est un coup critique.</t>
  </si>
  <si>
    <t xml:space="preserve">Début de vague</t>
  </si>
  <si>
    <t xml:space="preserve">Pas léger</t>
  </si>
  <si>
    <t xml:space="preserve">+5 % d'esquive.</t>
  </si>
  <si>
    <t xml:space="preserve">Pointes barbelées</t>
  </si>
  <si>
    <t xml:space="preserve">Les coups critiques appliquent Saignement (3 tours).</t>
  </si>
  <si>
    <t xml:space="preserve">Sur coup critique</t>
  </si>
  <si>
    <t xml:space="preserve">Carquois sans fond</t>
  </si>
  <si>
    <t xml:space="preserve">Tir gratuit sur un ennemi au hasard (50 % de la Force).</t>
  </si>
  <si>
    <t xml:space="preserve">Tous les 2 tours</t>
  </si>
  <si>
    <t xml:space="preserve">Précision mortelle</t>
  </si>
  <si>
    <t xml:space="preserve">+20 % de dégâts critiques.</t>
  </si>
  <si>
    <t xml:space="preserve">Vampirisme</t>
  </si>
  <si>
    <t xml:space="preserve">Les coups critiques rendent 10 % des dégâts en PV.</t>
  </si>
  <si>
    <t xml:space="preserve">Toutes</t>
  </si>
  <si>
    <t xml:space="preserve">Maîtrise arcanique</t>
  </si>
  <si>
    <t xml:space="preserve">+8 % de dégâts Neutres ; les compétences Neutres ignorent 10 % de Résistance en plus.</t>
  </si>
  <si>
    <t xml:space="preserve">Affinité tellurique</t>
  </si>
  <si>
    <t xml:space="preserve">+10 % de dégâts de Terre ; +5 % d'Armure.</t>
  </si>
  <si>
    <t xml:space="preserve">Affinité ardente</t>
  </si>
  <si>
    <t xml:space="preserve">+10 % de dégâts de Feu ; la Brûlure dure 1 tour de plus.</t>
  </si>
  <si>
    <t xml:space="preserve">Affinité des vents</t>
  </si>
  <si>
    <t xml:space="preserve">+10 % de dégâts de Vent ; +3 % de chance de critique.</t>
  </si>
  <si>
    <t xml:space="preserve">Affinité corrosive</t>
  </si>
  <si>
    <t xml:space="preserve">+10 % de dégâts d'Acide ; Corrosion jusqu'à 5 piles.</t>
  </si>
  <si>
    <t xml:space="preserve">Affinité des marées</t>
  </si>
  <si>
    <t xml:space="preserve">+10 % de dégâts d'Eau ; +10 % de soins reçus.</t>
  </si>
  <si>
    <t xml:space="preserve">Affinité glaciale</t>
  </si>
  <si>
    <t xml:space="preserve">+10 % de dégâts de Glace ; Gel à 2 piles de Froid au lieu de 3 (3 sur les boss).</t>
  </si>
  <si>
    <t xml:space="preserve">Affinité orageuse</t>
  </si>
  <si>
    <t xml:space="preserve">+10 % de dégâts d'Électricité ; les rebonds infligent +10 %.</t>
  </si>
  <si>
    <t xml:space="preserve">Affinité solaire</t>
  </si>
  <si>
    <t xml:space="preserve">+10 % de dégâts de Lumière ; +10 % de Bonus de soins.</t>
  </si>
  <si>
    <t xml:space="preserve">Affinité ténébreuse</t>
  </si>
  <si>
    <t xml:space="preserve">+10 % de dégâts d'Ombre ; +3 % de vol de vie.</t>
  </si>
  <si>
    <t xml:space="preserve">Recharge (calculée) : 0 = kit de départ (niveau 1), utilisable à chaque action ; 1 = chaque manche ; 2 = une manche de pause ; 3 = deux manches de pause (ultimes). Score = puissance × 2 si zone + valeur d'effet (col. O) ; seuils dans Paramètres.</t>
  </si>
  <si>
    <t xml:space="preserve">Les ultimes (fond orange) frappent fort mais une seule peut être équipée (Paramètres). Les passifs « Tous les 3 tours » se déclenchent aux tours 3, 6, 9…</t>
  </si>
  <si>
    <t xml:space="preserve">Éléments : déblocage et effets ajoutés aux compétences</t>
  </si>
  <si>
    <t xml:space="preserve">Chaque compétence active existe dans les 10 éléments. L'élément se débloque quand on termine le dernier étage de son biome (Feu : étage 30 terminé).</t>
  </si>
  <si>
    <t xml:space="preserve">Biome</t>
  </si>
  <si>
    <t xml:space="preserve">Nom des variantes</t>
  </si>
  <si>
    <t xml:space="preserve">Altération</t>
  </si>
  <si>
    <t xml:space="preserve">Effet ajouté aux attaques</t>
  </si>
  <si>
    <t xml:space="preserve">Effet ajouté aux soutiens (buff, soin, bouclier, debuff)</t>
  </si>
  <si>
    <t xml:space="preserve">Passif d’affinité</t>
  </si>
  <si>
    <t xml:space="preserve">Liste (aide)</t>
  </si>
  <si>
    <t xml:space="preserve">Neutre</t>
  </si>
  <si>
    <t xml:space="preserve">Forêt</t>
  </si>
  <si>
    <t xml:space="preserve">(nom de base)</t>
  </si>
  <si>
    <t xml:space="preserve">Aucune</t>
  </si>
  <si>
    <t xml:space="preserve">Aucune altération ; ignore 10 % de la Résistance de la cible. Fiable contre tous les biomes.</t>
  </si>
  <si>
    <t xml:space="preserve">Aucun bonus élémentaire : effet de base seul.</t>
  </si>
  <si>
    <t xml:space="preserve">Terre</t>
  </si>
  <si>
    <t xml:space="preserve">Montagne</t>
  </si>
  <si>
    <t xml:space="preserve">de pierre</t>
  </si>
  <si>
    <t xml:space="preserve">Garde brisée</t>
  </si>
  <si>
    <t xml:space="preserve">30 % : Garde brisée (−15 % Résistance, 2 tours).</t>
  </si>
  <si>
    <t xml:space="preserve">+15 % d'Armure pendant la durée de l'effet.</t>
  </si>
  <si>
    <t xml:space="preserve">Feu</t>
  </si>
  <si>
    <t xml:space="preserve">Volcan</t>
  </si>
  <si>
    <t xml:space="preserve">de feu</t>
  </si>
  <si>
    <t xml:space="preserve">Brûlure</t>
  </si>
  <si>
    <t xml:space="preserve">35 % : Brûlure (8 % de la stat d'attaque par tour, 3 tours, non cumulable).</t>
  </si>
  <si>
    <t xml:space="preserve">Les ennemis qui frappent le lanceur ont 40 % de subir Brûlure (pendant la durée).</t>
  </si>
  <si>
    <t xml:space="preserve">Vent</t>
  </si>
  <si>
    <t xml:space="preserve">Désert</t>
  </si>
  <si>
    <t xml:space="preserve">de vent</t>
  </si>
  <si>
    <t xml:space="preserve">Désorienté</t>
  </si>
  <si>
    <t xml:space="preserve">+10 % de chance de critique ; 30 % : Désorienté (−15 % Précision, 2 tours).</t>
  </si>
  <si>
    <t xml:space="preserve">+10 % d'Agilité (esquive) pendant la durée de l'effet.</t>
  </si>
  <si>
    <t xml:space="preserve">Acide</t>
  </si>
  <si>
    <t xml:space="preserve">Marais</t>
  </si>
  <si>
    <t xml:space="preserve">d'acide</t>
  </si>
  <si>
    <t xml:space="preserve">Corrosion</t>
  </si>
  <si>
    <t xml:space="preserve">50 % : 1 pile de Corrosion (−5 % Armure par pile, 4 piles max, 3 tours).</t>
  </si>
  <si>
    <t xml:space="preserve">Les ennemis qui frappent le lanceur prennent 1 pile de Corrosion (40 %).</t>
  </si>
  <si>
    <t xml:space="preserve">Eau</t>
  </si>
  <si>
    <t xml:space="preserve">Océan / Île</t>
  </si>
  <si>
    <t xml:space="preserve">d'eau</t>
  </si>
  <si>
    <t xml:space="preserve">Mouillé</t>
  </si>
  <si>
    <t xml:space="preserve">50 % : Mouillé (+25 % de dégâts d'Électricité subis, retire Brûlure, 3 tours).</t>
  </si>
  <si>
    <t xml:space="preserve">Soin supplémentaire de 4 % des PV max ; retire Brûlure du lanceur.</t>
  </si>
  <si>
    <t xml:space="preserve">Glace</t>
  </si>
  <si>
    <t xml:space="preserve">Iceberg</t>
  </si>
  <si>
    <t xml:space="preserve">de glace</t>
  </si>
  <si>
    <t xml:space="preserve">Froid / Gel</t>
  </si>
  <si>
    <t xml:space="preserve">40 % : 1 pile de Froid (−8 % Agilité ; à 3 piles : Gel, la cible perd 1 tour).</t>
  </si>
  <si>
    <t xml:space="preserve">Les ennemis qui frappent le lanceur prennent 1 pile de Froid (40 %).</t>
  </si>
  <si>
    <t xml:space="preserve">Électricité</t>
  </si>
  <si>
    <t xml:space="preserve">Haute montagne</t>
  </si>
  <si>
    <t xml:space="preserve">de foudre</t>
  </si>
  <si>
    <t xml:space="preserve">Étourdissement</t>
  </si>
  <si>
    <t xml:space="preserve">Rebondit sur 1 autre ennemi (40 % des dégâts) ; 10 % : Étourdissement (1 tour).</t>
  </si>
  <si>
    <t xml:space="preserve">La prochaine attaque du lanceur inflige +15 % de dégâts.</t>
  </si>
  <si>
    <t xml:space="preserve">Lumière</t>
  </si>
  <si>
    <t xml:space="preserve">Palais céleste</t>
  </si>
  <si>
    <t xml:space="preserve">de lumière</t>
  </si>
  <si>
    <t xml:space="preserve">Éblouissement</t>
  </si>
  <si>
    <t xml:space="preserve">Soigne le lanceur de 5 % des dégâts infligés ; 25 % : Éblouissement (−20 % chance de critique, 2 tours).</t>
  </si>
  <si>
    <t xml:space="preserve">+20 % sur les soins et boucliers de la compétence.</t>
  </si>
  <si>
    <t xml:space="preserve">Palais démoniaque</t>
  </si>
  <si>
    <t xml:space="preserve">d'ombre</t>
  </si>
  <si>
    <t xml:space="preserve">Corruption</t>
  </si>
  <si>
    <t xml:space="preserve">Vol de vie 5 % ; 30 % : Corruption (+10 % de dégâts subis, 2 tours).</t>
  </si>
  <si>
    <t xml:space="preserve">Les ennemis qui frappent le lanceur subissent Corruption (25 %).</t>
  </si>
  <si>
    <t xml:space="preserve">Neutre = compétences de départ (nom de base). Étage à terminer : 20 = battre l'étage 20 (fin de la Montagne). Ombre se débloque en finissant la tour (étage 100).</t>
  </si>
  <si>
    <t xml:space="preserve">Multiplicateurs élémentaires (défenseur en ligne, attaquant en colonne) — copie du fichier Éléments/Fusions</t>
  </si>
  <si>
    <t xml:space="preserve">Défenseur ↓ / Attaquant →</t>
  </si>
  <si>
    <t xml:space="preserve">×1,5 : l'attaquant a l'avantage ; ×0,75 : le défenseur résiste. Pour une fusion, c'est l'élément principal (le 1er) qui compte (règle du fichier Éléments/Fusions).</t>
  </si>
  <si>
    <t xml:space="preserve">Fusions : compétences infusées de deux éléments</t>
  </si>
  <si>
    <t xml:space="preserve">N'importe quelle compétence active peut porter une fusion (ex. Boule + Feu + Électricité = Boule de plasma). L'élément 1 compte pour l'avantage, la fusion remplace les effets simples.</t>
  </si>
  <si>
    <t xml:space="preserve">Élément 1</t>
  </si>
  <si>
    <t xml:space="preserve">Élément 2</t>
  </si>
  <si>
    <t xml:space="preserve">Fusion</t>
  </si>
  <si>
    <t xml:space="preserve">Effet en combat (tour par tour)</t>
  </si>
  <si>
    <t xml:space="preserve">Idée d’origine (fichier Éléments/Fusions)</t>
  </si>
  <si>
    <t xml:space="preserve">Rôle</t>
  </si>
  <si>
    <t xml:space="preserve">Disponible après l’étage</t>
  </si>
  <si>
    <t xml:space="preserve">Exemple Guerrier</t>
  </si>
  <si>
    <t xml:space="preserve">Exemple Mage</t>
  </si>
  <si>
    <t xml:space="preserve">Exemple Tireur</t>
  </si>
  <si>
    <t xml:space="preserve">(aide) clé 1</t>
  </si>
  <si>
    <t xml:space="preserve">(aide) clé 2</t>
  </si>
  <si>
    <t xml:space="preserve">Brasier</t>
  </si>
  <si>
    <t xml:space="preserve">Brûlure renforcée (12 % / tour au lieu de 8 %) ; si la cible meurt en brûlant, la Brûlure passe à un autre ennemi.</t>
  </si>
  <si>
    <t xml:space="preserve">Brûlure renforcée ; peut se propager aux ennemis proches.</t>
  </si>
  <si>
    <t xml:space="preserve">Dégâts / propagation</t>
  </si>
  <si>
    <t xml:space="preserve">Estoc de brasier</t>
  </si>
  <si>
    <t xml:space="preserve">Boule de brasier</t>
  </si>
  <si>
    <t xml:space="preserve">Tir précis de brasier</t>
  </si>
  <si>
    <t xml:space="preserve">Plasma</t>
  </si>
  <si>
    <t xml:space="preserve">Rebondit sur 1 ennemi (50 % des dégâts) ; chaque cible touchée a 35 % de subir Brûlure.</t>
  </si>
  <si>
    <t xml:space="preserve">Éclairs surchauffés qui rebondissent et appliquent une brûlure.</t>
  </si>
  <si>
    <t xml:space="preserve">Dégâts / chaîne</t>
  </si>
  <si>
    <t xml:space="preserve">Estoc de plasma</t>
  </si>
  <si>
    <t xml:space="preserve">Boule de plasma</t>
  </si>
  <si>
    <t xml:space="preserve">Tir précis de plasma</t>
  </si>
  <si>
    <t xml:space="preserve">Brimstone</t>
  </si>
  <si>
    <t xml:space="preserve">Si la cible a 2 piles de Corrosion ou plus : explosion de 40 % des dégâts sur les autres ennemis (les piles sont consommées).</t>
  </si>
  <si>
    <t xml:space="preserve">Les cibles corrodées explosent et infligent des dégâts de zone.</t>
  </si>
  <si>
    <t xml:space="preserve">Explosion / anti-armure</t>
  </si>
  <si>
    <t xml:space="preserve">Estoc de brimstone</t>
  </si>
  <si>
    <t xml:space="preserve">Boule de brimstone</t>
  </si>
  <si>
    <t xml:space="preserve">Tir précis de brimstone</t>
  </si>
  <si>
    <t xml:space="preserve">Cryopyre</t>
  </si>
  <si>
    <t xml:space="preserve">Contre une cible avec Froid ou Gel : consomme les piles, +20 % de dégâts par pile consommée.</t>
  </si>
  <si>
    <t xml:space="preserve">Choc thermique ; consomme une partie du gel pour infliger un burst.</t>
  </si>
  <si>
    <t xml:space="preserve">Burst / anti-contrôle</t>
  </si>
  <si>
    <t xml:space="preserve">Estoc de cryopyre</t>
  </si>
  <si>
    <t xml:space="preserve">Boule de cryopyre</t>
  </si>
  <si>
    <t xml:space="preserve">Tir précis de cryopyre</t>
  </si>
  <si>
    <t xml:space="preserve">Vapeur</t>
  </si>
  <si>
    <t xml:space="preserve">Nuage de vapeur 2 tours : tous les ennemis subissent 5 % de la stat d'attaque par tour et −10 % de Précision.</t>
  </si>
  <si>
    <t xml:space="preserve">Nuage brûlant qui inflige des dégâts et gêne la visibilité.</t>
  </si>
  <si>
    <t xml:space="preserve">Zone persistante</t>
  </si>
  <si>
    <t xml:space="preserve">Estoc de vapeur</t>
  </si>
  <si>
    <t xml:space="preserve">Boule de vapeur</t>
  </si>
  <si>
    <t xml:space="preserve">Tir précis de vapeur</t>
  </si>
  <si>
    <t xml:space="preserve">Feu follet</t>
  </si>
  <si>
    <t xml:space="preserve">La Brûlure est aussi appliquée à 1 ennemi supplémentaire au hasard.</t>
  </si>
  <si>
    <t xml:space="preserve">Les flammes sont poussées dans une direction et se propagent plus loin.</t>
  </si>
  <si>
    <t xml:space="preserve">Propagation / zone</t>
  </si>
  <si>
    <t xml:space="preserve">Estoc de feu follet</t>
  </si>
  <si>
    <t xml:space="preserve">Boule de feu follet</t>
  </si>
  <si>
    <t xml:space="preserve">Tir précis de feu follet</t>
  </si>
  <si>
    <t xml:space="preserve">Magma</t>
  </si>
  <si>
    <t xml:space="preserve">Lave 2 tours : chaque ennemi qui attaque subit 6 % de la stat d'attaque ; 25 % : Garde brisée.</t>
  </si>
  <si>
    <t xml:space="preserve">Crée des flaques de lave qui infligent des dégâts au passage.</t>
  </si>
  <si>
    <t xml:space="preserve">Estoc de magma</t>
  </si>
  <si>
    <t xml:space="preserve">Boule de magma</t>
  </si>
  <si>
    <t xml:space="preserve">Tir précis de magma</t>
  </si>
  <si>
    <t xml:space="preserve">Feu maudit</t>
  </si>
  <si>
    <t xml:space="preserve">Brûlure + Corruption ; un ennemi brûlé qui meurt transmet la Corruption à un autre ennemi.</t>
  </si>
  <si>
    <t xml:space="preserve">Les ennemis brûlés transmettent une malédiction à leur mort.</t>
  </si>
  <si>
    <t xml:space="preserve">Propagation / malédiction</t>
  </si>
  <si>
    <t xml:space="preserve">Estoc de feu maudit</t>
  </si>
  <si>
    <t xml:space="preserve">Boule de feu maudit</t>
  </si>
  <si>
    <t xml:space="preserve">Tir précis de feu maudit</t>
  </si>
  <si>
    <t xml:space="preserve">Feu solaire</t>
  </si>
  <si>
    <t xml:space="preserve">+15 % de dégâts ; dissipe 1 effet positif de la cible.</t>
  </si>
  <si>
    <t xml:space="preserve">Explosion lumineuse qui brûle et dissipe les effets d’ombre.</t>
  </si>
  <si>
    <t xml:space="preserve">Burst / purification</t>
  </si>
  <si>
    <t xml:space="preserve">Estoc de feu solaire</t>
  </si>
  <si>
    <t xml:space="preserve">Boule de feu solaire</t>
  </si>
  <si>
    <t xml:space="preserve">Tir précis de feu solaire</t>
  </si>
  <si>
    <t xml:space="preserve">Flamme arcanique</t>
  </si>
  <si>
    <t xml:space="preserve">35 % : Brûlure ; ignore 15 % de la Résistance.</t>
  </si>
  <si>
    <t xml:space="preserve">Flamme concentrée qui ignore une petite partie des résistances.</t>
  </si>
  <si>
    <t xml:space="preserve">Dégâts fiables</t>
  </si>
  <si>
    <t xml:space="preserve">Estoc de flamme arcanique</t>
  </si>
  <si>
    <t xml:space="preserve">Boule de flamme arcanique</t>
  </si>
  <si>
    <t xml:space="preserve">Tir précis de flamme arcanique</t>
  </si>
  <si>
    <t xml:space="preserve">Foudre</t>
  </si>
  <si>
    <t xml:space="preserve">Étourdissement 20 % (au lieu de 10 %) ; +10 % de chance de critique.</t>
  </si>
  <si>
    <t xml:space="preserve">Impact électrique puissant avec chance d’étourdissement.</t>
  </si>
  <si>
    <t xml:space="preserve">Burst / contrôle</t>
  </si>
  <si>
    <t xml:space="preserve">Estoc de foudre</t>
  </si>
  <si>
    <t xml:space="preserve">Boule de foudre</t>
  </si>
  <si>
    <t xml:space="preserve">Tir précis de foudre</t>
  </si>
  <si>
    <t xml:space="preserve">Flux corrosif</t>
  </si>
  <si>
    <t xml:space="preserve">Rebondit sur 1 ennemi ; chaque cible touchée prend 1 pile de Corrosion.</t>
  </si>
  <si>
    <t xml:space="preserve">Les arcs électriques rebondissent et appliquent la corrosion.</t>
  </si>
  <si>
    <t xml:space="preserve">Chaîne / anti-armure</t>
  </si>
  <si>
    <t xml:space="preserve">Estoc de flux corrosif</t>
  </si>
  <si>
    <t xml:space="preserve">Boule de flux corrosif</t>
  </si>
  <si>
    <t xml:space="preserve">Tir précis de flux corrosif</t>
  </si>
  <si>
    <t xml:space="preserve">Cryo-éclair</t>
  </si>
  <si>
    <t xml:space="preserve">Rebondit sur 1 ennemi ; chaque cible touchée prend 1 pile de Froid.</t>
  </si>
  <si>
    <t xml:space="preserve">Les chaînes électriques ralentissent les cibles touchées.</t>
  </si>
  <si>
    <t xml:space="preserve">Chaîne / contrôle</t>
  </si>
  <si>
    <t xml:space="preserve">Estoc de cryo-éclair</t>
  </si>
  <si>
    <t xml:space="preserve">Boule de cryo-éclair</t>
  </si>
  <si>
    <t xml:space="preserve">Tir précis de cryo-éclair</t>
  </si>
  <si>
    <t xml:space="preserve">Orage</t>
  </si>
  <si>
    <t xml:space="preserve">Applique Mouillé puis frappe (+25 %) ; rebondit sur tous les ennemis Mouillés (50 %).</t>
  </si>
  <si>
    <t xml:space="preserve">Les cibles mouillées conduisent les éclairs vers les ennemis proches.</t>
  </si>
  <si>
    <t xml:space="preserve">Chaîne / synergie Eau</t>
  </si>
  <si>
    <t xml:space="preserve">Estoc d'orage</t>
  </si>
  <si>
    <t xml:space="preserve">Boule d'orage</t>
  </si>
  <si>
    <t xml:space="preserve">Tir précis d'orage</t>
  </si>
  <si>
    <t xml:space="preserve">Tempête</t>
  </si>
  <si>
    <t xml:space="preserve">Touche 1 ennemi supplémentaire (60 %) ; 25 % : Désorienté.</t>
  </si>
  <si>
    <t xml:space="preserve">Rafales et éclairs frappent une zone mobile.</t>
  </si>
  <si>
    <t xml:space="preserve">Zone / déplacement</t>
  </si>
  <si>
    <t xml:space="preserve">Estoc de tempête</t>
  </si>
  <si>
    <t xml:space="preserve">Boule de tempête</t>
  </si>
  <si>
    <t xml:space="preserve">Tir précis de tempête</t>
  </si>
  <si>
    <t xml:space="preserve">Magnétisme</t>
  </si>
  <si>
    <t xml:space="preserve">Désarmement partiel : la cible inflige −20 % de dégâts pendant 2 tours ; 10 % : Étourdissement.</t>
  </si>
  <si>
    <t xml:space="preserve">Attire certaines cibles métalliques et peut désarmer temporairement.</t>
  </si>
  <si>
    <t xml:space="preserve">Contrôle</t>
  </si>
  <si>
    <t xml:space="preserve">Estoc de magnétisme</t>
  </si>
  <si>
    <t xml:space="preserve">Boule de magnétisme</t>
  </si>
  <si>
    <t xml:space="preserve">Tir précis de magnétisme</t>
  </si>
  <si>
    <t xml:space="preserve">Foudre spectrale</t>
  </si>
  <si>
    <t xml:space="preserve">Ignore 20 % de l'Armure ; 20 % : Corruption.</t>
  </si>
  <si>
    <t xml:space="preserve">Les éclairs traversent les ennemis et appliquent une corruption légère.</t>
  </si>
  <si>
    <t xml:space="preserve">Perforation / malédiction</t>
  </si>
  <si>
    <t xml:space="preserve">Estoc de foudre spectrale</t>
  </si>
  <si>
    <t xml:space="preserve">Boule de foudre spectrale</t>
  </si>
  <si>
    <t xml:space="preserve">Tir précis de foudre spectrale</t>
  </si>
  <si>
    <t xml:space="preserve">Arc céleste</t>
  </si>
  <si>
    <t xml:space="preserve">Le lanceur gagne un bouclier égal à 10 % des dégâts infligés.</t>
  </si>
  <si>
    <t xml:space="preserve">Frappe les ennemis et recharge légèrement les boucliers alliés.</t>
  </si>
  <si>
    <t xml:space="preserve">Dégâts / soutien</t>
  </si>
  <si>
    <t xml:space="preserve">Estoc d'arc céleste</t>
  </si>
  <si>
    <t xml:space="preserve">Boule d'arc céleste</t>
  </si>
  <si>
    <t xml:space="preserve">Tir précis d'arc céleste</t>
  </si>
  <si>
    <t xml:space="preserve">Surcharge</t>
  </si>
  <si>
    <t xml:space="preserve">Chaque utilisation donne 1 charge (3 max) ; à 3 charges, l'utilisation suivante inflige +60 % et vide les charges.</t>
  </si>
  <si>
    <t xml:space="preserve">Consomme une charge d’énergie pour libérer une décharge concentrée.</t>
  </si>
  <si>
    <t xml:space="preserve">Burst / gestion de ressource</t>
  </si>
  <si>
    <t xml:space="preserve">Estoc de surcharge</t>
  </si>
  <si>
    <t xml:space="preserve">Boule de surcharge</t>
  </si>
  <si>
    <t xml:space="preserve">Tir précis de surcharge</t>
  </si>
  <si>
    <t xml:space="preserve">2 piles de Corrosion par coup (6 piles max, −30 % d'Armure).</t>
  </si>
  <si>
    <t xml:space="preserve">Réduit fortement l’armure, avec une limite de cumul.</t>
  </si>
  <si>
    <t xml:space="preserve">Anti-armure</t>
  </si>
  <si>
    <t xml:space="preserve">Estoc de corrosion</t>
  </si>
  <si>
    <t xml:space="preserve">Boule de corrosion</t>
  </si>
  <si>
    <t xml:space="preserve">Tir précis de corrosion</t>
  </si>
  <si>
    <t xml:space="preserve">Cryocorrosion</t>
  </si>
  <si>
    <t xml:space="preserve">Contre une cible avec Froid : −15 % de Résistance pendant 2 tours ; 50 % : Corrosion.</t>
  </si>
  <si>
    <t xml:space="preserve">Fragilise les cibles gelées et réduit leur résistance.</t>
  </si>
  <si>
    <t xml:space="preserve">Anti-armure / contrôle</t>
  </si>
  <si>
    <t xml:space="preserve">Estoc de cryocorrosion</t>
  </si>
  <si>
    <t xml:space="preserve">Boule de cryocorrosion</t>
  </si>
  <si>
    <t xml:space="preserve">Tir précis de cryocorrosion</t>
  </si>
  <si>
    <t xml:space="preserve">Solution caustique</t>
  </si>
  <si>
    <t xml:space="preserve">Flaque caustique : 1 pile de Corrosion sur tous les ennemis (40 % chacun).</t>
  </si>
  <si>
    <t xml:space="preserve">Étend une flaque corrosive sur une surface plus large.</t>
  </si>
  <si>
    <t xml:space="preserve">Estoc de solution caustique</t>
  </si>
  <si>
    <t xml:space="preserve">Boule de solution caustique</t>
  </si>
  <si>
    <t xml:space="preserve">Tir précis de solution caustique</t>
  </si>
  <si>
    <t xml:space="preserve">Brume toxique</t>
  </si>
  <si>
    <t xml:space="preserve">Brume toxique : 35 % de Poison sur tous les ennemis (2 % des PV max par tour).</t>
  </si>
  <si>
    <t xml:space="preserve">Nuage acide mobile qui corrode les ennemis traversés.</t>
  </si>
  <si>
    <t xml:space="preserve">Zone / altération</t>
  </si>
  <si>
    <t xml:space="preserve">Estoc de brume toxique</t>
  </si>
  <si>
    <t xml:space="preserve">Boule de brume toxique</t>
  </si>
  <si>
    <t xml:space="preserve">Tir précis de brume toxique</t>
  </si>
  <si>
    <t xml:space="preserve">Putréfaction</t>
  </si>
  <si>
    <t xml:space="preserve">−10 % de Force et de Magie de la cible pendant 3 tours ; 30 % : Poison.</t>
  </si>
  <si>
    <t xml:space="preserve">Corrompt le sol et crée une zone qui affaiblit les ennemis.</t>
  </si>
  <si>
    <t xml:space="preserve">Zone / affaiblissement</t>
  </si>
  <si>
    <t xml:space="preserve">Estoc de putréfaction</t>
  </si>
  <si>
    <t xml:space="preserve">Boule de putréfaction</t>
  </si>
  <si>
    <t xml:space="preserve">Tir précis de putréfaction</t>
  </si>
  <si>
    <t xml:space="preserve">Fléau</t>
  </si>
  <si>
    <t xml:space="preserve">Corrosion + Corruption ; quand une cible corrodée est touchée, 1 pile de Corrosion passe à un autre ennemi.</t>
  </si>
  <si>
    <t xml:space="preserve">Les ennemis maudits propagent la corrosion lorsqu’ils sont touchés.</t>
  </si>
  <si>
    <t xml:space="preserve">Estoc de fléau</t>
  </si>
  <si>
    <t xml:space="preserve">Boule de fléau</t>
  </si>
  <si>
    <t xml:space="preserve">Tir précis de fléau</t>
  </si>
  <si>
    <t xml:space="preserve">Alchimie</t>
  </si>
  <si>
    <t xml:space="preserve">10 % des dégâts sont convertis en soin pour le lanceur ; 30 % : Corrosion.</t>
  </si>
  <si>
    <t xml:space="preserve">Convertit une petite partie des dégâts en soin ou en bouclier.</t>
  </si>
  <si>
    <t xml:space="preserve">Soutien / conversion</t>
  </si>
  <si>
    <t xml:space="preserve">Estoc d'alchimie</t>
  </si>
  <si>
    <t xml:space="preserve">Boule d'alchimie</t>
  </si>
  <si>
    <t xml:space="preserve">Tir précis d'alchimie</t>
  </si>
  <si>
    <t xml:space="preserve">Dissolution</t>
  </si>
  <si>
    <t xml:space="preserve">Ignore 25 % de l'Armure et détruit les boucliers de la cible.</t>
  </si>
  <si>
    <t xml:space="preserve">Ignore une partie de l’armure et détruit les boucliers.</t>
  </si>
  <si>
    <t xml:space="preserve">Anti-armure / anti-bouclier</t>
  </si>
  <si>
    <t xml:space="preserve">Estoc de dissolution</t>
  </si>
  <si>
    <t xml:space="preserve">Boule de dissolution</t>
  </si>
  <si>
    <t xml:space="preserve">Tir précis de dissolution</t>
  </si>
  <si>
    <t xml:space="preserve">Grand Gel</t>
  </si>
  <si>
    <t xml:space="preserve">2 piles de Froid par coup ; le Gel dure 1 tour de plus sur les monstres non boss.</t>
  </si>
  <si>
    <t xml:space="preserve">Augmente la durée du ralentissement et les chances de gel.</t>
  </si>
  <si>
    <t xml:space="preserve">Estoc de grand Gel</t>
  </si>
  <si>
    <t xml:space="preserve">Boule de grand Gel</t>
  </si>
  <si>
    <t xml:space="preserve">Tir précis de grand Gel</t>
  </si>
  <si>
    <t xml:space="preserve">Glacier</t>
  </si>
  <si>
    <t xml:space="preserve">Mouillé + Froid ; une cible déjà Mouillée prend 2 piles de Froid.</t>
  </si>
  <si>
    <t xml:space="preserve">Crée une surface gelée qui ralentit et fait glisser les ennemis.</t>
  </si>
  <si>
    <t xml:space="preserve">Zone / contrôle</t>
  </si>
  <si>
    <t xml:space="preserve">Estoc de glacier</t>
  </si>
  <si>
    <t xml:space="preserve">Boule de glacier</t>
  </si>
  <si>
    <t xml:space="preserve">Tir précis de glacier</t>
  </si>
  <si>
    <t xml:space="preserve">Blizzard</t>
  </si>
  <si>
    <t xml:space="preserve">Blizzard : 1 pile de Froid sur tous les ennemis ; 20 % : Désorienté.</t>
  </si>
  <si>
    <t xml:space="preserve">Tempête de neige qui ralentit et repousse les ennemis.</t>
  </si>
  <si>
    <t xml:space="preserve">Estoc de blizzard</t>
  </si>
  <si>
    <t xml:space="preserve">Boule de blizzard</t>
  </si>
  <si>
    <t xml:space="preserve">Tir précis de blizzard</t>
  </si>
  <si>
    <t xml:space="preserve">Permafrost</t>
  </si>
  <si>
    <t xml:space="preserve">Le lanceur gagne +25 % d'Armure pendant 2 tours ; 40 % : Froid.</t>
  </si>
  <si>
    <t xml:space="preserve">Crée des murs de glace renforcés qui bloquent les passages.</t>
  </si>
  <si>
    <t xml:space="preserve">Défense / contrôle</t>
  </si>
  <si>
    <t xml:space="preserve">Estoc de permafrost</t>
  </si>
  <si>
    <t xml:space="preserve">Boule de permafrost</t>
  </si>
  <si>
    <t xml:space="preserve">Tir précis de permafrost</t>
  </si>
  <si>
    <t xml:space="preserve">Froid spectral</t>
  </si>
  <si>
    <t xml:space="preserve">Une cible froide ou gelée inflige −20 % de dégâts pendant 2 tours ; 20 % : Corruption.</t>
  </si>
  <si>
    <t xml:space="preserve">Les cibles gelées sont maudites et infligent moins de dégâts.</t>
  </si>
  <si>
    <t xml:space="preserve">Contrôle / malédiction</t>
  </si>
  <si>
    <t xml:space="preserve">Estoc de froid spectral</t>
  </si>
  <si>
    <t xml:space="preserve">Boule de froid spectral</t>
  </si>
  <si>
    <t xml:space="preserve">Tir précis de froid spectral</t>
  </si>
  <si>
    <t xml:space="preserve">Cristal sacré</t>
  </si>
  <si>
    <t xml:space="preserve">Bouclier de 8 % des PV max au lanceur ; renvoie 15 % des dégâts du prochain coup reçu.</t>
  </si>
  <si>
    <t xml:space="preserve">Protège les alliés dans une zone glacée et renvoie quelques projectiles.</t>
  </si>
  <si>
    <t xml:space="preserve">Défense / soutien</t>
  </si>
  <si>
    <t xml:space="preserve">Estoc de cristal sacré</t>
  </si>
  <si>
    <t xml:space="preserve">Boule de cristal sacré</t>
  </si>
  <si>
    <t xml:space="preserve">Tir précis de cristal sacré</t>
  </si>
  <si>
    <t xml:space="preserve">Zéro absolu</t>
  </si>
  <si>
    <t xml:space="preserve">Contre une seule cible : 25 % de Gel direct (sans piles).</t>
  </si>
  <si>
    <t xml:space="preserve">Attaque concentrée avec une forte chance de gel sur une cible.</t>
  </si>
  <si>
    <t xml:space="preserve">Estoc de zéro absolu</t>
  </si>
  <si>
    <t xml:space="preserve">Boule de zéro absolu</t>
  </si>
  <si>
    <t xml:space="preserve">Tir précis de zéro absolu</t>
  </si>
  <si>
    <t xml:space="preserve">Marée</t>
  </si>
  <si>
    <t xml:space="preserve">Soigne le lanceur de 8 % des PV max ; Mouillé sur tous les ennemis.</t>
  </si>
  <si>
    <t xml:space="preserve">Vague qui repousse les ennemis et soigne légèrement les alliés.</t>
  </si>
  <si>
    <t xml:space="preserve">Déplacement / soutien</t>
  </si>
  <si>
    <t xml:space="preserve">Estoc de marée</t>
  </si>
  <si>
    <t xml:space="preserve">Boule de marée</t>
  </si>
  <si>
    <t xml:space="preserve">Tir précis de marée</t>
  </si>
  <si>
    <t xml:space="preserve">Typhon</t>
  </si>
  <si>
    <t xml:space="preserve">Regroupe la vague : la prochaine attaque de zone du lanceur inflige +25 % ; 50 % : Mouillé.</t>
  </si>
  <si>
    <t xml:space="preserve">Tourbillon qui rassemble les ennemis puis les projette.</t>
  </si>
  <si>
    <t xml:space="preserve">Regroupement / déplacement</t>
  </si>
  <si>
    <t xml:space="preserve">Estoc de typhon</t>
  </si>
  <si>
    <t xml:space="preserve">Boule de typhon</t>
  </si>
  <si>
    <t xml:space="preserve">Tir précis de typhon</t>
  </si>
  <si>
    <t xml:space="preserve">Bourbier</t>
  </si>
  <si>
    <t xml:space="preserve">Bourbier : Enraciné (−15 % Agilité) et la cible joue en dernier pendant 2 tours.</t>
  </si>
  <si>
    <t xml:space="preserve">Immobilise partiellement les ennemis et réduit leur vitesse d’attaque.</t>
  </si>
  <si>
    <t xml:space="preserve">Estoc de bourbier</t>
  </si>
  <si>
    <t xml:space="preserve">Boule de bourbier</t>
  </si>
  <si>
    <t xml:space="preserve">Tir précis de bourbier</t>
  </si>
  <si>
    <t xml:space="preserve">Eau noire</t>
  </si>
  <si>
    <t xml:space="preserve">Poison 3 tours ; si la cible est Corrompue, le Poison passe aussi à un autre ennemi.</t>
  </si>
  <si>
    <t xml:space="preserve">Dégâts progressifs ; la corruption peut se transmettre à proximité.</t>
  </si>
  <si>
    <t xml:space="preserve">Dégâts sur la durée</t>
  </si>
  <si>
    <t xml:space="preserve">Estoc d'eau noire</t>
  </si>
  <si>
    <t xml:space="preserve">Boule d'eau noire</t>
  </si>
  <si>
    <t xml:space="preserve">Tir précis d'eau noire</t>
  </si>
  <si>
    <t xml:space="preserve">Eau bénite</t>
  </si>
  <si>
    <t xml:space="preserve">Soigne le lanceur de 6 % des PV max ; +30 % de dégâts contre les créatures d'Ombre.</t>
  </si>
  <si>
    <t xml:space="preserve">Soigne les alliés et blesse davantage les créatures maudites.</t>
  </si>
  <si>
    <t xml:space="preserve">Soutien / anti-Ombre</t>
  </si>
  <si>
    <t xml:space="preserve">Estoc d'eau bénite</t>
  </si>
  <si>
    <t xml:space="preserve">Boule d'eau bénite</t>
  </si>
  <si>
    <t xml:space="preserve">Tir précis d'eau bénite</t>
  </si>
  <si>
    <t xml:space="preserve">Onde arcanique</t>
  </si>
  <si>
    <t xml:space="preserve">Touche 1 ennemi supplémentaire (70 %) ; retire 1 altération du lanceur.</t>
  </si>
  <si>
    <t xml:space="preserve">Vague d’énergie qui traverse les cibles et dissipe un effet négatif léger.</t>
  </si>
  <si>
    <t xml:space="preserve">Perforation / utilitaire</t>
  </si>
  <si>
    <t xml:space="preserve">Estoc d'onde arcanique</t>
  </si>
  <si>
    <t xml:space="preserve">Boule d'onde arcanique</t>
  </si>
  <si>
    <t xml:space="preserve">Tir précis d'onde arcanique</t>
  </si>
  <si>
    <t xml:space="preserve">Ouragan</t>
  </si>
  <si>
    <t xml:space="preserve">+20 % de chance de critique ; 25 % : Désorienté sur tous les ennemis.</t>
  </si>
  <si>
    <t xml:space="preserve">Repousse les ennemis dans une large zone et dévie les projectiles.</t>
  </si>
  <si>
    <t xml:space="preserve">Estoc d'ouragan</t>
  </si>
  <si>
    <t xml:space="preserve">Boule d'ouragan</t>
  </si>
  <si>
    <t xml:space="preserve">Tir précis d'ouragan</t>
  </si>
  <si>
    <t xml:space="preserve">Tempête de sable</t>
  </si>
  <si>
    <t xml:space="preserve">Tempête de sable : −20 % de Précision à tous les ennemis pendant 2 tours.</t>
  </si>
  <si>
    <t xml:space="preserve">Réduit la précision et inflige des dégâts aux ennemis dans la zone.</t>
  </si>
  <si>
    <t xml:space="preserve">Estoc de tempête de sable</t>
  </si>
  <si>
    <t xml:space="preserve">Boule de tempête de sable</t>
  </si>
  <si>
    <t xml:space="preserve">Tir précis de tempête de sable</t>
  </si>
  <si>
    <t xml:space="preserve">Vent funeste</t>
  </si>
  <si>
    <t xml:space="preserve">Traverse : touche 1 ennemi de plus (70 %) ; −15 % d'Agilité aux cibles.</t>
  </si>
  <si>
    <t xml:space="preserve">Souffle spectral qui traverse les ennemis et réduit leur vitesse.</t>
  </si>
  <si>
    <t xml:space="preserve">Perforation / affaiblissement</t>
  </si>
  <si>
    <t xml:space="preserve">Estoc de vent funeste</t>
  </si>
  <si>
    <t xml:space="preserve">Boule de vent funeste</t>
  </si>
  <si>
    <t xml:space="preserve">Tir précis de vent funeste</t>
  </si>
  <si>
    <t xml:space="preserve">Ailes célestes</t>
  </si>
  <si>
    <t xml:space="preserve">Le lanceur gagne +20 % d'Agilité et +10 % d'esquive pendant 2 tours.</t>
  </si>
  <si>
    <t xml:space="preserve">Augmente temporairement vitesse et esquive des alliés.</t>
  </si>
  <si>
    <t xml:space="preserve">Mobilité / soutien</t>
  </si>
  <si>
    <t xml:space="preserve">Estoc d'ailes célestes</t>
  </si>
  <si>
    <t xml:space="preserve">Boule d'ailes célestes</t>
  </si>
  <si>
    <t xml:space="preserve">Tir précis d'ailes célestes</t>
  </si>
  <si>
    <t xml:space="preserve">Lame d’air</t>
  </si>
  <si>
    <t xml:space="preserve">Ignore 15 % de l'Armure ; touche 1 ennemi supplémentaire (50 %).</t>
  </si>
  <si>
    <t xml:space="preserve">Projectiles rapides qui traversent les ennemis.</t>
  </si>
  <si>
    <t xml:space="preserve">Perforation</t>
  </si>
  <si>
    <t xml:space="preserve">Estoc de lame d’air</t>
  </si>
  <si>
    <t xml:space="preserve">Boule de lame d’air</t>
  </si>
  <si>
    <t xml:space="preserve">Tir précis de lame d’air</t>
  </si>
  <si>
    <t xml:space="preserve">Séisme</t>
  </si>
  <si>
    <t xml:space="preserve">15 % : Assommé sur chaque cible touchée ; 30 % : Garde brisée.</t>
  </si>
  <si>
    <t xml:space="preserve">Onde de choc qui renverse les ennemis proches.</t>
  </si>
  <si>
    <t xml:space="preserve">Estoc de séisme</t>
  </si>
  <si>
    <t xml:space="preserve">Boule de séisme</t>
  </si>
  <si>
    <t xml:space="preserve">Tir précis de séisme</t>
  </si>
  <si>
    <t xml:space="preserve">Tombeau</t>
  </si>
  <si>
    <t xml:space="preserve">Tombeau : Enraciné + Corruption pendant 2 tours ; 15 % : Assommé.</t>
  </si>
  <si>
    <t xml:space="preserve">Emprisonne une cible dans la terre et lui applique une malédiction.</t>
  </si>
  <si>
    <t xml:space="preserve">Estoc de tombeau</t>
  </si>
  <si>
    <t xml:space="preserve">Boule de tombeau</t>
  </si>
  <si>
    <t xml:space="preserve">Tir précis de tombeau</t>
  </si>
  <si>
    <t xml:space="preserve">Bastion sacré</t>
  </si>
  <si>
    <t xml:space="preserve">Bouclier de 12 % des PV max au lanceur.</t>
  </si>
  <si>
    <t xml:space="preserve">Rempart qui protège les alliés et bloque les projectiles.</t>
  </si>
  <si>
    <t xml:space="preserve">Défense</t>
  </si>
  <si>
    <t xml:space="preserve">Estoc de bastion sacré</t>
  </si>
  <si>
    <t xml:space="preserve">Boule de bastion sacré</t>
  </si>
  <si>
    <t xml:space="preserve">Tir précis de bastion sacré</t>
  </si>
  <si>
    <t xml:space="preserve">Gravité</t>
  </si>
  <si>
    <t xml:space="preserve">Gravité : la prochaine attaque de zone touche tous les ennemis à 100 % ; −15 % d'Agilité aux cibles.</t>
  </si>
  <si>
    <t xml:space="preserve">Attire les ennemis vers un point et réduit leur mobilité.</t>
  </si>
  <si>
    <t xml:space="preserve">Regroupement / contrôle</t>
  </si>
  <si>
    <t xml:space="preserve">Estoc de gravité</t>
  </si>
  <si>
    <t xml:space="preserve">Boule de gravité</t>
  </si>
  <si>
    <t xml:space="preserve">Tir précis de gravité</t>
  </si>
  <si>
    <t xml:space="preserve">Néant</t>
  </si>
  <si>
    <t xml:space="preserve">Corruption renforcée (+15 % de dégâts subis) ; elle passe à un autre ennemi à la mort de la cible.</t>
  </si>
  <si>
    <t xml:space="preserve">La corruption se propage et amplifie les dégâts subis.</t>
  </si>
  <si>
    <t xml:space="preserve">Malédiction / propagation</t>
  </si>
  <si>
    <t xml:space="preserve">Estoc de néant</t>
  </si>
  <si>
    <t xml:space="preserve">Boule de néant</t>
  </si>
  <si>
    <t xml:space="preserve">Tir précis de néant</t>
  </si>
  <si>
    <t xml:space="preserve">Crépuscule</t>
  </si>
  <si>
    <t xml:space="preserve">Tours impairs : +20 % de dégâts ; tours pairs : Corruption et soin de 5 % des PV max.</t>
  </si>
  <si>
    <t xml:space="preserve">Alterner les phases de lumière et d’ombre produit dégâts ou affaiblissement.</t>
  </si>
  <si>
    <t xml:space="preserve">Polyvalence</t>
  </si>
  <si>
    <t xml:space="preserve">Estoc de crépuscule</t>
  </si>
  <si>
    <t xml:space="preserve">Boule de crépuscule</t>
  </si>
  <si>
    <t xml:space="preserve">Tir précis de crépuscule</t>
  </si>
  <si>
    <t xml:space="preserve">Distorsion</t>
  </si>
  <si>
    <t xml:space="preserve">20 % : Terreur (perd son tour) ; sur un boss, une seule fois par combat.</t>
  </si>
  <si>
    <t xml:space="preserve">Déforme l’espace et perturbe brièvement les actions de la cible.</t>
  </si>
  <si>
    <t xml:space="preserve">Estoc de distorsion</t>
  </si>
  <si>
    <t xml:space="preserve">Boule de distorsion</t>
  </si>
  <si>
    <t xml:space="preserve">Tir précis de distorsion</t>
  </si>
  <si>
    <t xml:space="preserve">Révélation</t>
  </si>
  <si>
    <t xml:space="preserve">Soigne le lanceur de 10 % des PV max ; 30 % : Éblouissement.</t>
  </si>
  <si>
    <t xml:space="preserve">Déflagration sacrée qui soigne les alliés et blesse les ennemis.</t>
  </si>
  <si>
    <t xml:space="preserve">Soutien / zone</t>
  </si>
  <si>
    <t xml:space="preserve">Estoc de révélation</t>
  </si>
  <si>
    <t xml:space="preserve">Boule de révélation</t>
  </si>
  <si>
    <t xml:space="preserve">Tir précis de révélation</t>
  </si>
  <si>
    <t xml:space="preserve">Équilibre</t>
  </si>
  <si>
    <t xml:space="preserve">Réduit de 1 tour la recharge d'une autre compétence équipée (une fois tous les 3 tours).</t>
  </si>
  <si>
    <t xml:space="preserve">Convertit une partie des dégâts en énergie de compétence.</t>
  </si>
  <si>
    <t xml:space="preserve">Ressource / soutien</t>
  </si>
  <si>
    <t xml:space="preserve">Estoc d'équilibre</t>
  </si>
  <si>
    <t xml:space="preserve">Boule d'équilibre</t>
  </si>
  <si>
    <t xml:space="preserve">Tir précis d'équilibre</t>
  </si>
  <si>
    <t xml:space="preserve">Singularité</t>
  </si>
  <si>
    <t xml:space="preserve">+25 % de dégâts ; ignore l'avantage et la résistance élémentaires de la cible (toujours ×1).</t>
  </si>
  <si>
    <t xml:space="preserve">Concentre la magie avant une explosion arcanique.</t>
  </si>
  <si>
    <t xml:space="preserve">Burst / dégâts fiables</t>
  </si>
  <si>
    <t xml:space="preserve">Estoc de singularité</t>
  </si>
  <si>
    <t xml:space="preserve">Boule de singularité</t>
  </si>
  <si>
    <t xml:space="preserve">Tir précis de singularité</t>
  </si>
  <si>
    <t xml:space="preserve">Sur une compétence de soutien (buff, soin, bouclier), la fusion ajoute les effets « soutien » des deux éléments à 70 % chacun, en plus de l'effet de fusion s'il concerne le lanceur.</t>
  </si>
  <si>
    <t xml:space="preserve">Plafonds : les règles d'altération du bestiaire s'appliquent (cumul max, durée, contrôles divisés par 2 sur les boss, jamais d'immunité totale).</t>
  </si>
  <si>
    <t xml:space="preserve">Constructeur : une compétence, 1 ou 2 éléments</t>
  </si>
  <si>
    <t xml:space="preserve">Choisissez une compétence de base et ses éléments (cellules jaunes). Avec un 2e élément, la compétence devient une fusion.</t>
  </si>
  <si>
    <t xml:space="preserve">Élément 1 (principal)</t>
  </si>
  <si>
    <t xml:space="preserve">Élément 2 (fusion, ou —)</t>
  </si>
  <si>
    <t xml:space="preserve">Élément de l'ennemi visé</t>
  </si>
  <si>
    <t xml:space="preserve">Stat d'attaque du joueur (Force ou Magie)</t>
  </si>
  <si>
    <t xml:space="preserve">Réduction des dégâts par l'ennemi</t>
  </si>
  <si>
    <t xml:space="preserve">(aide) N° de la compétence</t>
  </si>
  <si>
    <t xml:space="preserve">Classe · famille · type</t>
  </si>
  <si>
    <t xml:space="preserve">Fusion ?</t>
  </si>
  <si>
    <t xml:space="preserve">(aide) ligne de fusion</t>
  </si>
  <si>
    <t xml:space="preserve">Nom de la fusion</t>
  </si>
  <si>
    <t xml:space="preserve">Cible · recharge · ultime</t>
  </si>
  <si>
    <t xml:space="preserve">Effet de l'élément 1</t>
  </si>
  <si>
    <t xml:space="preserve">Effet de la fusion</t>
  </si>
  <si>
    <t xml:space="preserve">Multiplicateur élémentaire</t>
  </si>
  <si>
    <t xml:space="preserve">Dégâts par cible (estim.)</t>
  </si>
  <si>
    <t xml:space="preserve">Dégâts sur une vague (estim.)</t>
  </si>
  <si>
    <t xml:space="preserve">Dégâts = stat × puissance × multiplicateur élémentaire × (1 − réduction), avant critique. Pour une fusion, l'avantage se calcule avec l'élément 1 seulement.</t>
  </si>
  <si>
    <t xml:space="preserve">Exemple de combo : Boule d'eau (Mouillé) puis Lance de foudre (+25 % sur une cible Mouillée) ; ou Tir précis + Pointes barbelées pour du Saignement sur critique.</t>
  </si>
  <si>
    <t xml:space="preserve">Rotation : 3 actives + 2 passives</t>
  </si>
  <si>
    <t xml:space="preserve">Choisissez vos compétences (noms du Catalogue). La simulation joue chaque tour la 1re compétence prête dans l'ordre des emplacements : mettez l'ultime en 1.</t>
  </si>
  <si>
    <t xml:space="preserve">Étage atteint (pour vérifier les déblocages)</t>
  </si>
  <si>
    <t xml:space="preserve">Emplacement</t>
  </si>
  <si>
    <t xml:space="preserve">Compétence</t>
  </si>
  <si>
    <t xml:space="preserve">Puissance</t>
  </si>
  <si>
    <t xml:space="preserve">Disponible ?</t>
  </si>
  <si>
    <t xml:space="preserve">Effets</t>
  </si>
  <si>
    <t xml:space="preserve">Active 1</t>
  </si>
  <si>
    <t xml:space="preserve">Explosion de feu</t>
  </si>
  <si>
    <t xml:space="preserve">Active 2</t>
  </si>
  <si>
    <t xml:space="preserve">Lance de feu</t>
  </si>
  <si>
    <t xml:space="preserve">Active 3</t>
  </si>
  <si>
    <t xml:space="preserve">Boule de feu</t>
  </si>
  <si>
    <t xml:space="preserve">Passif 1</t>
  </si>
  <si>
    <t xml:space="preserve">Passif 2</t>
  </si>
  <si>
    <t xml:space="preserve">Contrôles</t>
  </si>
  <si>
    <t xml:space="preserve">Une seule classe (ou affinités)</t>
  </si>
  <si>
    <t xml:space="preserve">Actives = compétences actives</t>
  </si>
  <si>
    <t xml:space="preserve">Passives = compétences passives</t>
  </si>
  <si>
    <t xml:space="preserve">Ultimes</t>
  </si>
  <si>
    <t xml:space="preserve">Toutes débloquées</t>
  </si>
  <si>
    <t xml:space="preserve">Pas de doublon</t>
  </si>
  <si>
    <t xml:space="preserve">Résultat de la simulation</t>
  </si>
  <si>
    <t xml:space="preserve">Puissance moyenne par tour sur une cible</t>
  </si>
  <si>
    <t xml:space="preserve">Puissance moyenne par tour sur une vague</t>
  </si>
  <si>
    <t xml:space="preserve">Repère du bestiaire</t>
  </si>
  <si>
    <t xml:space="preserve">Lecture</t>
  </si>
  <si>
    <t xml:space="preserve">Tour</t>
  </si>
  <si>
    <t xml:space="preserve">Active 1 prête</t>
  </si>
  <si>
    <t xml:space="preserve">Active 2 prête</t>
  </si>
  <si>
    <t xml:space="preserve">Active 3 prête</t>
  </si>
  <si>
    <t xml:space="preserve">Emplacement utilisé</t>
  </si>
  <si>
    <t xml:space="preserve">Puissance (1 cible)</t>
  </si>
  <si>
    <t xml:space="preserve">Puissance (vague)</t>
  </si>
  <si>
    <t xml:space="preserve">Dernier usage 1</t>
  </si>
  <si>
    <t xml:space="preserve">Dernier usage 2</t>
  </si>
  <si>
    <t xml:space="preserve">Dernier usage 3</t>
  </si>
  <si>
    <t xml:space="preserve">Un tour = une action. Les buffs, soins et boucliers ont une puissance de 0 ici : ils coûtent un tour d'attaque mais font gagner des PV (non simulés).</t>
  </si>
  <si>
    <t xml:space="preserve">Déblocages : le panel grandit avec la tour</t>
  </si>
  <si>
    <t xml:space="preserve">Nombre de compétences disponibles une fois l'étage terminé (le niveau du joueur est supposé égal à l'étage).</t>
  </si>
  <si>
    <t xml:space="preserve">Étage terminé</t>
  </si>
  <si>
    <t xml:space="preserve">Nouvel élément</t>
  </si>
  <si>
    <t xml:space="preserve">Guerrier : actives</t>
  </si>
  <si>
    <t xml:space="preserve">Guerrier : passifs</t>
  </si>
  <si>
    <t xml:space="preserve">Mage : actives</t>
  </si>
  <si>
    <t xml:space="preserve">Mage : passifs</t>
  </si>
  <si>
    <t xml:space="preserve">Tireur : actives</t>
  </si>
  <si>
    <t xml:space="preserve">Tireur : passifs</t>
  </si>
  <si>
    <t xml:space="preserve">Affinités</t>
  </si>
  <si>
    <t xml:space="preserve">Fusions possibles</t>
  </si>
  <si>
    <t xml:space="preserve">Actives = compétences de base débloquées par le niveau × éléments débloqués. Les fusions s'appliquent à toutes les actives (Constructeur).</t>
  </si>
  <si>
    <t xml:space="preserve">Kit de départ (niveau 1, Neutre)</t>
  </si>
  <si>
    <t xml:space="preserve">Première compétence de soutien</t>
  </si>
  <si>
    <t xml:space="preserve">Frappe rapide (sans recharge)</t>
  </si>
  <si>
    <t xml:space="preserve">Coup d'estoc (sans recharge)</t>
  </si>
  <si>
    <t xml:space="preserve">Garde (niveau 5)</t>
  </si>
  <si>
    <t xml:space="preserve">Boule arcanique (sans recharge)</t>
  </si>
  <si>
    <t xml:space="preserve">Lance arcanique (sans recharge)</t>
  </si>
  <si>
    <t xml:space="preserve">Barrière (niveau 5)</t>
  </si>
  <si>
    <t xml:space="preserve">Tir rapide (sans recharge)</t>
  </si>
  <si>
    <t xml:space="preserve">Tir précis (sans recharge)</t>
  </si>
  <si>
    <t xml:space="preserve">Œil de faucon (niveau 5)</t>
  </si>
  <si>
    <t xml:space="preserve">Avec 2 actives au départ, le 3e emplacement actif s'ouvre au niveau 5 (première compétence de soutien). Le 2e passif s'ouvre au niveau 10.</t>
  </si>
  <si>
    <t xml:space="preserve">Paramètres des compétences</t>
  </si>
  <si>
    <t xml:space="preserve">Cellules jaunes = réglages. Tout le classeur se recalcule à partir d'ici, de « Bases » et de « Éléments ».</t>
  </si>
  <si>
    <t xml:space="preserve">Paramètre</t>
  </si>
  <si>
    <t xml:space="preserve">Valeur</t>
  </si>
  <si>
    <t xml:space="preserve">Explication</t>
  </si>
  <si>
    <t xml:space="preserve">Compétences actives équipées</t>
  </si>
  <si>
    <t xml:space="preserve">Attaque, buff, soin, bouclier ou debuff.</t>
  </si>
  <si>
    <t xml:space="preserve">Compétences passives équipées</t>
  </si>
  <si>
    <t xml:space="preserve">S'appliquent en permanence ou tous les X tours.</t>
  </si>
  <si>
    <t xml:space="preserve">Ultimes équipables en même temps</t>
  </si>
  <si>
    <t xml:space="preserve">Proposition : une seule ultime parmi les 3 actives (sinon tout le monde équipe 3 ultimes).</t>
  </si>
  <si>
    <t xml:space="preserve">Ennemis par vague</t>
  </si>
  <si>
    <t xml:space="preserve">Comme le bestiaire (3 monstres par vague). Sert à compter les attaques de zone.</t>
  </si>
  <si>
    <t xml:space="preserve">Puissance moyenne visée par tour</t>
  </si>
  <si>
    <t xml:space="preserve">Le bestiaire calibre les PV des monstres sur 1,5 × la stat d'attaque par tour (Paramètres du bestiaire, B14).</t>
  </si>
  <si>
    <t xml:space="preserve">Bonus de puissance des fusions</t>
  </si>
  <si>
    <t xml:space="preserve">Une compétence infusée de 2 éléments frappe ×1,10 et remplace les effets simples par l'effet de fusion.</t>
  </si>
  <si>
    <t xml:space="preserve">Étage de la Tour d'alchimie</t>
  </si>
  <si>
    <t xml:space="preserve">Diagramme : la Tour d'alchimie (étage 85) sert à mélanger les éléments. Mettre 0 pour autoriser les fusions dès que les 2 éléments sont débloqués.</t>
  </si>
  <si>
    <t xml:space="preserve">Tours simulés (Rotation)</t>
  </si>
  <si>
    <t xml:space="preserve">Nombre de tours de la simulation de rotation (12 maximum).</t>
  </si>
  <si>
    <t xml:space="preserve">Poids d'une attaque de zone (score de recharge)</t>
  </si>
  <si>
    <t xml:space="preserve">Une attaque de zone compte double dans le score (elle touche plusieurs ennemis).</t>
  </si>
  <si>
    <t xml:space="preserve">Score maximum pour une recharge de 1</t>
  </si>
  <si>
    <t xml:space="preserve">Score = puissance × poids de zone + valeur d'effet (Bases, col. O). Recharge 1 = utilisable à chaque manche.</t>
  </si>
  <si>
    <t xml:space="preserve">Score maximum pour une recharge de 2</t>
  </si>
  <si>
    <t xml:space="preserve">Au-delà : recharge 3 (2 manches de pause). Les ultimes ont toujours une recharge de 3.</t>
  </si>
  <si>
    <t xml:space="preserve">Actions par manche en solo (pour toute l'équipe)</t>
  </si>
  <si>
    <t xml:space="preserve">Réparties librement entre les 1 à 3 personnages de l'équipe.</t>
  </si>
  <si>
    <t xml:space="preserve">Actions par manche en multi (par joueur)</t>
  </si>
  <si>
    <t xml:space="preserve">Chaque joueur a son propre personnage et ses 3 actions.</t>
  </si>
  <si>
    <t xml:space="preserve">Utilisations d'une même compétence par manche</t>
  </si>
  <si>
    <t xml:space="preserve">Une compétence lancée passe en recharge immédiatement (sauf les compétences sans recharge, ligne 19).</t>
  </si>
  <si>
    <t xml:space="preserve">Niveau requis des compétences sans recharge</t>
  </si>
  <si>
    <t xml:space="preserve">Les actives débloquées à ce niveau (kit de départ) n'ont aucune recharge : utilisables plusieurs fois dans la même manche.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</si>
</sst>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.00;\-0.00;\-"/>
    <numFmt numFmtId="167" formatCode="0;\-0;&quot;début&quot;"/>
    <numFmt numFmtId="168" formatCode="0.00"/>
    <numFmt numFmtId="169" formatCode="0%"/>
    <numFmt numFmtId="170" formatCode="#,##0;\-#,##0;\-"/>
    <numFmt numFmtId="171" formatCode="0;\-0;\—"/>
    <numFmt numFmtId="172" formatCode="0;\-0;0"/>
    <numFmt numFmtId="173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9"/>
      <color rgb="FF6B7280"/>
      <name val="Arial"/>
      <family val="0"/>
      <charset val="1"/>
    </font>
    <font>
      <sz val="9"/>
      <color rgb="FF9CA3A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F2937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2CC"/>
        <bgColor rgb="FFFEF3C7"/>
      </patternFill>
    </fill>
    <fill>
      <patternFill patternType="solid">
        <fgColor rgb="FFE5E7EB"/>
        <bgColor rgb="FFE0F2FE"/>
      </patternFill>
    </fill>
    <fill>
      <patternFill patternType="solid">
        <fgColor rgb="FFD1FAE5"/>
        <bgColor rgb="FFCCFBF1"/>
      </patternFill>
    </fill>
    <fill>
      <patternFill patternType="solid">
        <fgColor rgb="FFFECACA"/>
        <bgColor rgb="FFE7D7C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1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DBFE"/>
          <bgColor rgb="FF000000"/>
        </patternFill>
      </fill>
    </dxf>
    <dxf>
      <fill>
        <patternFill patternType="solid">
          <fgColor rgb="FFCCFBF1"/>
          <bgColor rgb="FF000000"/>
        </patternFill>
      </fill>
    </dxf>
    <dxf>
      <fill>
        <patternFill patternType="solid">
          <fgColor rgb="FFD9F99D"/>
          <bgColor rgb="FF000000"/>
        </patternFill>
      </fill>
    </dxf>
    <dxf>
      <fill>
        <patternFill patternType="solid">
          <fgColor rgb="FFDDD6FE"/>
          <bgColor rgb="FF000000"/>
        </patternFill>
      </fill>
    </dxf>
    <dxf>
      <fill>
        <patternFill patternType="solid">
          <fgColor rgb="FFE0F2FE"/>
          <bgColor rgb="FF000000"/>
        </patternFill>
      </fill>
    </dxf>
    <dxf>
      <fill>
        <patternFill patternType="solid">
          <fgColor rgb="FFE7D7C1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ECACA"/>
          <bgColor rgb="FF000000"/>
        </patternFill>
      </fill>
    </dxf>
    <dxf>
      <fill>
        <patternFill patternType="solid">
          <fgColor rgb="FFFEF08A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FEDD5"/>
          <bgColor rgb="FF000000"/>
        </patternFill>
      </fill>
    </dxf>
    <dxf>
      <fill>
        <patternFill patternType="solid">
          <fgColor rgb="FF9CA3AF"/>
          <bgColor rgb="FF000000"/>
        </patternFill>
      </fill>
    </dxf>
    <dxf>
      <fill>
        <patternFill>
          <bgColor rgb="FFF3F4F6"/>
        </patternFill>
      </fill>
    </dxf>
    <dxf>
      <fill>
        <patternFill>
          <bgColor rgb="FFE7D7C1"/>
        </patternFill>
      </fill>
    </dxf>
    <dxf>
      <fill>
        <patternFill>
          <bgColor rgb="FFFECACA"/>
        </patternFill>
      </fill>
    </dxf>
    <dxf>
      <fill>
        <patternFill>
          <bgColor rgb="FFCCFBF1"/>
        </patternFill>
      </fill>
    </dxf>
    <dxf>
      <fill>
        <patternFill>
          <bgColor rgb="FFD9F99D"/>
        </patternFill>
      </fill>
    </dxf>
    <dxf>
      <fill>
        <patternFill>
          <bgColor rgb="FFBFDBFE"/>
        </patternFill>
      </fill>
    </dxf>
    <dxf>
      <fill>
        <patternFill>
          <bgColor rgb="FFE0F2FE"/>
        </patternFill>
      </fill>
    </dxf>
    <dxf>
      <fill>
        <patternFill>
          <bgColor rgb="FFFEF08A"/>
        </patternFill>
      </fill>
    </dxf>
    <dxf>
      <fill>
        <patternFill>
          <bgColor rgb="FFFEF3C7"/>
        </patternFill>
      </fill>
    </dxf>
    <dxf>
      <fill>
        <patternFill>
          <bgColor rgb="FFDDD6FE"/>
        </patternFill>
      </fill>
    </dxf>
    <dxf>
      <fill>
        <patternFill>
          <bgColor rgb="FFFFEDD5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b val="1"/>
        <color rgb="FF991B1B"/>
      </font>
      <fill>
        <patternFill>
          <bgColor rgb="FFFECACA"/>
        </patternFill>
      </fill>
    </dxf>
    <dxf>
      <font>
        <b val="1"/>
        <color rgb="FF065F46"/>
      </font>
      <fill>
        <patternFill>
          <bgColor rgb="FFD1FAE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D9F99D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D1D5DB"/>
      <rgbColor rgb="FF808080"/>
      <rgbColor rgb="FFF3F4F6"/>
      <rgbColor rgb="FF993366"/>
      <rgbColor rgb="FFFEF3C7"/>
      <rgbColor rgb="FFCCFBF1"/>
      <rgbColor rgb="FF660066"/>
      <rgbColor rgb="FFFF8080"/>
      <rgbColor rgb="FF0066CC"/>
      <rgbColor rgb="FFDDD6FE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CCFF"/>
      <rgbColor rgb="FFE0F2FE"/>
      <rgbColor rgb="FFD1FAE5"/>
      <rgbColor rgb="FFFEF08A"/>
      <rgbColor rgb="FFBFDBFE"/>
      <rgbColor rgb="FFE7D7C1"/>
      <rgbColor rgb="FFE5E7EB"/>
      <rgbColor rgb="FFFECACA"/>
      <rgbColor rgb="FF3366FF"/>
      <rgbColor rgb="FF33CCCC"/>
      <rgbColor rgb="FF99CC00"/>
      <rgbColor rgb="FFFFEDD5"/>
      <rgbColor rgb="FFFF9900"/>
      <rgbColor rgb="FFFF6600"/>
      <rgbColor rgb="FF6B7280"/>
      <rgbColor rgb="FF9CA3AF"/>
      <rgbColor rgb="FF003366"/>
      <rgbColor rgb="FF339966"/>
      <rgbColor rgb="FF003300"/>
      <rgbColor rgb="FF333300"/>
      <rgbColor rgb="FF991B1B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</row>
    <row r="5" customFormat="false" ht="30.75" hidden="false" customHeight="true" outlineLevel="0" collapsed="false">
      <c r="A5" s="6" t="s">
        <v>3</v>
      </c>
      <c r="B5" s="7" t="s">
        <v>4</v>
      </c>
    </row>
    <row r="6" customFormat="false" ht="16.5" hidden="false" customHeight="true" outlineLevel="0" collapsed="false">
      <c r="A6" s="6" t="s">
        <v>5</v>
      </c>
      <c r="B6" s="7" t="s">
        <v>6</v>
      </c>
    </row>
    <row r="7" customFormat="false" ht="30.75" hidden="false" customHeight="true" outlineLevel="0" collapsed="false">
      <c r="A7" s="6" t="s">
        <v>7</v>
      </c>
      <c r="B7" s="7" t="s">
        <v>8</v>
      </c>
    </row>
    <row r="8" customFormat="false" ht="30.75" hidden="false" customHeight="true" outlineLevel="0" collapsed="false">
      <c r="A8" s="6" t="s">
        <v>9</v>
      </c>
      <c r="B8" s="7" t="s">
        <v>10</v>
      </c>
    </row>
    <row r="9" customFormat="false" ht="45" hidden="false" customHeight="true" outlineLevel="0" collapsed="false">
      <c r="A9" s="6" t="s">
        <v>11</v>
      </c>
      <c r="B9" s="7" t="s">
        <v>12</v>
      </c>
    </row>
    <row r="10" customFormat="false" ht="30.75" hidden="false" customHeight="true" outlineLevel="0" collapsed="false">
      <c r="A10" s="6" t="s">
        <v>13</v>
      </c>
      <c r="B10" s="7" t="s">
        <v>14</v>
      </c>
    </row>
    <row r="11" customFormat="false" ht="16.5" hidden="false" customHeight="true" outlineLevel="0" collapsed="false">
      <c r="A11" s="6" t="s">
        <v>15</v>
      </c>
      <c r="B11" s="7" t="s">
        <v>16</v>
      </c>
    </row>
    <row r="12" customFormat="false" ht="15" hidden="false" customHeight="true" outlineLevel="0" collapsed="false">
      <c r="A12" s="4" t="s">
        <v>17</v>
      </c>
      <c r="B12" s="5"/>
    </row>
    <row r="13" customFormat="false" ht="30.75" hidden="false" customHeight="true" outlineLevel="0" collapsed="false">
      <c r="A13" s="6" t="s">
        <v>18</v>
      </c>
      <c r="B13" s="7" t="s">
        <v>19</v>
      </c>
    </row>
    <row r="14" customFormat="false" ht="30.75" hidden="false" customHeight="true" outlineLevel="0" collapsed="false">
      <c r="A14" s="6" t="s">
        <v>20</v>
      </c>
      <c r="B14" s="7" t="s">
        <v>21</v>
      </c>
    </row>
    <row r="15" customFormat="false" ht="16.5" hidden="false" customHeight="true" outlineLevel="0" collapsed="false">
      <c r="A15" s="6" t="s">
        <v>9</v>
      </c>
      <c r="B15" s="7" t="s">
        <v>22</v>
      </c>
    </row>
    <row r="16" customFormat="false" ht="16.5" hidden="false" customHeight="true" outlineLevel="0" collapsed="false">
      <c r="A16" s="6" t="s">
        <v>13</v>
      </c>
      <c r="B16" s="7" t="s">
        <v>23</v>
      </c>
    </row>
    <row r="17" customFormat="false" ht="16.5" hidden="false" customHeight="true" outlineLevel="0" collapsed="false">
      <c r="A17" s="6" t="s">
        <v>24</v>
      </c>
      <c r="B17" s="7" t="s">
        <v>25</v>
      </c>
    </row>
    <row r="18" customFormat="false" ht="30.75" hidden="false" customHeight="true" outlineLevel="0" collapsed="false">
      <c r="A18" s="6" t="s">
        <v>26</v>
      </c>
      <c r="B18" s="7" t="s">
        <v>27</v>
      </c>
    </row>
    <row r="19" customFormat="false" ht="16.5" hidden="false" customHeight="true" outlineLevel="0" collapsed="false">
      <c r="A19" s="6" t="s">
        <v>28</v>
      </c>
      <c r="B19" s="7" t="s">
        <v>29</v>
      </c>
    </row>
    <row r="20" customFormat="false" ht="30.75" hidden="false" customHeight="true" outlineLevel="0" collapsed="false">
      <c r="A20" s="6" t="s">
        <v>30</v>
      </c>
      <c r="B20" s="7" t="s">
        <v>31</v>
      </c>
    </row>
    <row r="21" customFormat="false" ht="15" hidden="false" customHeight="true" outlineLevel="0" collapsed="false">
      <c r="A21" s="4" t="s">
        <v>32</v>
      </c>
      <c r="B21" s="5"/>
    </row>
    <row r="22" customFormat="false" ht="30.75" hidden="false" customHeight="true" outlineLevel="0" collapsed="false">
      <c r="A22" s="6" t="s">
        <v>33</v>
      </c>
      <c r="B22" s="7" t="s">
        <v>34</v>
      </c>
    </row>
    <row r="23" customFormat="false" ht="30.75" hidden="false" customHeight="true" outlineLevel="0" collapsed="false">
      <c r="A23" s="6" t="s">
        <v>35</v>
      </c>
      <c r="B23" s="7" t="s">
        <v>36</v>
      </c>
    </row>
    <row r="24" customFormat="false" ht="16.5" hidden="false" customHeight="true" outlineLevel="0" collapsed="false">
      <c r="A24" s="6" t="s">
        <v>37</v>
      </c>
      <c r="B24" s="7" t="s">
        <v>38</v>
      </c>
    </row>
    <row r="25" customFormat="false" ht="15" hidden="false" customHeight="true" outlineLevel="0" collapsed="false">
      <c r="A25" s="4" t="s">
        <v>39</v>
      </c>
      <c r="B25" s="5"/>
    </row>
    <row r="26" customFormat="false" ht="30.75" hidden="false" customHeight="true" outlineLevel="0" collapsed="false">
      <c r="A26" s="6" t="s">
        <v>40</v>
      </c>
      <c r="B26" s="7" t="s">
        <v>41</v>
      </c>
    </row>
    <row r="27" customFormat="false" ht="30.75" hidden="false" customHeight="true" outlineLevel="0" collapsed="false">
      <c r="A27" s="6" t="s">
        <v>42</v>
      </c>
      <c r="B27" s="7" t="s">
        <v>43</v>
      </c>
    </row>
    <row r="28" customFormat="false" ht="30.75" hidden="false" customHeight="true" outlineLevel="0" collapsed="false">
      <c r="A28" s="6" t="s">
        <v>44</v>
      </c>
      <c r="B28" s="7" t="s">
        <v>45</v>
      </c>
    </row>
    <row r="29" customFormat="false" ht="16.5" hidden="false" customHeight="true" outlineLevel="0" collapsed="false">
      <c r="A29" s="6" t="s">
        <v>46</v>
      </c>
      <c r="B29" s="7" t="s">
        <v>47</v>
      </c>
    </row>
    <row r="30" customFormat="false" ht="15" hidden="false" customHeight="true" outlineLevel="0" collapsed="false">
      <c r="A30" s="4" t="s">
        <v>48</v>
      </c>
      <c r="B30" s="5"/>
    </row>
    <row r="31" customFormat="false" ht="16.5" hidden="false" customHeight="true" outlineLevel="0" collapsed="false">
      <c r="A31" s="6" t="s">
        <v>49</v>
      </c>
      <c r="B31" s="7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9"/>
    <col collapsed="false" customWidth="true" hidden="false" outlineLevel="0" max="3" min="3" style="1" width="16"/>
    <col collapsed="false" customWidth="true" hidden="false" outlineLevel="0" max="4" min="4" style="1" width="9"/>
    <col collapsed="false" customWidth="true" hidden="false" outlineLevel="0" max="5" min="5" style="1" width="22"/>
    <col collapsed="false" customWidth="true" hidden="false" outlineLevel="0" max="6" min="6" style="1" width="11"/>
    <col collapsed="false" customWidth="true" hidden="false" outlineLevel="0" max="7" min="7" style="1" width="26"/>
    <col collapsed="false" customWidth="true" hidden="false" outlineLevel="0" max="8" min="8" style="1" width="7"/>
    <col collapsed="false" customWidth="true" hidden="false" outlineLevel="0" max="9" min="9" style="1" width="9"/>
    <col collapsed="false" customWidth="true" hidden="false" outlineLevel="0" max="10" min="10" style="1" width="7"/>
    <col collapsed="false" customWidth="true" hidden="false" outlineLevel="0" max="11" min="11" style="1" width="10"/>
    <col collapsed="false" customWidth="true" hidden="false" outlineLevel="0" max="12" min="12" style="1" width="7"/>
    <col collapsed="false" customWidth="true" hidden="false" outlineLevel="0" max="13" min="13" style="1" width="50"/>
    <col collapsed="false" customWidth="true" hidden="false" outlineLevel="0" max="14" min="14" style="1" width="55"/>
    <col collapsed="false" customWidth="true" hidden="false" outlineLevel="0" max="15" min="15" style="1" width="16"/>
    <col collapsed="false" customWidth="true" hidden="false" outlineLevel="0" max="16" min="16" style="1" width="8"/>
    <col collapsed="false" customWidth="true" hidden="false" outlineLevel="0" max="17" min="17" style="1" width="9"/>
    <col collapsed="false" customWidth="true" hidden="false" outlineLevel="0" max="18" min="18" style="1" width="22"/>
    <col collapsed="false" customWidth="true" hidden="false" outlineLevel="0" max="19" min="19" style="1" width="11"/>
    <col collapsed="false" customWidth="true" hidden="false" outlineLevel="0" max="21" min="20" style="1" width="8"/>
  </cols>
  <sheetData>
    <row r="1" customFormat="false" ht="17.25" hidden="false" customHeight="true" outlineLevel="0" collapsed="false">
      <c r="A1" s="2" t="s">
        <v>51</v>
      </c>
    </row>
    <row r="2" customFormat="false" ht="15" hidden="false" customHeight="true" outlineLevel="0" collapsed="false">
      <c r="A2" s="3" t="s">
        <v>52</v>
      </c>
    </row>
    <row r="4" customFormat="false" ht="36" hidden="false" customHeight="true" outlineLevel="0" collapsed="false">
      <c r="A4" s="8" t="s">
        <v>53</v>
      </c>
      <c r="B4" s="8" t="s">
        <v>54</v>
      </c>
      <c r="C4" s="8" t="s">
        <v>55</v>
      </c>
      <c r="D4" s="8" t="s">
        <v>56</v>
      </c>
      <c r="E4" s="8" t="s">
        <v>57</v>
      </c>
      <c r="F4" s="8" t="s">
        <v>58</v>
      </c>
      <c r="G4" s="8" t="s">
        <v>59</v>
      </c>
      <c r="H4" s="8" t="s">
        <v>60</v>
      </c>
      <c r="I4" s="8" t="s">
        <v>61</v>
      </c>
      <c r="J4" s="8" t="s">
        <v>62</v>
      </c>
      <c r="K4" s="8" t="s">
        <v>63</v>
      </c>
      <c r="L4" s="8" t="s">
        <v>64</v>
      </c>
      <c r="M4" s="8" t="s">
        <v>65</v>
      </c>
      <c r="N4" s="8" t="s">
        <v>66</v>
      </c>
      <c r="O4" s="8" t="s">
        <v>67</v>
      </c>
      <c r="P4" s="8" t="s">
        <v>68</v>
      </c>
      <c r="Q4" s="8" t="s">
        <v>69</v>
      </c>
      <c r="R4" s="8" t="s">
        <v>70</v>
      </c>
      <c r="S4" s="8" t="s">
        <v>71</v>
      </c>
      <c r="T4" s="8" t="s">
        <v>72</v>
      </c>
      <c r="U4" s="8" t="s">
        <v>73</v>
      </c>
    </row>
    <row r="5" customFormat="false" ht="15" hidden="false" customHeight="true" outlineLevel="0" collapsed="false">
      <c r="A5" s="9" t="s">
        <v>74</v>
      </c>
      <c r="B5" s="10" t="str">
        <f aca="false">INDEX(Bases!$B$5:$B$83,$T5)</f>
        <v>Guerrier</v>
      </c>
      <c r="C5" s="10" t="str">
        <f aca="false">INDEX(Bases!$E$5:$E$83,$T5)</f>
        <v>Attaque (arme 1)</v>
      </c>
      <c r="D5" s="10" t="str">
        <f aca="false">INDEX(Bases!$F$5:$F$83,$T5)</f>
        <v>Attaque</v>
      </c>
      <c r="E5" s="11" t="str">
        <f aca="false">INDEX(Bases!$C$5:$C$83,$T5)</f>
        <v>Frappe rapide</v>
      </c>
      <c r="F5" s="10" t="str">
        <f aca="false">INDEX(Éléments!$A$5:$A$14,$U5)</f>
        <v>Neutre</v>
      </c>
      <c r="G5" s="12" t="str">
        <f aca="false">IF(OR($F5="Neutre",$C5="Passif"),$E5,INDEX(Bases!$D$5:$D$83,$T5)&amp;" "&amp;INDEX(Éléments!$D$5:$D$14,$U5))</f>
        <v>Frappe rapide</v>
      </c>
      <c r="H5" s="10" t="str">
        <f aca="false">INDEX(Bases!$G$5:$G$83,$T5)</f>
        <v>Mono</v>
      </c>
      <c r="I5" s="13" t="n">
        <f aca="false">INDEX(Bases!$H$5:$H$83,$T5)</f>
        <v>0</v>
      </c>
      <c r="J5" s="10" t="str">
        <f aca="false">INDEX(Bases!$I$5:$I$83,$T5)</f>
        <v>Non</v>
      </c>
      <c r="K5" s="14" t="n">
        <f aca="false">INDEX(Bases!$J$5:$J$83,$T5)</f>
        <v>1</v>
      </c>
      <c r="L5" s="10" t="str">
        <f aca="false">INDEX(Bases!$K$5:$K$83,$T5)</f>
        <v>Force</v>
      </c>
      <c r="M5" s="11" t="str">
        <f aca="false">INDEX(Bases!$L$5:$L$83,$T5)</f>
        <v>Coup d'épée simple et fiable.</v>
      </c>
      <c r="N5" s="11" t="str">
        <f aca="false">IF($C5="Passif","—",IF($C5="Attaque (arme 1)",INDEX(Éléments!$F$5:$F$14,$U5),INDEX(Éléments!$G$5:$G$14,$U5)))</f>
        <v>Aucune altération ; ignore 10 % de la Résistance de la cible. Fiable contre tous les biomes.</v>
      </c>
      <c r="O5" s="10" t="str">
        <f aca="false">INDEX(Bases!$M$5:$M$83,$T5)</f>
        <v>Active</v>
      </c>
      <c r="P5" s="13" t="n">
        <f aca="false">INDEX(Bases!$N$5:$N$83,$T5)</f>
        <v>1</v>
      </c>
      <c r="Q5" s="15" t="n">
        <f aca="false">INDEX(Éléments!$C$5:$C$14,$U5)</f>
        <v>0</v>
      </c>
      <c r="R5" s="11" t="str">
        <f aca="false">"Niv. "&amp;$P5&amp;IF($Q5&gt;0," · étage "&amp;$Q5&amp;" terminé","")</f>
        <v>Niv. 1</v>
      </c>
      <c r="S5" s="14" t="n">
        <f aca="false">IF(ISNUMBER($I5),$K5*IF($H5="Zone",Paramètres!$B$8,1)/MAX(1,$I5),0)</f>
        <v>1</v>
      </c>
      <c r="T5" s="16" t="n">
        <v>1</v>
      </c>
      <c r="U5" s="16" t="n">
        <v>1</v>
      </c>
    </row>
    <row r="6" customFormat="false" ht="15" hidden="false" customHeight="true" outlineLevel="0" collapsed="false">
      <c r="A6" s="9" t="s">
        <v>75</v>
      </c>
      <c r="B6" s="10" t="str">
        <f aca="false">INDEX(Bases!$B$5:$B$83,$T6)</f>
        <v>Guerrier</v>
      </c>
      <c r="C6" s="10" t="str">
        <f aca="false">INDEX(Bases!$E$5:$E$83,$T6)</f>
        <v>Attaque (arme 1)</v>
      </c>
      <c r="D6" s="10" t="str">
        <f aca="false">INDEX(Bases!$F$5:$F$83,$T6)</f>
        <v>Attaque</v>
      </c>
      <c r="E6" s="11" t="str">
        <f aca="false">INDEX(Bases!$C$5:$C$83,$T6)</f>
        <v>Frappe rapide</v>
      </c>
      <c r="F6" s="10" t="str">
        <f aca="false">INDEX(Éléments!$A$5:$A$14,$U6)</f>
        <v>Terre</v>
      </c>
      <c r="G6" s="12" t="str">
        <f aca="false">IF(OR($F6="Neutre",$C6="Passif"),$E6,INDEX(Bases!$D$5:$D$83,$T6)&amp;" "&amp;INDEX(Éléments!$D$5:$D$14,$U6))</f>
        <v>Frappe rapide de pierre</v>
      </c>
      <c r="H6" s="10" t="str">
        <f aca="false">INDEX(Bases!$G$5:$G$83,$T6)</f>
        <v>Mono</v>
      </c>
      <c r="I6" s="13" t="n">
        <f aca="false">INDEX(Bases!$H$5:$H$83,$T6)</f>
        <v>0</v>
      </c>
      <c r="J6" s="10" t="str">
        <f aca="false">INDEX(Bases!$I$5:$I$83,$T6)</f>
        <v>Non</v>
      </c>
      <c r="K6" s="14" t="n">
        <f aca="false">INDEX(Bases!$J$5:$J$83,$T6)</f>
        <v>1</v>
      </c>
      <c r="L6" s="10" t="str">
        <f aca="false">INDEX(Bases!$K$5:$K$83,$T6)</f>
        <v>Force</v>
      </c>
      <c r="M6" s="11" t="str">
        <f aca="false">INDEX(Bases!$L$5:$L$83,$T6)</f>
        <v>Coup d'épée simple et fiable.</v>
      </c>
      <c r="N6" s="11" t="str">
        <f aca="false">IF($C6="Passif","—",IF($C6="Attaque (arme 1)",INDEX(Éléments!$F$5:$F$14,$U6),INDEX(Éléments!$G$5:$G$14,$U6)))</f>
        <v>30 % : Garde brisée (−15 % Résistance, 2 tours).</v>
      </c>
      <c r="O6" s="10" t="str">
        <f aca="false">INDEX(Bases!$M$5:$M$83,$T6)</f>
        <v>Active</v>
      </c>
      <c r="P6" s="13" t="n">
        <f aca="false">INDEX(Bases!$N$5:$N$83,$T6)</f>
        <v>1</v>
      </c>
      <c r="Q6" s="15" t="n">
        <f aca="false">INDEX(Éléments!$C$5:$C$14,$U6)</f>
        <v>20</v>
      </c>
      <c r="R6" s="11" t="str">
        <f aca="false">"Niv. "&amp;$P6&amp;IF($Q6&gt;0," · étage "&amp;$Q6&amp;" terminé","")</f>
        <v>Niv. 1 · étage 20 terminé</v>
      </c>
      <c r="S6" s="14" t="n">
        <f aca="false">IF(ISNUMBER($I6),$K6*IF($H6="Zone",Paramètres!$B$8,1)/MAX(1,$I6),0)</f>
        <v>1</v>
      </c>
      <c r="T6" s="16" t="n">
        <v>1</v>
      </c>
      <c r="U6" s="16" t="n">
        <v>2</v>
      </c>
    </row>
    <row r="7" customFormat="false" ht="15" hidden="false" customHeight="true" outlineLevel="0" collapsed="false">
      <c r="A7" s="9" t="s">
        <v>76</v>
      </c>
      <c r="B7" s="10" t="str">
        <f aca="false">INDEX(Bases!$B$5:$B$83,$T7)</f>
        <v>Guerrier</v>
      </c>
      <c r="C7" s="10" t="str">
        <f aca="false">INDEX(Bases!$E$5:$E$83,$T7)</f>
        <v>Attaque (arme 1)</v>
      </c>
      <c r="D7" s="10" t="str">
        <f aca="false">INDEX(Bases!$F$5:$F$83,$T7)</f>
        <v>Attaque</v>
      </c>
      <c r="E7" s="11" t="str">
        <f aca="false">INDEX(Bases!$C$5:$C$83,$T7)</f>
        <v>Frappe rapide</v>
      </c>
      <c r="F7" s="10" t="str">
        <f aca="false">INDEX(Éléments!$A$5:$A$14,$U7)</f>
        <v>Feu</v>
      </c>
      <c r="G7" s="12" t="str">
        <f aca="false">IF(OR($F7="Neutre",$C7="Passif"),$E7,INDEX(Bases!$D$5:$D$83,$T7)&amp;" "&amp;INDEX(Éléments!$D$5:$D$14,$U7))</f>
        <v>Frappe rapide de feu</v>
      </c>
      <c r="H7" s="10" t="str">
        <f aca="false">INDEX(Bases!$G$5:$G$83,$T7)</f>
        <v>Mono</v>
      </c>
      <c r="I7" s="13" t="n">
        <f aca="false">INDEX(Bases!$H$5:$H$83,$T7)</f>
        <v>0</v>
      </c>
      <c r="J7" s="10" t="str">
        <f aca="false">INDEX(Bases!$I$5:$I$83,$T7)</f>
        <v>Non</v>
      </c>
      <c r="K7" s="14" t="n">
        <f aca="false">INDEX(Bases!$J$5:$J$83,$T7)</f>
        <v>1</v>
      </c>
      <c r="L7" s="10" t="str">
        <f aca="false">INDEX(Bases!$K$5:$K$83,$T7)</f>
        <v>Force</v>
      </c>
      <c r="M7" s="11" t="str">
        <f aca="false">INDEX(Bases!$L$5:$L$83,$T7)</f>
        <v>Coup d'épée simple et fiable.</v>
      </c>
      <c r="N7" s="11" t="str">
        <f aca="false">IF($C7="Passif","—",IF($C7="Attaque (arme 1)",INDEX(Éléments!$F$5:$F$14,$U7),INDEX(Éléments!$G$5:$G$14,$U7)))</f>
        <v>35 % : Brûlure (8 % de la stat d'attaque par tour, 3 tours, non cumulable).</v>
      </c>
      <c r="O7" s="10" t="str">
        <f aca="false">INDEX(Bases!$M$5:$M$83,$T7)</f>
        <v>Active</v>
      </c>
      <c r="P7" s="13" t="n">
        <f aca="false">INDEX(Bases!$N$5:$N$83,$T7)</f>
        <v>1</v>
      </c>
      <c r="Q7" s="15" t="n">
        <f aca="false">INDEX(Éléments!$C$5:$C$14,$U7)</f>
        <v>30</v>
      </c>
      <c r="R7" s="11" t="str">
        <f aca="false">"Niv. "&amp;$P7&amp;IF($Q7&gt;0," · étage "&amp;$Q7&amp;" terminé","")</f>
        <v>Niv. 1 · étage 30 terminé</v>
      </c>
      <c r="S7" s="14" t="n">
        <f aca="false">IF(ISNUMBER($I7),$K7*IF($H7="Zone",Paramètres!$B$8,1)/MAX(1,$I7),0)</f>
        <v>1</v>
      </c>
      <c r="T7" s="16" t="n">
        <v>1</v>
      </c>
      <c r="U7" s="16" t="n">
        <v>3</v>
      </c>
    </row>
    <row r="8" customFormat="false" ht="15" hidden="false" customHeight="true" outlineLevel="0" collapsed="false">
      <c r="A8" s="9" t="s">
        <v>77</v>
      </c>
      <c r="B8" s="10" t="str">
        <f aca="false">INDEX(Bases!$B$5:$B$83,$T8)</f>
        <v>Guerrier</v>
      </c>
      <c r="C8" s="10" t="str">
        <f aca="false">INDEX(Bases!$E$5:$E$83,$T8)</f>
        <v>Attaque (arme 1)</v>
      </c>
      <c r="D8" s="10" t="str">
        <f aca="false">INDEX(Bases!$F$5:$F$83,$T8)</f>
        <v>Attaque</v>
      </c>
      <c r="E8" s="11" t="str">
        <f aca="false">INDEX(Bases!$C$5:$C$83,$T8)</f>
        <v>Frappe rapide</v>
      </c>
      <c r="F8" s="10" t="str">
        <f aca="false">INDEX(Éléments!$A$5:$A$14,$U8)</f>
        <v>Vent</v>
      </c>
      <c r="G8" s="12" t="str">
        <f aca="false">IF(OR($F8="Neutre",$C8="Passif"),$E8,INDEX(Bases!$D$5:$D$83,$T8)&amp;" "&amp;INDEX(Éléments!$D$5:$D$14,$U8))</f>
        <v>Frappe rapide de vent</v>
      </c>
      <c r="H8" s="10" t="str">
        <f aca="false">INDEX(Bases!$G$5:$G$83,$T8)</f>
        <v>Mono</v>
      </c>
      <c r="I8" s="13" t="n">
        <f aca="false">INDEX(Bases!$H$5:$H$83,$T8)</f>
        <v>0</v>
      </c>
      <c r="J8" s="10" t="str">
        <f aca="false">INDEX(Bases!$I$5:$I$83,$T8)</f>
        <v>Non</v>
      </c>
      <c r="K8" s="14" t="n">
        <f aca="false">INDEX(Bases!$J$5:$J$83,$T8)</f>
        <v>1</v>
      </c>
      <c r="L8" s="10" t="str">
        <f aca="false">INDEX(Bases!$K$5:$K$83,$T8)</f>
        <v>Force</v>
      </c>
      <c r="M8" s="11" t="str">
        <f aca="false">INDEX(Bases!$L$5:$L$83,$T8)</f>
        <v>Coup d'épée simple et fiable.</v>
      </c>
      <c r="N8" s="11" t="str">
        <f aca="false">IF($C8="Passif","—",IF($C8="Attaque (arme 1)",INDEX(Éléments!$F$5:$F$14,$U8),INDEX(Éléments!$G$5:$G$14,$U8)))</f>
        <v>+10 % de chance de critique ; 30 % : Désorienté (−15 % Précision, 2 tours).</v>
      </c>
      <c r="O8" s="10" t="str">
        <f aca="false">INDEX(Bases!$M$5:$M$83,$T8)</f>
        <v>Active</v>
      </c>
      <c r="P8" s="13" t="n">
        <f aca="false">INDEX(Bases!$N$5:$N$83,$T8)</f>
        <v>1</v>
      </c>
      <c r="Q8" s="15" t="n">
        <f aca="false">INDEX(Éléments!$C$5:$C$14,$U8)</f>
        <v>40</v>
      </c>
      <c r="R8" s="11" t="str">
        <f aca="false">"Niv. "&amp;$P8&amp;IF($Q8&gt;0," · étage "&amp;$Q8&amp;" terminé","")</f>
        <v>Niv. 1 · étage 40 terminé</v>
      </c>
      <c r="S8" s="14" t="n">
        <f aca="false">IF(ISNUMBER($I8),$K8*IF($H8="Zone",Paramètres!$B$8,1)/MAX(1,$I8),0)</f>
        <v>1</v>
      </c>
      <c r="T8" s="16" t="n">
        <v>1</v>
      </c>
      <c r="U8" s="16" t="n">
        <v>4</v>
      </c>
    </row>
    <row r="9" customFormat="false" ht="15" hidden="false" customHeight="true" outlineLevel="0" collapsed="false">
      <c r="A9" s="9" t="s">
        <v>78</v>
      </c>
      <c r="B9" s="10" t="str">
        <f aca="false">INDEX(Bases!$B$5:$B$83,$T9)</f>
        <v>Guerrier</v>
      </c>
      <c r="C9" s="10" t="str">
        <f aca="false">INDEX(Bases!$E$5:$E$83,$T9)</f>
        <v>Attaque (arme 1)</v>
      </c>
      <c r="D9" s="10" t="str">
        <f aca="false">INDEX(Bases!$F$5:$F$83,$T9)</f>
        <v>Attaque</v>
      </c>
      <c r="E9" s="11" t="str">
        <f aca="false">INDEX(Bases!$C$5:$C$83,$T9)</f>
        <v>Frappe rapide</v>
      </c>
      <c r="F9" s="10" t="str">
        <f aca="false">INDEX(Éléments!$A$5:$A$14,$U9)</f>
        <v>Acide</v>
      </c>
      <c r="G9" s="12" t="str">
        <f aca="false">IF(OR($F9="Neutre",$C9="Passif"),$E9,INDEX(Bases!$D$5:$D$83,$T9)&amp;" "&amp;INDEX(Éléments!$D$5:$D$14,$U9))</f>
        <v>Frappe rapide d'acide</v>
      </c>
      <c r="H9" s="10" t="str">
        <f aca="false">INDEX(Bases!$G$5:$G$83,$T9)</f>
        <v>Mono</v>
      </c>
      <c r="I9" s="13" t="n">
        <f aca="false">INDEX(Bases!$H$5:$H$83,$T9)</f>
        <v>0</v>
      </c>
      <c r="J9" s="10" t="str">
        <f aca="false">INDEX(Bases!$I$5:$I$83,$T9)</f>
        <v>Non</v>
      </c>
      <c r="K9" s="14" t="n">
        <f aca="false">INDEX(Bases!$J$5:$J$83,$T9)</f>
        <v>1</v>
      </c>
      <c r="L9" s="10" t="str">
        <f aca="false">INDEX(Bases!$K$5:$K$83,$T9)</f>
        <v>Force</v>
      </c>
      <c r="M9" s="11" t="str">
        <f aca="false">INDEX(Bases!$L$5:$L$83,$T9)</f>
        <v>Coup d'épée simple et fiable.</v>
      </c>
      <c r="N9" s="11" t="str">
        <f aca="false">IF($C9="Passif","—",IF($C9="Attaque (arme 1)",INDEX(Éléments!$F$5:$F$14,$U9),INDEX(Éléments!$G$5:$G$14,$U9)))</f>
        <v>50 % : 1 pile de Corrosion (−5 % Armure par pile, 4 piles max, 3 tours).</v>
      </c>
      <c r="O9" s="10" t="str">
        <f aca="false">INDEX(Bases!$M$5:$M$83,$T9)</f>
        <v>Active</v>
      </c>
      <c r="P9" s="13" t="n">
        <f aca="false">INDEX(Bases!$N$5:$N$83,$T9)</f>
        <v>1</v>
      </c>
      <c r="Q9" s="15" t="n">
        <f aca="false">INDEX(Éléments!$C$5:$C$14,$U9)</f>
        <v>50</v>
      </c>
      <c r="R9" s="11" t="str">
        <f aca="false">"Niv. "&amp;$P9&amp;IF($Q9&gt;0," · étage "&amp;$Q9&amp;" terminé","")</f>
        <v>Niv. 1 · étage 50 terminé</v>
      </c>
      <c r="S9" s="14" t="n">
        <f aca="false">IF(ISNUMBER($I9),$K9*IF($H9="Zone",Paramètres!$B$8,1)/MAX(1,$I9),0)</f>
        <v>1</v>
      </c>
      <c r="T9" s="16" t="n">
        <v>1</v>
      </c>
      <c r="U9" s="16" t="n">
        <v>5</v>
      </c>
    </row>
    <row r="10" customFormat="false" ht="15" hidden="false" customHeight="true" outlineLevel="0" collapsed="false">
      <c r="A10" s="9" t="s">
        <v>79</v>
      </c>
      <c r="B10" s="10" t="str">
        <f aca="false">INDEX(Bases!$B$5:$B$83,$T10)</f>
        <v>Guerrier</v>
      </c>
      <c r="C10" s="10" t="str">
        <f aca="false">INDEX(Bases!$E$5:$E$83,$T10)</f>
        <v>Attaque (arme 1)</v>
      </c>
      <c r="D10" s="10" t="str">
        <f aca="false">INDEX(Bases!$F$5:$F$83,$T10)</f>
        <v>Attaque</v>
      </c>
      <c r="E10" s="11" t="str">
        <f aca="false">INDEX(Bases!$C$5:$C$83,$T10)</f>
        <v>Frappe rapide</v>
      </c>
      <c r="F10" s="10" t="str">
        <f aca="false">INDEX(Éléments!$A$5:$A$14,$U10)</f>
        <v>Eau</v>
      </c>
      <c r="G10" s="12" t="str">
        <f aca="false">IF(OR($F10="Neutre",$C10="Passif"),$E10,INDEX(Bases!$D$5:$D$83,$T10)&amp;" "&amp;INDEX(Éléments!$D$5:$D$14,$U10))</f>
        <v>Frappe rapide d'eau</v>
      </c>
      <c r="H10" s="10" t="str">
        <f aca="false">INDEX(Bases!$G$5:$G$83,$T10)</f>
        <v>Mono</v>
      </c>
      <c r="I10" s="13" t="n">
        <f aca="false">INDEX(Bases!$H$5:$H$83,$T10)</f>
        <v>0</v>
      </c>
      <c r="J10" s="10" t="str">
        <f aca="false">INDEX(Bases!$I$5:$I$83,$T10)</f>
        <v>Non</v>
      </c>
      <c r="K10" s="14" t="n">
        <f aca="false">INDEX(Bases!$J$5:$J$83,$T10)</f>
        <v>1</v>
      </c>
      <c r="L10" s="10" t="str">
        <f aca="false">INDEX(Bases!$K$5:$K$83,$T10)</f>
        <v>Force</v>
      </c>
      <c r="M10" s="11" t="str">
        <f aca="false">INDEX(Bases!$L$5:$L$83,$T10)</f>
        <v>Coup d'épée simple et fiable.</v>
      </c>
      <c r="N10" s="11" t="str">
        <f aca="false">IF($C10="Passif","—",IF($C10="Attaque (arme 1)",INDEX(Éléments!$F$5:$F$14,$U10),INDEX(Éléments!$G$5:$G$14,$U10)))</f>
        <v>50 % : Mouillé (+25 % de dégâts d'Électricité subis, retire Brûlure, 3 tours).</v>
      </c>
      <c r="O10" s="10" t="str">
        <f aca="false">INDEX(Bases!$M$5:$M$83,$T10)</f>
        <v>Active</v>
      </c>
      <c r="P10" s="13" t="n">
        <f aca="false">INDEX(Bases!$N$5:$N$83,$T10)</f>
        <v>1</v>
      </c>
      <c r="Q10" s="15" t="n">
        <f aca="false">INDEX(Éléments!$C$5:$C$14,$U10)</f>
        <v>60</v>
      </c>
      <c r="R10" s="11" t="str">
        <f aca="false">"Niv. "&amp;$P10&amp;IF($Q10&gt;0," · étage "&amp;$Q10&amp;" terminé","")</f>
        <v>Niv. 1 · étage 60 terminé</v>
      </c>
      <c r="S10" s="14" t="n">
        <f aca="false">IF(ISNUMBER($I10),$K10*IF($H10="Zone",Paramètres!$B$8,1)/MAX(1,$I10),0)</f>
        <v>1</v>
      </c>
      <c r="T10" s="16" t="n">
        <v>1</v>
      </c>
      <c r="U10" s="16" t="n">
        <v>6</v>
      </c>
    </row>
    <row r="11" customFormat="false" ht="15" hidden="false" customHeight="true" outlineLevel="0" collapsed="false">
      <c r="A11" s="9" t="s">
        <v>80</v>
      </c>
      <c r="B11" s="10" t="str">
        <f aca="false">INDEX(Bases!$B$5:$B$83,$T11)</f>
        <v>Guerrier</v>
      </c>
      <c r="C11" s="10" t="str">
        <f aca="false">INDEX(Bases!$E$5:$E$83,$T11)</f>
        <v>Attaque (arme 1)</v>
      </c>
      <c r="D11" s="10" t="str">
        <f aca="false">INDEX(Bases!$F$5:$F$83,$T11)</f>
        <v>Attaque</v>
      </c>
      <c r="E11" s="11" t="str">
        <f aca="false">INDEX(Bases!$C$5:$C$83,$T11)</f>
        <v>Frappe rapide</v>
      </c>
      <c r="F11" s="10" t="str">
        <f aca="false">INDEX(Éléments!$A$5:$A$14,$U11)</f>
        <v>Glace</v>
      </c>
      <c r="G11" s="12" t="str">
        <f aca="false">IF(OR($F11="Neutre",$C11="Passif"),$E11,INDEX(Bases!$D$5:$D$83,$T11)&amp;" "&amp;INDEX(Éléments!$D$5:$D$14,$U11))</f>
        <v>Frappe rapide de glace</v>
      </c>
      <c r="H11" s="10" t="str">
        <f aca="false">INDEX(Bases!$G$5:$G$83,$T11)</f>
        <v>Mono</v>
      </c>
      <c r="I11" s="13" t="n">
        <f aca="false">INDEX(Bases!$H$5:$H$83,$T11)</f>
        <v>0</v>
      </c>
      <c r="J11" s="10" t="str">
        <f aca="false">INDEX(Bases!$I$5:$I$83,$T11)</f>
        <v>Non</v>
      </c>
      <c r="K11" s="14" t="n">
        <f aca="false">INDEX(Bases!$J$5:$J$83,$T11)</f>
        <v>1</v>
      </c>
      <c r="L11" s="10" t="str">
        <f aca="false">INDEX(Bases!$K$5:$K$83,$T11)</f>
        <v>Force</v>
      </c>
      <c r="M11" s="11" t="str">
        <f aca="false">INDEX(Bases!$L$5:$L$83,$T11)</f>
        <v>Coup d'épée simple et fiable.</v>
      </c>
      <c r="N11" s="11" t="str">
        <f aca="false">IF($C11="Passif","—",IF($C11="Attaque (arme 1)",INDEX(Éléments!$F$5:$F$14,$U11),INDEX(Éléments!$G$5:$G$14,$U11)))</f>
        <v>40 % : 1 pile de Froid (−8 % Agilité ; à 3 piles : Gel, la cible perd 1 tour).</v>
      </c>
      <c r="O11" s="10" t="str">
        <f aca="false">INDEX(Bases!$M$5:$M$83,$T11)</f>
        <v>Active</v>
      </c>
      <c r="P11" s="13" t="n">
        <f aca="false">INDEX(Bases!$N$5:$N$83,$T11)</f>
        <v>1</v>
      </c>
      <c r="Q11" s="15" t="n">
        <f aca="false">INDEX(Éléments!$C$5:$C$14,$U11)</f>
        <v>70</v>
      </c>
      <c r="R11" s="11" t="str">
        <f aca="false">"Niv. "&amp;$P11&amp;IF($Q11&gt;0," · étage "&amp;$Q11&amp;" terminé","")</f>
        <v>Niv. 1 · étage 70 terminé</v>
      </c>
      <c r="S11" s="14" t="n">
        <f aca="false">IF(ISNUMBER($I11),$K11*IF($H11="Zone",Paramètres!$B$8,1)/MAX(1,$I11),0)</f>
        <v>1</v>
      </c>
      <c r="T11" s="16" t="n">
        <v>1</v>
      </c>
      <c r="U11" s="16" t="n">
        <v>7</v>
      </c>
    </row>
    <row r="12" customFormat="false" ht="15" hidden="false" customHeight="true" outlineLevel="0" collapsed="false">
      <c r="A12" s="9" t="s">
        <v>81</v>
      </c>
      <c r="B12" s="10" t="str">
        <f aca="false">INDEX(Bases!$B$5:$B$83,$T12)</f>
        <v>Guerrier</v>
      </c>
      <c r="C12" s="10" t="str">
        <f aca="false">INDEX(Bases!$E$5:$E$83,$T12)</f>
        <v>Attaque (arme 1)</v>
      </c>
      <c r="D12" s="10" t="str">
        <f aca="false">INDEX(Bases!$F$5:$F$83,$T12)</f>
        <v>Attaque</v>
      </c>
      <c r="E12" s="11" t="str">
        <f aca="false">INDEX(Bases!$C$5:$C$83,$T12)</f>
        <v>Frappe rapide</v>
      </c>
      <c r="F12" s="10" t="str">
        <f aca="false">INDEX(Éléments!$A$5:$A$14,$U12)</f>
        <v>Électricité</v>
      </c>
      <c r="G12" s="12" t="str">
        <f aca="false">IF(OR($F12="Neutre",$C12="Passif"),$E12,INDEX(Bases!$D$5:$D$83,$T12)&amp;" "&amp;INDEX(Éléments!$D$5:$D$14,$U12))</f>
        <v>Frappe rapide de foudre</v>
      </c>
      <c r="H12" s="10" t="str">
        <f aca="false">INDEX(Bases!$G$5:$G$83,$T12)</f>
        <v>Mono</v>
      </c>
      <c r="I12" s="13" t="n">
        <f aca="false">INDEX(Bases!$H$5:$H$83,$T12)</f>
        <v>0</v>
      </c>
      <c r="J12" s="10" t="str">
        <f aca="false">INDEX(Bases!$I$5:$I$83,$T12)</f>
        <v>Non</v>
      </c>
      <c r="K12" s="14" t="n">
        <f aca="false">INDEX(Bases!$J$5:$J$83,$T12)</f>
        <v>1</v>
      </c>
      <c r="L12" s="10" t="str">
        <f aca="false">INDEX(Bases!$K$5:$K$83,$T12)</f>
        <v>Force</v>
      </c>
      <c r="M12" s="11" t="str">
        <f aca="false">INDEX(Bases!$L$5:$L$83,$T12)</f>
        <v>Coup d'épée simple et fiable.</v>
      </c>
      <c r="N12" s="11" t="str">
        <f aca="false">IF($C12="Passif","—",IF($C12="Attaque (arme 1)",INDEX(Éléments!$F$5:$F$14,$U12),INDEX(Éléments!$G$5:$G$14,$U12)))</f>
        <v>Rebondit sur 1 autre ennemi (40 % des dégâts) ; 10 % : Étourdissement (1 tour).</v>
      </c>
      <c r="O12" s="10" t="str">
        <f aca="false">INDEX(Bases!$M$5:$M$83,$T12)</f>
        <v>Active</v>
      </c>
      <c r="P12" s="13" t="n">
        <f aca="false">INDEX(Bases!$N$5:$N$83,$T12)</f>
        <v>1</v>
      </c>
      <c r="Q12" s="15" t="n">
        <f aca="false">INDEX(Éléments!$C$5:$C$14,$U12)</f>
        <v>80</v>
      </c>
      <c r="R12" s="11" t="str">
        <f aca="false">"Niv. "&amp;$P12&amp;IF($Q12&gt;0," · étage "&amp;$Q12&amp;" terminé","")</f>
        <v>Niv. 1 · étage 80 terminé</v>
      </c>
      <c r="S12" s="14" t="n">
        <f aca="false">IF(ISNUMBER($I12),$K12*IF($H12="Zone",Paramètres!$B$8,1)/MAX(1,$I12),0)</f>
        <v>1</v>
      </c>
      <c r="T12" s="16" t="n">
        <v>1</v>
      </c>
      <c r="U12" s="16" t="n">
        <v>8</v>
      </c>
    </row>
    <row r="13" customFormat="false" ht="15" hidden="false" customHeight="true" outlineLevel="0" collapsed="false">
      <c r="A13" s="9" t="s">
        <v>82</v>
      </c>
      <c r="B13" s="10" t="str">
        <f aca="false">INDEX(Bases!$B$5:$B$83,$T13)</f>
        <v>Guerrier</v>
      </c>
      <c r="C13" s="10" t="str">
        <f aca="false">INDEX(Bases!$E$5:$E$83,$T13)</f>
        <v>Attaque (arme 1)</v>
      </c>
      <c r="D13" s="10" t="str">
        <f aca="false">INDEX(Bases!$F$5:$F$83,$T13)</f>
        <v>Attaque</v>
      </c>
      <c r="E13" s="11" t="str">
        <f aca="false">INDEX(Bases!$C$5:$C$83,$T13)</f>
        <v>Frappe rapide</v>
      </c>
      <c r="F13" s="10" t="str">
        <f aca="false">INDEX(Éléments!$A$5:$A$14,$U13)</f>
        <v>Lumière</v>
      </c>
      <c r="G13" s="12" t="str">
        <f aca="false">IF(OR($F13="Neutre",$C13="Passif"),$E13,INDEX(Bases!$D$5:$D$83,$T13)&amp;" "&amp;INDEX(Éléments!$D$5:$D$14,$U13))</f>
        <v>Frappe rapide de lumière</v>
      </c>
      <c r="H13" s="10" t="str">
        <f aca="false">INDEX(Bases!$G$5:$G$83,$T13)</f>
        <v>Mono</v>
      </c>
      <c r="I13" s="13" t="n">
        <f aca="false">INDEX(Bases!$H$5:$H$83,$T13)</f>
        <v>0</v>
      </c>
      <c r="J13" s="10" t="str">
        <f aca="false">INDEX(Bases!$I$5:$I$83,$T13)</f>
        <v>Non</v>
      </c>
      <c r="K13" s="14" t="n">
        <f aca="false">INDEX(Bases!$J$5:$J$83,$T13)</f>
        <v>1</v>
      </c>
      <c r="L13" s="10" t="str">
        <f aca="false">INDEX(Bases!$K$5:$K$83,$T13)</f>
        <v>Force</v>
      </c>
      <c r="M13" s="11" t="str">
        <f aca="false">INDEX(Bases!$L$5:$L$83,$T13)</f>
        <v>Coup d'épée simple et fiable.</v>
      </c>
      <c r="N13" s="11" t="str">
        <f aca="false">IF($C13="Passif","—",IF($C13="Attaque (arme 1)",INDEX(Éléments!$F$5:$F$14,$U13),INDEX(Éléments!$G$5:$G$14,$U13)))</f>
        <v>Soigne le lanceur de 5 % des dégâts infligés ; 25 % : Éblouissement (−20 % chance de critique, 2 tours).</v>
      </c>
      <c r="O13" s="10" t="str">
        <f aca="false">INDEX(Bases!$M$5:$M$83,$T13)</f>
        <v>Active</v>
      </c>
      <c r="P13" s="13" t="n">
        <f aca="false">INDEX(Bases!$N$5:$N$83,$T13)</f>
        <v>1</v>
      </c>
      <c r="Q13" s="15" t="n">
        <f aca="false">INDEX(Éléments!$C$5:$C$14,$U13)</f>
        <v>90</v>
      </c>
      <c r="R13" s="11" t="str">
        <f aca="false">"Niv. "&amp;$P13&amp;IF($Q13&gt;0," · étage "&amp;$Q13&amp;" terminé","")</f>
        <v>Niv. 1 · étage 90 terminé</v>
      </c>
      <c r="S13" s="14" t="n">
        <f aca="false">IF(ISNUMBER($I13),$K13*IF($H13="Zone",Paramètres!$B$8,1)/MAX(1,$I13),0)</f>
        <v>1</v>
      </c>
      <c r="T13" s="16" t="n">
        <v>1</v>
      </c>
      <c r="U13" s="16" t="n">
        <v>9</v>
      </c>
    </row>
    <row r="14" customFormat="false" ht="15" hidden="false" customHeight="true" outlineLevel="0" collapsed="false">
      <c r="A14" s="9" t="s">
        <v>83</v>
      </c>
      <c r="B14" s="10" t="str">
        <f aca="false">INDEX(Bases!$B$5:$B$83,$T14)</f>
        <v>Guerrier</v>
      </c>
      <c r="C14" s="10" t="str">
        <f aca="false">INDEX(Bases!$E$5:$E$83,$T14)</f>
        <v>Attaque (arme 1)</v>
      </c>
      <c r="D14" s="10" t="str">
        <f aca="false">INDEX(Bases!$F$5:$F$83,$T14)</f>
        <v>Attaque</v>
      </c>
      <c r="E14" s="11" t="str">
        <f aca="false">INDEX(Bases!$C$5:$C$83,$T14)</f>
        <v>Frappe rapide</v>
      </c>
      <c r="F14" s="10" t="str">
        <f aca="false">INDEX(Éléments!$A$5:$A$14,$U14)</f>
        <v>Ombre</v>
      </c>
      <c r="G14" s="12" t="str">
        <f aca="false">IF(OR($F14="Neutre",$C14="Passif"),$E14,INDEX(Bases!$D$5:$D$83,$T14)&amp;" "&amp;INDEX(Éléments!$D$5:$D$14,$U14))</f>
        <v>Frappe rapide d'ombre</v>
      </c>
      <c r="H14" s="10" t="str">
        <f aca="false">INDEX(Bases!$G$5:$G$83,$T14)</f>
        <v>Mono</v>
      </c>
      <c r="I14" s="13" t="n">
        <f aca="false">INDEX(Bases!$H$5:$H$83,$T14)</f>
        <v>0</v>
      </c>
      <c r="J14" s="10" t="str">
        <f aca="false">INDEX(Bases!$I$5:$I$83,$T14)</f>
        <v>Non</v>
      </c>
      <c r="K14" s="14" t="n">
        <f aca="false">INDEX(Bases!$J$5:$J$83,$T14)</f>
        <v>1</v>
      </c>
      <c r="L14" s="10" t="str">
        <f aca="false">INDEX(Bases!$K$5:$K$83,$T14)</f>
        <v>Force</v>
      </c>
      <c r="M14" s="11" t="str">
        <f aca="false">INDEX(Bases!$L$5:$L$83,$T14)</f>
        <v>Coup d'épée simple et fiable.</v>
      </c>
      <c r="N14" s="11" t="str">
        <f aca="false">IF($C14="Passif","—",IF($C14="Attaque (arme 1)",INDEX(Éléments!$F$5:$F$14,$U14),INDEX(Éléments!$G$5:$G$14,$U14)))</f>
        <v>Vol de vie 5 % ; 30 % : Corruption (+10 % de dégâts subis, 2 tours).</v>
      </c>
      <c r="O14" s="10" t="str">
        <f aca="false">INDEX(Bases!$M$5:$M$83,$T14)</f>
        <v>Active</v>
      </c>
      <c r="P14" s="13" t="n">
        <f aca="false">INDEX(Bases!$N$5:$N$83,$T14)</f>
        <v>1</v>
      </c>
      <c r="Q14" s="15" t="n">
        <f aca="false">INDEX(Éléments!$C$5:$C$14,$U14)</f>
        <v>100</v>
      </c>
      <c r="R14" s="11" t="str">
        <f aca="false">"Niv. "&amp;$P14&amp;IF($Q14&gt;0," · étage "&amp;$Q14&amp;" terminé","")</f>
        <v>Niv. 1 · étage 100 terminé</v>
      </c>
      <c r="S14" s="14" t="n">
        <f aca="false">IF(ISNUMBER($I14),$K14*IF($H14="Zone",Paramètres!$B$8,1)/MAX(1,$I14),0)</f>
        <v>1</v>
      </c>
      <c r="T14" s="16" t="n">
        <v>1</v>
      </c>
      <c r="U14" s="16" t="n">
        <v>10</v>
      </c>
    </row>
    <row r="15" customFormat="false" ht="15" hidden="false" customHeight="true" outlineLevel="0" collapsed="false">
      <c r="A15" s="9" t="s">
        <v>84</v>
      </c>
      <c r="B15" s="10" t="str">
        <f aca="false">INDEX(Bases!$B$5:$B$83,$T15)</f>
        <v>Guerrier</v>
      </c>
      <c r="C15" s="10" t="str">
        <f aca="false">INDEX(Bases!$E$5:$E$83,$T15)</f>
        <v>Attaque (arme 1)</v>
      </c>
      <c r="D15" s="10" t="str">
        <f aca="false">INDEX(Bases!$F$5:$F$83,$T15)</f>
        <v>Attaque</v>
      </c>
      <c r="E15" s="11" t="str">
        <f aca="false">INDEX(Bases!$C$5:$C$83,$T15)</f>
        <v>Coup d'estoc</v>
      </c>
      <c r="F15" s="10" t="str">
        <f aca="false">INDEX(Éléments!$A$5:$A$14,$U15)</f>
        <v>Neutre</v>
      </c>
      <c r="G15" s="12" t="str">
        <f aca="false">IF(OR($F15="Neutre",$C15="Passif"),$E15,INDEX(Bases!$D$5:$D$83,$T15)&amp;" "&amp;INDEX(Éléments!$D$5:$D$14,$U15))</f>
        <v>Coup d'estoc</v>
      </c>
      <c r="H15" s="10" t="str">
        <f aca="false">INDEX(Bases!$G$5:$G$83,$T15)</f>
        <v>Mono</v>
      </c>
      <c r="I15" s="13" t="n">
        <f aca="false">INDEX(Bases!$H$5:$H$83,$T15)</f>
        <v>0</v>
      </c>
      <c r="J15" s="10" t="str">
        <f aca="false">INDEX(Bases!$I$5:$I$83,$T15)</f>
        <v>Non</v>
      </c>
      <c r="K15" s="14" t="n">
        <f aca="false">INDEX(Bases!$J$5:$J$83,$T15)</f>
        <v>0.9</v>
      </c>
      <c r="L15" s="10" t="str">
        <f aca="false">INDEX(Bases!$K$5:$K$83,$T15)</f>
        <v>Force</v>
      </c>
      <c r="M15" s="11" t="str">
        <f aca="false">INDEX(Bases!$L$5:$L$83,$T15)</f>
        <v>Perce la garde : ignore 20 % de l'Armure.</v>
      </c>
      <c r="N15" s="11" t="str">
        <f aca="false">IF($C15="Passif","—",IF($C15="Attaque (arme 1)",INDEX(Éléments!$F$5:$F$14,$U15),INDEX(Éléments!$G$5:$G$14,$U15)))</f>
        <v>Aucune altération ; ignore 10 % de la Résistance de la cible. Fiable contre tous les biomes.</v>
      </c>
      <c r="O15" s="10" t="str">
        <f aca="false">INDEX(Bases!$M$5:$M$83,$T15)</f>
        <v>Active</v>
      </c>
      <c r="P15" s="13" t="n">
        <f aca="false">INDEX(Bases!$N$5:$N$83,$T15)</f>
        <v>1</v>
      </c>
      <c r="Q15" s="15" t="n">
        <f aca="false">INDEX(Éléments!$C$5:$C$14,$U15)</f>
        <v>0</v>
      </c>
      <c r="R15" s="11" t="str">
        <f aca="false">"Niv. "&amp;$P15&amp;IF($Q15&gt;0," · étage "&amp;$Q15&amp;" terminé","")</f>
        <v>Niv. 1</v>
      </c>
      <c r="S15" s="14" t="n">
        <f aca="false">IF(ISNUMBER($I15),$K15*IF($H15="Zone",Paramètres!$B$8,1)/MAX(1,$I15),0)</f>
        <v>0.9</v>
      </c>
      <c r="T15" s="16" t="n">
        <v>2</v>
      </c>
      <c r="U15" s="16" t="n">
        <v>1</v>
      </c>
    </row>
    <row r="16" customFormat="false" ht="15" hidden="false" customHeight="true" outlineLevel="0" collapsed="false">
      <c r="A16" s="9" t="s">
        <v>85</v>
      </c>
      <c r="B16" s="10" t="str">
        <f aca="false">INDEX(Bases!$B$5:$B$83,$T16)</f>
        <v>Guerrier</v>
      </c>
      <c r="C16" s="10" t="str">
        <f aca="false">INDEX(Bases!$E$5:$E$83,$T16)</f>
        <v>Attaque (arme 1)</v>
      </c>
      <c r="D16" s="10" t="str">
        <f aca="false">INDEX(Bases!$F$5:$F$83,$T16)</f>
        <v>Attaque</v>
      </c>
      <c r="E16" s="11" t="str">
        <f aca="false">INDEX(Bases!$C$5:$C$83,$T16)</f>
        <v>Coup d'estoc</v>
      </c>
      <c r="F16" s="10" t="str">
        <f aca="false">INDEX(Éléments!$A$5:$A$14,$U16)</f>
        <v>Terre</v>
      </c>
      <c r="G16" s="12" t="str">
        <f aca="false">IF(OR($F16="Neutre",$C16="Passif"),$E16,INDEX(Bases!$D$5:$D$83,$T16)&amp;" "&amp;INDEX(Éléments!$D$5:$D$14,$U16))</f>
        <v>Estoc de pierre</v>
      </c>
      <c r="H16" s="10" t="str">
        <f aca="false">INDEX(Bases!$G$5:$G$83,$T16)</f>
        <v>Mono</v>
      </c>
      <c r="I16" s="13" t="n">
        <f aca="false">INDEX(Bases!$H$5:$H$83,$T16)</f>
        <v>0</v>
      </c>
      <c r="J16" s="10" t="str">
        <f aca="false">INDEX(Bases!$I$5:$I$83,$T16)</f>
        <v>Non</v>
      </c>
      <c r="K16" s="14" t="n">
        <f aca="false">INDEX(Bases!$J$5:$J$83,$T16)</f>
        <v>0.9</v>
      </c>
      <c r="L16" s="10" t="str">
        <f aca="false">INDEX(Bases!$K$5:$K$83,$T16)</f>
        <v>Force</v>
      </c>
      <c r="M16" s="11" t="str">
        <f aca="false">INDEX(Bases!$L$5:$L$83,$T16)</f>
        <v>Perce la garde : ignore 20 % de l'Armure.</v>
      </c>
      <c r="N16" s="11" t="str">
        <f aca="false">IF($C16="Passif","—",IF($C16="Attaque (arme 1)",INDEX(Éléments!$F$5:$F$14,$U16),INDEX(Éléments!$G$5:$G$14,$U16)))</f>
        <v>30 % : Garde brisée (−15 % Résistance, 2 tours).</v>
      </c>
      <c r="O16" s="10" t="str">
        <f aca="false">INDEX(Bases!$M$5:$M$83,$T16)</f>
        <v>Active</v>
      </c>
      <c r="P16" s="13" t="n">
        <f aca="false">INDEX(Bases!$N$5:$N$83,$T16)</f>
        <v>1</v>
      </c>
      <c r="Q16" s="15" t="n">
        <f aca="false">INDEX(Éléments!$C$5:$C$14,$U16)</f>
        <v>20</v>
      </c>
      <c r="R16" s="11" t="str">
        <f aca="false">"Niv. "&amp;$P16&amp;IF($Q16&gt;0," · étage "&amp;$Q16&amp;" terminé","")</f>
        <v>Niv. 1 · étage 20 terminé</v>
      </c>
      <c r="S16" s="14" t="n">
        <f aca="false">IF(ISNUMBER($I16),$K16*IF($H16="Zone",Paramètres!$B$8,1)/MAX(1,$I16),0)</f>
        <v>0.9</v>
      </c>
      <c r="T16" s="16" t="n">
        <v>2</v>
      </c>
      <c r="U16" s="16" t="n">
        <v>2</v>
      </c>
    </row>
    <row r="17" customFormat="false" ht="15" hidden="false" customHeight="true" outlineLevel="0" collapsed="false">
      <c r="A17" s="9" t="s">
        <v>86</v>
      </c>
      <c r="B17" s="10" t="str">
        <f aca="false">INDEX(Bases!$B$5:$B$83,$T17)</f>
        <v>Guerrier</v>
      </c>
      <c r="C17" s="10" t="str">
        <f aca="false">INDEX(Bases!$E$5:$E$83,$T17)</f>
        <v>Attaque (arme 1)</v>
      </c>
      <c r="D17" s="10" t="str">
        <f aca="false">INDEX(Bases!$F$5:$F$83,$T17)</f>
        <v>Attaque</v>
      </c>
      <c r="E17" s="11" t="str">
        <f aca="false">INDEX(Bases!$C$5:$C$83,$T17)</f>
        <v>Coup d'estoc</v>
      </c>
      <c r="F17" s="10" t="str">
        <f aca="false">INDEX(Éléments!$A$5:$A$14,$U17)</f>
        <v>Feu</v>
      </c>
      <c r="G17" s="12" t="str">
        <f aca="false">IF(OR($F17="Neutre",$C17="Passif"),$E17,INDEX(Bases!$D$5:$D$83,$T17)&amp;" "&amp;INDEX(Éléments!$D$5:$D$14,$U17))</f>
        <v>Estoc de feu</v>
      </c>
      <c r="H17" s="10" t="str">
        <f aca="false">INDEX(Bases!$G$5:$G$83,$T17)</f>
        <v>Mono</v>
      </c>
      <c r="I17" s="13" t="n">
        <f aca="false">INDEX(Bases!$H$5:$H$83,$T17)</f>
        <v>0</v>
      </c>
      <c r="J17" s="10" t="str">
        <f aca="false">INDEX(Bases!$I$5:$I$83,$T17)</f>
        <v>Non</v>
      </c>
      <c r="K17" s="14" t="n">
        <f aca="false">INDEX(Bases!$J$5:$J$83,$T17)</f>
        <v>0.9</v>
      </c>
      <c r="L17" s="10" t="str">
        <f aca="false">INDEX(Bases!$K$5:$K$83,$T17)</f>
        <v>Force</v>
      </c>
      <c r="M17" s="11" t="str">
        <f aca="false">INDEX(Bases!$L$5:$L$83,$T17)</f>
        <v>Perce la garde : ignore 20 % de l'Armure.</v>
      </c>
      <c r="N17" s="11" t="str">
        <f aca="false">IF($C17="Passif","—",IF($C17="Attaque (arme 1)",INDEX(Éléments!$F$5:$F$14,$U17),INDEX(Éléments!$G$5:$G$14,$U17)))</f>
        <v>35 % : Brûlure (8 % de la stat d'attaque par tour, 3 tours, non cumulable).</v>
      </c>
      <c r="O17" s="10" t="str">
        <f aca="false">INDEX(Bases!$M$5:$M$83,$T17)</f>
        <v>Active</v>
      </c>
      <c r="P17" s="13" t="n">
        <f aca="false">INDEX(Bases!$N$5:$N$83,$T17)</f>
        <v>1</v>
      </c>
      <c r="Q17" s="15" t="n">
        <f aca="false">INDEX(Éléments!$C$5:$C$14,$U17)</f>
        <v>30</v>
      </c>
      <c r="R17" s="11" t="str">
        <f aca="false">"Niv. "&amp;$P17&amp;IF($Q17&gt;0," · étage "&amp;$Q17&amp;" terminé","")</f>
        <v>Niv. 1 · étage 30 terminé</v>
      </c>
      <c r="S17" s="14" t="n">
        <f aca="false">IF(ISNUMBER($I17),$K17*IF($H17="Zone",Paramètres!$B$8,1)/MAX(1,$I17),0)</f>
        <v>0.9</v>
      </c>
      <c r="T17" s="16" t="n">
        <v>2</v>
      </c>
      <c r="U17" s="16" t="n">
        <v>3</v>
      </c>
    </row>
    <row r="18" customFormat="false" ht="15" hidden="false" customHeight="true" outlineLevel="0" collapsed="false">
      <c r="A18" s="9" t="s">
        <v>87</v>
      </c>
      <c r="B18" s="10" t="str">
        <f aca="false">INDEX(Bases!$B$5:$B$83,$T18)</f>
        <v>Guerrier</v>
      </c>
      <c r="C18" s="10" t="str">
        <f aca="false">INDEX(Bases!$E$5:$E$83,$T18)</f>
        <v>Attaque (arme 1)</v>
      </c>
      <c r="D18" s="10" t="str">
        <f aca="false">INDEX(Bases!$F$5:$F$83,$T18)</f>
        <v>Attaque</v>
      </c>
      <c r="E18" s="11" t="str">
        <f aca="false">INDEX(Bases!$C$5:$C$83,$T18)</f>
        <v>Coup d'estoc</v>
      </c>
      <c r="F18" s="10" t="str">
        <f aca="false">INDEX(Éléments!$A$5:$A$14,$U18)</f>
        <v>Vent</v>
      </c>
      <c r="G18" s="12" t="str">
        <f aca="false">IF(OR($F18="Neutre",$C18="Passif"),$E18,INDEX(Bases!$D$5:$D$83,$T18)&amp;" "&amp;INDEX(Éléments!$D$5:$D$14,$U18))</f>
        <v>Estoc de vent</v>
      </c>
      <c r="H18" s="10" t="str">
        <f aca="false">INDEX(Bases!$G$5:$G$83,$T18)</f>
        <v>Mono</v>
      </c>
      <c r="I18" s="13" t="n">
        <f aca="false">INDEX(Bases!$H$5:$H$83,$T18)</f>
        <v>0</v>
      </c>
      <c r="J18" s="10" t="str">
        <f aca="false">INDEX(Bases!$I$5:$I$83,$T18)</f>
        <v>Non</v>
      </c>
      <c r="K18" s="14" t="n">
        <f aca="false">INDEX(Bases!$J$5:$J$83,$T18)</f>
        <v>0.9</v>
      </c>
      <c r="L18" s="10" t="str">
        <f aca="false">INDEX(Bases!$K$5:$K$83,$T18)</f>
        <v>Force</v>
      </c>
      <c r="M18" s="11" t="str">
        <f aca="false">INDEX(Bases!$L$5:$L$83,$T18)</f>
        <v>Perce la garde : ignore 20 % de l'Armure.</v>
      </c>
      <c r="N18" s="11" t="str">
        <f aca="false">IF($C18="Passif","—",IF($C18="Attaque (arme 1)",INDEX(Éléments!$F$5:$F$14,$U18),INDEX(Éléments!$G$5:$G$14,$U18)))</f>
        <v>+10 % de chance de critique ; 30 % : Désorienté (−15 % Précision, 2 tours).</v>
      </c>
      <c r="O18" s="10" t="str">
        <f aca="false">INDEX(Bases!$M$5:$M$83,$T18)</f>
        <v>Active</v>
      </c>
      <c r="P18" s="13" t="n">
        <f aca="false">INDEX(Bases!$N$5:$N$83,$T18)</f>
        <v>1</v>
      </c>
      <c r="Q18" s="15" t="n">
        <f aca="false">INDEX(Éléments!$C$5:$C$14,$U18)</f>
        <v>40</v>
      </c>
      <c r="R18" s="11" t="str">
        <f aca="false">"Niv. "&amp;$P18&amp;IF($Q18&gt;0," · étage "&amp;$Q18&amp;" terminé","")</f>
        <v>Niv. 1 · étage 40 terminé</v>
      </c>
      <c r="S18" s="14" t="n">
        <f aca="false">IF(ISNUMBER($I18),$K18*IF($H18="Zone",Paramètres!$B$8,1)/MAX(1,$I18),0)</f>
        <v>0.9</v>
      </c>
      <c r="T18" s="16" t="n">
        <v>2</v>
      </c>
      <c r="U18" s="16" t="n">
        <v>4</v>
      </c>
    </row>
    <row r="19" customFormat="false" ht="15" hidden="false" customHeight="true" outlineLevel="0" collapsed="false">
      <c r="A19" s="9" t="s">
        <v>88</v>
      </c>
      <c r="B19" s="10" t="str">
        <f aca="false">INDEX(Bases!$B$5:$B$83,$T19)</f>
        <v>Guerrier</v>
      </c>
      <c r="C19" s="10" t="str">
        <f aca="false">INDEX(Bases!$E$5:$E$83,$T19)</f>
        <v>Attaque (arme 1)</v>
      </c>
      <c r="D19" s="10" t="str">
        <f aca="false">INDEX(Bases!$F$5:$F$83,$T19)</f>
        <v>Attaque</v>
      </c>
      <c r="E19" s="11" t="str">
        <f aca="false">INDEX(Bases!$C$5:$C$83,$T19)</f>
        <v>Coup d'estoc</v>
      </c>
      <c r="F19" s="10" t="str">
        <f aca="false">INDEX(Éléments!$A$5:$A$14,$U19)</f>
        <v>Acide</v>
      </c>
      <c r="G19" s="12" t="str">
        <f aca="false">IF(OR($F19="Neutre",$C19="Passif"),$E19,INDEX(Bases!$D$5:$D$83,$T19)&amp;" "&amp;INDEX(Éléments!$D$5:$D$14,$U19))</f>
        <v>Estoc d'acide</v>
      </c>
      <c r="H19" s="10" t="str">
        <f aca="false">INDEX(Bases!$G$5:$G$83,$T19)</f>
        <v>Mono</v>
      </c>
      <c r="I19" s="13" t="n">
        <f aca="false">INDEX(Bases!$H$5:$H$83,$T19)</f>
        <v>0</v>
      </c>
      <c r="J19" s="10" t="str">
        <f aca="false">INDEX(Bases!$I$5:$I$83,$T19)</f>
        <v>Non</v>
      </c>
      <c r="K19" s="14" t="n">
        <f aca="false">INDEX(Bases!$J$5:$J$83,$T19)</f>
        <v>0.9</v>
      </c>
      <c r="L19" s="10" t="str">
        <f aca="false">INDEX(Bases!$K$5:$K$83,$T19)</f>
        <v>Force</v>
      </c>
      <c r="M19" s="11" t="str">
        <f aca="false">INDEX(Bases!$L$5:$L$83,$T19)</f>
        <v>Perce la garde : ignore 20 % de l'Armure.</v>
      </c>
      <c r="N19" s="11" t="str">
        <f aca="false">IF($C19="Passif","—",IF($C19="Attaque (arme 1)",INDEX(Éléments!$F$5:$F$14,$U19),INDEX(Éléments!$G$5:$G$14,$U19)))</f>
        <v>50 % : 1 pile de Corrosion (−5 % Armure par pile, 4 piles max, 3 tours).</v>
      </c>
      <c r="O19" s="10" t="str">
        <f aca="false">INDEX(Bases!$M$5:$M$83,$T19)</f>
        <v>Active</v>
      </c>
      <c r="P19" s="13" t="n">
        <f aca="false">INDEX(Bases!$N$5:$N$83,$T19)</f>
        <v>1</v>
      </c>
      <c r="Q19" s="15" t="n">
        <f aca="false">INDEX(Éléments!$C$5:$C$14,$U19)</f>
        <v>50</v>
      </c>
      <c r="R19" s="11" t="str">
        <f aca="false">"Niv. "&amp;$P19&amp;IF($Q19&gt;0," · étage "&amp;$Q19&amp;" terminé","")</f>
        <v>Niv. 1 · étage 50 terminé</v>
      </c>
      <c r="S19" s="14" t="n">
        <f aca="false">IF(ISNUMBER($I19),$K19*IF($H19="Zone",Paramètres!$B$8,1)/MAX(1,$I19),0)</f>
        <v>0.9</v>
      </c>
      <c r="T19" s="16" t="n">
        <v>2</v>
      </c>
      <c r="U19" s="16" t="n">
        <v>5</v>
      </c>
    </row>
    <row r="20" customFormat="false" ht="15" hidden="false" customHeight="true" outlineLevel="0" collapsed="false">
      <c r="A20" s="9" t="s">
        <v>89</v>
      </c>
      <c r="B20" s="10" t="str">
        <f aca="false">INDEX(Bases!$B$5:$B$83,$T20)</f>
        <v>Guerrier</v>
      </c>
      <c r="C20" s="10" t="str">
        <f aca="false">INDEX(Bases!$E$5:$E$83,$T20)</f>
        <v>Attaque (arme 1)</v>
      </c>
      <c r="D20" s="10" t="str">
        <f aca="false">INDEX(Bases!$F$5:$F$83,$T20)</f>
        <v>Attaque</v>
      </c>
      <c r="E20" s="11" t="str">
        <f aca="false">INDEX(Bases!$C$5:$C$83,$T20)</f>
        <v>Coup d'estoc</v>
      </c>
      <c r="F20" s="10" t="str">
        <f aca="false">INDEX(Éléments!$A$5:$A$14,$U20)</f>
        <v>Eau</v>
      </c>
      <c r="G20" s="12" t="str">
        <f aca="false">IF(OR($F20="Neutre",$C20="Passif"),$E20,INDEX(Bases!$D$5:$D$83,$T20)&amp;" "&amp;INDEX(Éléments!$D$5:$D$14,$U20))</f>
        <v>Estoc d'eau</v>
      </c>
      <c r="H20" s="10" t="str">
        <f aca="false">INDEX(Bases!$G$5:$G$83,$T20)</f>
        <v>Mono</v>
      </c>
      <c r="I20" s="13" t="n">
        <f aca="false">INDEX(Bases!$H$5:$H$83,$T20)</f>
        <v>0</v>
      </c>
      <c r="J20" s="10" t="str">
        <f aca="false">INDEX(Bases!$I$5:$I$83,$T20)</f>
        <v>Non</v>
      </c>
      <c r="K20" s="14" t="n">
        <f aca="false">INDEX(Bases!$J$5:$J$83,$T20)</f>
        <v>0.9</v>
      </c>
      <c r="L20" s="10" t="str">
        <f aca="false">INDEX(Bases!$K$5:$K$83,$T20)</f>
        <v>Force</v>
      </c>
      <c r="M20" s="11" t="str">
        <f aca="false">INDEX(Bases!$L$5:$L$83,$T20)</f>
        <v>Perce la garde : ignore 20 % de l'Armure.</v>
      </c>
      <c r="N20" s="11" t="str">
        <f aca="false">IF($C20="Passif","—",IF($C20="Attaque (arme 1)",INDEX(Éléments!$F$5:$F$14,$U20),INDEX(Éléments!$G$5:$G$14,$U20)))</f>
        <v>50 % : Mouillé (+25 % de dégâts d'Électricité subis, retire Brûlure, 3 tours).</v>
      </c>
      <c r="O20" s="10" t="str">
        <f aca="false">INDEX(Bases!$M$5:$M$83,$T20)</f>
        <v>Active</v>
      </c>
      <c r="P20" s="13" t="n">
        <f aca="false">INDEX(Bases!$N$5:$N$83,$T20)</f>
        <v>1</v>
      </c>
      <c r="Q20" s="15" t="n">
        <f aca="false">INDEX(Éléments!$C$5:$C$14,$U20)</f>
        <v>60</v>
      </c>
      <c r="R20" s="11" t="str">
        <f aca="false">"Niv. "&amp;$P20&amp;IF($Q20&gt;0," · étage "&amp;$Q20&amp;" terminé","")</f>
        <v>Niv. 1 · étage 60 terminé</v>
      </c>
      <c r="S20" s="14" t="n">
        <f aca="false">IF(ISNUMBER($I20),$K20*IF($H20="Zone",Paramètres!$B$8,1)/MAX(1,$I20),0)</f>
        <v>0.9</v>
      </c>
      <c r="T20" s="16" t="n">
        <v>2</v>
      </c>
      <c r="U20" s="16" t="n">
        <v>6</v>
      </c>
    </row>
    <row r="21" customFormat="false" ht="15" hidden="false" customHeight="true" outlineLevel="0" collapsed="false">
      <c r="A21" s="9" t="s">
        <v>90</v>
      </c>
      <c r="B21" s="10" t="str">
        <f aca="false">INDEX(Bases!$B$5:$B$83,$T21)</f>
        <v>Guerrier</v>
      </c>
      <c r="C21" s="10" t="str">
        <f aca="false">INDEX(Bases!$E$5:$E$83,$T21)</f>
        <v>Attaque (arme 1)</v>
      </c>
      <c r="D21" s="10" t="str">
        <f aca="false">INDEX(Bases!$F$5:$F$83,$T21)</f>
        <v>Attaque</v>
      </c>
      <c r="E21" s="11" t="str">
        <f aca="false">INDEX(Bases!$C$5:$C$83,$T21)</f>
        <v>Coup d'estoc</v>
      </c>
      <c r="F21" s="10" t="str">
        <f aca="false">INDEX(Éléments!$A$5:$A$14,$U21)</f>
        <v>Glace</v>
      </c>
      <c r="G21" s="12" t="str">
        <f aca="false">IF(OR($F21="Neutre",$C21="Passif"),$E21,INDEX(Bases!$D$5:$D$83,$T21)&amp;" "&amp;INDEX(Éléments!$D$5:$D$14,$U21))</f>
        <v>Estoc de glace</v>
      </c>
      <c r="H21" s="10" t="str">
        <f aca="false">INDEX(Bases!$G$5:$G$83,$T21)</f>
        <v>Mono</v>
      </c>
      <c r="I21" s="13" t="n">
        <f aca="false">INDEX(Bases!$H$5:$H$83,$T21)</f>
        <v>0</v>
      </c>
      <c r="J21" s="10" t="str">
        <f aca="false">INDEX(Bases!$I$5:$I$83,$T21)</f>
        <v>Non</v>
      </c>
      <c r="K21" s="14" t="n">
        <f aca="false">INDEX(Bases!$J$5:$J$83,$T21)</f>
        <v>0.9</v>
      </c>
      <c r="L21" s="10" t="str">
        <f aca="false">INDEX(Bases!$K$5:$K$83,$T21)</f>
        <v>Force</v>
      </c>
      <c r="M21" s="11" t="str">
        <f aca="false">INDEX(Bases!$L$5:$L$83,$T21)</f>
        <v>Perce la garde : ignore 20 % de l'Armure.</v>
      </c>
      <c r="N21" s="11" t="str">
        <f aca="false">IF($C21="Passif","—",IF($C21="Attaque (arme 1)",INDEX(Éléments!$F$5:$F$14,$U21),INDEX(Éléments!$G$5:$G$14,$U21)))</f>
        <v>40 % : 1 pile de Froid (−8 % Agilité ; à 3 piles : Gel, la cible perd 1 tour).</v>
      </c>
      <c r="O21" s="10" t="str">
        <f aca="false">INDEX(Bases!$M$5:$M$83,$T21)</f>
        <v>Active</v>
      </c>
      <c r="P21" s="13" t="n">
        <f aca="false">INDEX(Bases!$N$5:$N$83,$T21)</f>
        <v>1</v>
      </c>
      <c r="Q21" s="15" t="n">
        <f aca="false">INDEX(Éléments!$C$5:$C$14,$U21)</f>
        <v>70</v>
      </c>
      <c r="R21" s="11" t="str">
        <f aca="false">"Niv. "&amp;$P21&amp;IF($Q21&gt;0," · étage "&amp;$Q21&amp;" terminé","")</f>
        <v>Niv. 1 · étage 70 terminé</v>
      </c>
      <c r="S21" s="14" t="n">
        <f aca="false">IF(ISNUMBER($I21),$K21*IF($H21="Zone",Paramètres!$B$8,1)/MAX(1,$I21),0)</f>
        <v>0.9</v>
      </c>
      <c r="T21" s="16" t="n">
        <v>2</v>
      </c>
      <c r="U21" s="16" t="n">
        <v>7</v>
      </c>
    </row>
    <row r="22" customFormat="false" ht="15" hidden="false" customHeight="true" outlineLevel="0" collapsed="false">
      <c r="A22" s="9" t="s">
        <v>91</v>
      </c>
      <c r="B22" s="10" t="str">
        <f aca="false">INDEX(Bases!$B$5:$B$83,$T22)</f>
        <v>Guerrier</v>
      </c>
      <c r="C22" s="10" t="str">
        <f aca="false">INDEX(Bases!$E$5:$E$83,$T22)</f>
        <v>Attaque (arme 1)</v>
      </c>
      <c r="D22" s="10" t="str">
        <f aca="false">INDEX(Bases!$F$5:$F$83,$T22)</f>
        <v>Attaque</v>
      </c>
      <c r="E22" s="11" t="str">
        <f aca="false">INDEX(Bases!$C$5:$C$83,$T22)</f>
        <v>Coup d'estoc</v>
      </c>
      <c r="F22" s="10" t="str">
        <f aca="false">INDEX(Éléments!$A$5:$A$14,$U22)</f>
        <v>Électricité</v>
      </c>
      <c r="G22" s="12" t="str">
        <f aca="false">IF(OR($F22="Neutre",$C22="Passif"),$E22,INDEX(Bases!$D$5:$D$83,$T22)&amp;" "&amp;INDEX(Éléments!$D$5:$D$14,$U22))</f>
        <v>Estoc de foudre</v>
      </c>
      <c r="H22" s="10" t="str">
        <f aca="false">INDEX(Bases!$G$5:$G$83,$T22)</f>
        <v>Mono</v>
      </c>
      <c r="I22" s="13" t="n">
        <f aca="false">INDEX(Bases!$H$5:$H$83,$T22)</f>
        <v>0</v>
      </c>
      <c r="J22" s="10" t="str">
        <f aca="false">INDEX(Bases!$I$5:$I$83,$T22)</f>
        <v>Non</v>
      </c>
      <c r="K22" s="14" t="n">
        <f aca="false">INDEX(Bases!$J$5:$J$83,$T22)</f>
        <v>0.9</v>
      </c>
      <c r="L22" s="10" t="str">
        <f aca="false">INDEX(Bases!$K$5:$K$83,$T22)</f>
        <v>Force</v>
      </c>
      <c r="M22" s="11" t="str">
        <f aca="false">INDEX(Bases!$L$5:$L$83,$T22)</f>
        <v>Perce la garde : ignore 20 % de l'Armure.</v>
      </c>
      <c r="N22" s="11" t="str">
        <f aca="false">IF($C22="Passif","—",IF($C22="Attaque (arme 1)",INDEX(Éléments!$F$5:$F$14,$U22),INDEX(Éléments!$G$5:$G$14,$U22)))</f>
        <v>Rebondit sur 1 autre ennemi (40 % des dégâts) ; 10 % : Étourdissement (1 tour).</v>
      </c>
      <c r="O22" s="10" t="str">
        <f aca="false">INDEX(Bases!$M$5:$M$83,$T22)</f>
        <v>Active</v>
      </c>
      <c r="P22" s="13" t="n">
        <f aca="false">INDEX(Bases!$N$5:$N$83,$T22)</f>
        <v>1</v>
      </c>
      <c r="Q22" s="15" t="n">
        <f aca="false">INDEX(Éléments!$C$5:$C$14,$U22)</f>
        <v>80</v>
      </c>
      <c r="R22" s="11" t="str">
        <f aca="false">"Niv. "&amp;$P22&amp;IF($Q22&gt;0," · étage "&amp;$Q22&amp;" terminé","")</f>
        <v>Niv. 1 · étage 80 terminé</v>
      </c>
      <c r="S22" s="14" t="n">
        <f aca="false">IF(ISNUMBER($I22),$K22*IF($H22="Zone",Paramètres!$B$8,1)/MAX(1,$I22),0)</f>
        <v>0.9</v>
      </c>
      <c r="T22" s="16" t="n">
        <v>2</v>
      </c>
      <c r="U22" s="16" t="n">
        <v>8</v>
      </c>
    </row>
    <row r="23" customFormat="false" ht="15" hidden="false" customHeight="true" outlineLevel="0" collapsed="false">
      <c r="A23" s="9" t="s">
        <v>92</v>
      </c>
      <c r="B23" s="10" t="str">
        <f aca="false">INDEX(Bases!$B$5:$B$83,$T23)</f>
        <v>Guerrier</v>
      </c>
      <c r="C23" s="10" t="str">
        <f aca="false">INDEX(Bases!$E$5:$E$83,$T23)</f>
        <v>Attaque (arme 1)</v>
      </c>
      <c r="D23" s="10" t="str">
        <f aca="false">INDEX(Bases!$F$5:$F$83,$T23)</f>
        <v>Attaque</v>
      </c>
      <c r="E23" s="11" t="str">
        <f aca="false">INDEX(Bases!$C$5:$C$83,$T23)</f>
        <v>Coup d'estoc</v>
      </c>
      <c r="F23" s="10" t="str">
        <f aca="false">INDEX(Éléments!$A$5:$A$14,$U23)</f>
        <v>Lumière</v>
      </c>
      <c r="G23" s="12" t="str">
        <f aca="false">IF(OR($F23="Neutre",$C23="Passif"),$E23,INDEX(Bases!$D$5:$D$83,$T23)&amp;" "&amp;INDEX(Éléments!$D$5:$D$14,$U23))</f>
        <v>Estoc de lumière</v>
      </c>
      <c r="H23" s="10" t="str">
        <f aca="false">INDEX(Bases!$G$5:$G$83,$T23)</f>
        <v>Mono</v>
      </c>
      <c r="I23" s="13" t="n">
        <f aca="false">INDEX(Bases!$H$5:$H$83,$T23)</f>
        <v>0</v>
      </c>
      <c r="J23" s="10" t="str">
        <f aca="false">INDEX(Bases!$I$5:$I$83,$T23)</f>
        <v>Non</v>
      </c>
      <c r="K23" s="14" t="n">
        <f aca="false">INDEX(Bases!$J$5:$J$83,$T23)</f>
        <v>0.9</v>
      </c>
      <c r="L23" s="10" t="str">
        <f aca="false">INDEX(Bases!$K$5:$K$83,$T23)</f>
        <v>Force</v>
      </c>
      <c r="M23" s="11" t="str">
        <f aca="false">INDEX(Bases!$L$5:$L$83,$T23)</f>
        <v>Perce la garde : ignore 20 % de l'Armure.</v>
      </c>
      <c r="N23" s="11" t="str">
        <f aca="false">IF($C23="Passif","—",IF($C23="Attaque (arme 1)",INDEX(Éléments!$F$5:$F$14,$U23),INDEX(Éléments!$G$5:$G$14,$U23)))</f>
        <v>Soigne le lanceur de 5 % des dégâts infligés ; 25 % : Éblouissement (−20 % chance de critique, 2 tours).</v>
      </c>
      <c r="O23" s="10" t="str">
        <f aca="false">INDEX(Bases!$M$5:$M$83,$T23)</f>
        <v>Active</v>
      </c>
      <c r="P23" s="13" t="n">
        <f aca="false">INDEX(Bases!$N$5:$N$83,$T23)</f>
        <v>1</v>
      </c>
      <c r="Q23" s="15" t="n">
        <f aca="false">INDEX(Éléments!$C$5:$C$14,$U23)</f>
        <v>90</v>
      </c>
      <c r="R23" s="11" t="str">
        <f aca="false">"Niv. "&amp;$P23&amp;IF($Q23&gt;0," · étage "&amp;$Q23&amp;" terminé","")</f>
        <v>Niv. 1 · étage 90 terminé</v>
      </c>
      <c r="S23" s="14" t="n">
        <f aca="false">IF(ISNUMBER($I23),$K23*IF($H23="Zone",Paramètres!$B$8,1)/MAX(1,$I23),0)</f>
        <v>0.9</v>
      </c>
      <c r="T23" s="16" t="n">
        <v>2</v>
      </c>
      <c r="U23" s="16" t="n">
        <v>9</v>
      </c>
    </row>
    <row r="24" customFormat="false" ht="15" hidden="false" customHeight="true" outlineLevel="0" collapsed="false">
      <c r="A24" s="9" t="s">
        <v>93</v>
      </c>
      <c r="B24" s="10" t="str">
        <f aca="false">INDEX(Bases!$B$5:$B$83,$T24)</f>
        <v>Guerrier</v>
      </c>
      <c r="C24" s="10" t="str">
        <f aca="false">INDEX(Bases!$E$5:$E$83,$T24)</f>
        <v>Attaque (arme 1)</v>
      </c>
      <c r="D24" s="10" t="str">
        <f aca="false">INDEX(Bases!$F$5:$F$83,$T24)</f>
        <v>Attaque</v>
      </c>
      <c r="E24" s="11" t="str">
        <f aca="false">INDEX(Bases!$C$5:$C$83,$T24)</f>
        <v>Coup d'estoc</v>
      </c>
      <c r="F24" s="10" t="str">
        <f aca="false">INDEX(Éléments!$A$5:$A$14,$U24)</f>
        <v>Ombre</v>
      </c>
      <c r="G24" s="12" t="str">
        <f aca="false">IF(OR($F24="Neutre",$C24="Passif"),$E24,INDEX(Bases!$D$5:$D$83,$T24)&amp;" "&amp;INDEX(Éléments!$D$5:$D$14,$U24))</f>
        <v>Estoc d'ombre</v>
      </c>
      <c r="H24" s="10" t="str">
        <f aca="false">INDEX(Bases!$G$5:$G$83,$T24)</f>
        <v>Mono</v>
      </c>
      <c r="I24" s="13" t="n">
        <f aca="false">INDEX(Bases!$H$5:$H$83,$T24)</f>
        <v>0</v>
      </c>
      <c r="J24" s="10" t="str">
        <f aca="false">INDEX(Bases!$I$5:$I$83,$T24)</f>
        <v>Non</v>
      </c>
      <c r="K24" s="14" t="n">
        <f aca="false">INDEX(Bases!$J$5:$J$83,$T24)</f>
        <v>0.9</v>
      </c>
      <c r="L24" s="10" t="str">
        <f aca="false">INDEX(Bases!$K$5:$K$83,$T24)</f>
        <v>Force</v>
      </c>
      <c r="M24" s="11" t="str">
        <f aca="false">INDEX(Bases!$L$5:$L$83,$T24)</f>
        <v>Perce la garde : ignore 20 % de l'Armure.</v>
      </c>
      <c r="N24" s="11" t="str">
        <f aca="false">IF($C24="Passif","—",IF($C24="Attaque (arme 1)",INDEX(Éléments!$F$5:$F$14,$U24),INDEX(Éléments!$G$5:$G$14,$U24)))</f>
        <v>Vol de vie 5 % ; 30 % : Corruption (+10 % de dégâts subis, 2 tours).</v>
      </c>
      <c r="O24" s="10" t="str">
        <f aca="false">INDEX(Bases!$M$5:$M$83,$T24)</f>
        <v>Active</v>
      </c>
      <c r="P24" s="13" t="n">
        <f aca="false">INDEX(Bases!$N$5:$N$83,$T24)</f>
        <v>1</v>
      </c>
      <c r="Q24" s="15" t="n">
        <f aca="false">INDEX(Éléments!$C$5:$C$14,$U24)</f>
        <v>100</v>
      </c>
      <c r="R24" s="11" t="str">
        <f aca="false">"Niv. "&amp;$P24&amp;IF($Q24&gt;0," · étage "&amp;$Q24&amp;" terminé","")</f>
        <v>Niv. 1 · étage 100 terminé</v>
      </c>
      <c r="S24" s="14" t="n">
        <f aca="false">IF(ISNUMBER($I24),$K24*IF($H24="Zone",Paramètres!$B$8,1)/MAX(1,$I24),0)</f>
        <v>0.9</v>
      </c>
      <c r="T24" s="16" t="n">
        <v>2</v>
      </c>
      <c r="U24" s="16" t="n">
        <v>10</v>
      </c>
    </row>
    <row r="25" customFormat="false" ht="15" hidden="false" customHeight="true" outlineLevel="0" collapsed="false">
      <c r="A25" s="9" t="s">
        <v>94</v>
      </c>
      <c r="B25" s="10" t="str">
        <f aca="false">INDEX(Bases!$B$5:$B$83,$T25)</f>
        <v>Guerrier</v>
      </c>
      <c r="C25" s="10" t="str">
        <f aca="false">INDEX(Bases!$E$5:$E$83,$T25)</f>
        <v>Attaque (arme 1)</v>
      </c>
      <c r="D25" s="10" t="str">
        <f aca="false">INDEX(Bases!$F$5:$F$83,$T25)</f>
        <v>Attaque</v>
      </c>
      <c r="E25" s="11" t="str">
        <f aca="false">INDEX(Bases!$C$5:$C$83,$T25)</f>
        <v>Coup vertical</v>
      </c>
      <c r="F25" s="10" t="str">
        <f aca="false">INDEX(Éléments!$A$5:$A$14,$U25)</f>
        <v>Neutre</v>
      </c>
      <c r="G25" s="12" t="str">
        <f aca="false">IF(OR($F25="Neutre",$C25="Passif"),$E25,INDEX(Bases!$D$5:$D$83,$T25)&amp;" "&amp;INDEX(Éléments!$D$5:$D$14,$U25))</f>
        <v>Coup vertical</v>
      </c>
      <c r="H25" s="10" t="str">
        <f aca="false">INDEX(Bases!$G$5:$G$83,$T25)</f>
        <v>Mono</v>
      </c>
      <c r="I25" s="13" t="n">
        <f aca="false">INDEX(Bases!$H$5:$H$83,$T25)</f>
        <v>2</v>
      </c>
      <c r="J25" s="10" t="str">
        <f aca="false">INDEX(Bases!$I$5:$I$83,$T25)</f>
        <v>Non</v>
      </c>
      <c r="K25" s="14" t="n">
        <f aca="false">INDEX(Bases!$J$5:$J$83,$T25)</f>
        <v>1.6</v>
      </c>
      <c r="L25" s="10" t="str">
        <f aca="false">INDEX(Bases!$K$5:$K$83,$T25)</f>
        <v>Force</v>
      </c>
      <c r="M25" s="11" t="str">
        <f aca="false">INDEX(Bases!$L$5:$L$83,$T25)</f>
        <v>15 % : Assommé (la cible perd 1 tour).</v>
      </c>
      <c r="N25" s="11" t="str">
        <f aca="false">IF($C25="Passif","—",IF($C25="Attaque (arme 1)",INDEX(Éléments!$F$5:$F$14,$U25),INDEX(Éléments!$G$5:$G$14,$U25)))</f>
        <v>Aucune altération ; ignore 10 % de la Résistance de la cible. Fiable contre tous les biomes.</v>
      </c>
      <c r="O25" s="10" t="str">
        <f aca="false">INDEX(Bases!$M$5:$M$83,$T25)</f>
        <v>Active</v>
      </c>
      <c r="P25" s="13" t="n">
        <f aca="false">INDEX(Bases!$N$5:$N$83,$T25)</f>
        <v>8</v>
      </c>
      <c r="Q25" s="15" t="n">
        <f aca="false">INDEX(Éléments!$C$5:$C$14,$U25)</f>
        <v>0</v>
      </c>
      <c r="R25" s="11" t="str">
        <f aca="false">"Niv. "&amp;$P25&amp;IF($Q25&gt;0," · étage "&amp;$Q25&amp;" terminé","")</f>
        <v>Niv. 8</v>
      </c>
      <c r="S25" s="14" t="n">
        <f aca="false">IF(ISNUMBER($I25),$K25*IF($H25="Zone",Paramètres!$B$8,1)/MAX(1,$I25),0)</f>
        <v>0.8</v>
      </c>
      <c r="T25" s="16" t="n">
        <v>3</v>
      </c>
      <c r="U25" s="16" t="n">
        <v>1</v>
      </c>
    </row>
    <row r="26" customFormat="false" ht="15" hidden="false" customHeight="true" outlineLevel="0" collapsed="false">
      <c r="A26" s="9" t="s">
        <v>95</v>
      </c>
      <c r="B26" s="10" t="str">
        <f aca="false">INDEX(Bases!$B$5:$B$83,$T26)</f>
        <v>Guerrier</v>
      </c>
      <c r="C26" s="10" t="str">
        <f aca="false">INDEX(Bases!$E$5:$E$83,$T26)</f>
        <v>Attaque (arme 1)</v>
      </c>
      <c r="D26" s="10" t="str">
        <f aca="false">INDEX(Bases!$F$5:$F$83,$T26)</f>
        <v>Attaque</v>
      </c>
      <c r="E26" s="11" t="str">
        <f aca="false">INDEX(Bases!$C$5:$C$83,$T26)</f>
        <v>Coup vertical</v>
      </c>
      <c r="F26" s="10" t="str">
        <f aca="false">INDEX(Éléments!$A$5:$A$14,$U26)</f>
        <v>Terre</v>
      </c>
      <c r="G26" s="12" t="str">
        <f aca="false">IF(OR($F26="Neutre",$C26="Passif"),$E26,INDEX(Bases!$D$5:$D$83,$T26)&amp;" "&amp;INDEX(Éléments!$D$5:$D$14,$U26))</f>
        <v>Coup vertical de pierre</v>
      </c>
      <c r="H26" s="10" t="str">
        <f aca="false">INDEX(Bases!$G$5:$G$83,$T26)</f>
        <v>Mono</v>
      </c>
      <c r="I26" s="13" t="n">
        <f aca="false">INDEX(Bases!$H$5:$H$83,$T26)</f>
        <v>2</v>
      </c>
      <c r="J26" s="10" t="str">
        <f aca="false">INDEX(Bases!$I$5:$I$83,$T26)</f>
        <v>Non</v>
      </c>
      <c r="K26" s="14" t="n">
        <f aca="false">INDEX(Bases!$J$5:$J$83,$T26)</f>
        <v>1.6</v>
      </c>
      <c r="L26" s="10" t="str">
        <f aca="false">INDEX(Bases!$K$5:$K$83,$T26)</f>
        <v>Force</v>
      </c>
      <c r="M26" s="11" t="str">
        <f aca="false">INDEX(Bases!$L$5:$L$83,$T26)</f>
        <v>15 % : Assommé (la cible perd 1 tour).</v>
      </c>
      <c r="N26" s="11" t="str">
        <f aca="false">IF($C26="Passif","—",IF($C26="Attaque (arme 1)",INDEX(Éléments!$F$5:$F$14,$U26),INDEX(Éléments!$G$5:$G$14,$U26)))</f>
        <v>30 % : Garde brisée (−15 % Résistance, 2 tours).</v>
      </c>
      <c r="O26" s="10" t="str">
        <f aca="false">INDEX(Bases!$M$5:$M$83,$T26)</f>
        <v>Active</v>
      </c>
      <c r="P26" s="13" t="n">
        <f aca="false">INDEX(Bases!$N$5:$N$83,$T26)</f>
        <v>8</v>
      </c>
      <c r="Q26" s="15" t="n">
        <f aca="false">INDEX(Éléments!$C$5:$C$14,$U26)</f>
        <v>20</v>
      </c>
      <c r="R26" s="11" t="str">
        <f aca="false">"Niv. "&amp;$P26&amp;IF($Q26&gt;0," · étage "&amp;$Q26&amp;" terminé","")</f>
        <v>Niv. 8 · étage 20 terminé</v>
      </c>
      <c r="S26" s="14" t="n">
        <f aca="false">IF(ISNUMBER($I26),$K26*IF($H26="Zone",Paramètres!$B$8,1)/MAX(1,$I26),0)</f>
        <v>0.8</v>
      </c>
      <c r="T26" s="16" t="n">
        <v>3</v>
      </c>
      <c r="U26" s="16" t="n">
        <v>2</v>
      </c>
    </row>
    <row r="27" customFormat="false" ht="15" hidden="false" customHeight="true" outlineLevel="0" collapsed="false">
      <c r="A27" s="9" t="s">
        <v>96</v>
      </c>
      <c r="B27" s="10" t="str">
        <f aca="false">INDEX(Bases!$B$5:$B$83,$T27)</f>
        <v>Guerrier</v>
      </c>
      <c r="C27" s="10" t="str">
        <f aca="false">INDEX(Bases!$E$5:$E$83,$T27)</f>
        <v>Attaque (arme 1)</v>
      </c>
      <c r="D27" s="10" t="str">
        <f aca="false">INDEX(Bases!$F$5:$F$83,$T27)</f>
        <v>Attaque</v>
      </c>
      <c r="E27" s="11" t="str">
        <f aca="false">INDEX(Bases!$C$5:$C$83,$T27)</f>
        <v>Coup vertical</v>
      </c>
      <c r="F27" s="10" t="str">
        <f aca="false">INDEX(Éléments!$A$5:$A$14,$U27)</f>
        <v>Feu</v>
      </c>
      <c r="G27" s="12" t="str">
        <f aca="false">IF(OR($F27="Neutre",$C27="Passif"),$E27,INDEX(Bases!$D$5:$D$83,$T27)&amp;" "&amp;INDEX(Éléments!$D$5:$D$14,$U27))</f>
        <v>Coup vertical de feu</v>
      </c>
      <c r="H27" s="10" t="str">
        <f aca="false">INDEX(Bases!$G$5:$G$83,$T27)</f>
        <v>Mono</v>
      </c>
      <c r="I27" s="13" t="n">
        <f aca="false">INDEX(Bases!$H$5:$H$83,$T27)</f>
        <v>2</v>
      </c>
      <c r="J27" s="10" t="str">
        <f aca="false">INDEX(Bases!$I$5:$I$83,$T27)</f>
        <v>Non</v>
      </c>
      <c r="K27" s="14" t="n">
        <f aca="false">INDEX(Bases!$J$5:$J$83,$T27)</f>
        <v>1.6</v>
      </c>
      <c r="L27" s="10" t="str">
        <f aca="false">INDEX(Bases!$K$5:$K$83,$T27)</f>
        <v>Force</v>
      </c>
      <c r="M27" s="11" t="str">
        <f aca="false">INDEX(Bases!$L$5:$L$83,$T27)</f>
        <v>15 % : Assommé (la cible perd 1 tour).</v>
      </c>
      <c r="N27" s="11" t="str">
        <f aca="false">IF($C27="Passif","—",IF($C27="Attaque (arme 1)",INDEX(Éléments!$F$5:$F$14,$U27),INDEX(Éléments!$G$5:$G$14,$U27)))</f>
        <v>35 % : Brûlure (8 % de la stat d'attaque par tour, 3 tours, non cumulable).</v>
      </c>
      <c r="O27" s="10" t="str">
        <f aca="false">INDEX(Bases!$M$5:$M$83,$T27)</f>
        <v>Active</v>
      </c>
      <c r="P27" s="13" t="n">
        <f aca="false">INDEX(Bases!$N$5:$N$83,$T27)</f>
        <v>8</v>
      </c>
      <c r="Q27" s="15" t="n">
        <f aca="false">INDEX(Éléments!$C$5:$C$14,$U27)</f>
        <v>30</v>
      </c>
      <c r="R27" s="11" t="str">
        <f aca="false">"Niv. "&amp;$P27&amp;IF($Q27&gt;0," · étage "&amp;$Q27&amp;" terminé","")</f>
        <v>Niv. 8 · étage 30 terminé</v>
      </c>
      <c r="S27" s="14" t="n">
        <f aca="false">IF(ISNUMBER($I27),$K27*IF($H27="Zone",Paramètres!$B$8,1)/MAX(1,$I27),0)</f>
        <v>0.8</v>
      </c>
      <c r="T27" s="16" t="n">
        <v>3</v>
      </c>
      <c r="U27" s="16" t="n">
        <v>3</v>
      </c>
    </row>
    <row r="28" customFormat="false" ht="15" hidden="false" customHeight="true" outlineLevel="0" collapsed="false">
      <c r="A28" s="9" t="s">
        <v>97</v>
      </c>
      <c r="B28" s="10" t="str">
        <f aca="false">INDEX(Bases!$B$5:$B$83,$T28)</f>
        <v>Guerrier</v>
      </c>
      <c r="C28" s="10" t="str">
        <f aca="false">INDEX(Bases!$E$5:$E$83,$T28)</f>
        <v>Attaque (arme 1)</v>
      </c>
      <c r="D28" s="10" t="str">
        <f aca="false">INDEX(Bases!$F$5:$F$83,$T28)</f>
        <v>Attaque</v>
      </c>
      <c r="E28" s="11" t="str">
        <f aca="false">INDEX(Bases!$C$5:$C$83,$T28)</f>
        <v>Coup vertical</v>
      </c>
      <c r="F28" s="10" t="str">
        <f aca="false">INDEX(Éléments!$A$5:$A$14,$U28)</f>
        <v>Vent</v>
      </c>
      <c r="G28" s="12" t="str">
        <f aca="false">IF(OR($F28="Neutre",$C28="Passif"),$E28,INDEX(Bases!$D$5:$D$83,$T28)&amp;" "&amp;INDEX(Éléments!$D$5:$D$14,$U28))</f>
        <v>Coup vertical de vent</v>
      </c>
      <c r="H28" s="10" t="str">
        <f aca="false">INDEX(Bases!$G$5:$G$83,$T28)</f>
        <v>Mono</v>
      </c>
      <c r="I28" s="13" t="n">
        <f aca="false">INDEX(Bases!$H$5:$H$83,$T28)</f>
        <v>2</v>
      </c>
      <c r="J28" s="10" t="str">
        <f aca="false">INDEX(Bases!$I$5:$I$83,$T28)</f>
        <v>Non</v>
      </c>
      <c r="K28" s="14" t="n">
        <f aca="false">INDEX(Bases!$J$5:$J$83,$T28)</f>
        <v>1.6</v>
      </c>
      <c r="L28" s="10" t="str">
        <f aca="false">INDEX(Bases!$K$5:$K$83,$T28)</f>
        <v>Force</v>
      </c>
      <c r="M28" s="11" t="str">
        <f aca="false">INDEX(Bases!$L$5:$L$83,$T28)</f>
        <v>15 % : Assommé (la cible perd 1 tour).</v>
      </c>
      <c r="N28" s="11" t="str">
        <f aca="false">IF($C28="Passif","—",IF($C28="Attaque (arme 1)",INDEX(Éléments!$F$5:$F$14,$U28),INDEX(Éléments!$G$5:$G$14,$U28)))</f>
        <v>+10 % de chance de critique ; 30 % : Désorienté (−15 % Précision, 2 tours).</v>
      </c>
      <c r="O28" s="10" t="str">
        <f aca="false">INDEX(Bases!$M$5:$M$83,$T28)</f>
        <v>Active</v>
      </c>
      <c r="P28" s="13" t="n">
        <f aca="false">INDEX(Bases!$N$5:$N$83,$T28)</f>
        <v>8</v>
      </c>
      <c r="Q28" s="15" t="n">
        <f aca="false">INDEX(Éléments!$C$5:$C$14,$U28)</f>
        <v>40</v>
      </c>
      <c r="R28" s="11" t="str">
        <f aca="false">"Niv. "&amp;$P28&amp;IF($Q28&gt;0," · étage "&amp;$Q28&amp;" terminé","")</f>
        <v>Niv. 8 · étage 40 terminé</v>
      </c>
      <c r="S28" s="14" t="n">
        <f aca="false">IF(ISNUMBER($I28),$K28*IF($H28="Zone",Paramètres!$B$8,1)/MAX(1,$I28),0)</f>
        <v>0.8</v>
      </c>
      <c r="T28" s="16" t="n">
        <v>3</v>
      </c>
      <c r="U28" s="16" t="n">
        <v>4</v>
      </c>
    </row>
    <row r="29" customFormat="false" ht="15" hidden="false" customHeight="true" outlineLevel="0" collapsed="false">
      <c r="A29" s="9" t="s">
        <v>98</v>
      </c>
      <c r="B29" s="10" t="str">
        <f aca="false">INDEX(Bases!$B$5:$B$83,$T29)</f>
        <v>Guerrier</v>
      </c>
      <c r="C29" s="10" t="str">
        <f aca="false">INDEX(Bases!$E$5:$E$83,$T29)</f>
        <v>Attaque (arme 1)</v>
      </c>
      <c r="D29" s="10" t="str">
        <f aca="false">INDEX(Bases!$F$5:$F$83,$T29)</f>
        <v>Attaque</v>
      </c>
      <c r="E29" s="11" t="str">
        <f aca="false">INDEX(Bases!$C$5:$C$83,$T29)</f>
        <v>Coup vertical</v>
      </c>
      <c r="F29" s="10" t="str">
        <f aca="false">INDEX(Éléments!$A$5:$A$14,$U29)</f>
        <v>Acide</v>
      </c>
      <c r="G29" s="12" t="str">
        <f aca="false">IF(OR($F29="Neutre",$C29="Passif"),$E29,INDEX(Bases!$D$5:$D$83,$T29)&amp;" "&amp;INDEX(Éléments!$D$5:$D$14,$U29))</f>
        <v>Coup vertical d'acide</v>
      </c>
      <c r="H29" s="10" t="str">
        <f aca="false">INDEX(Bases!$G$5:$G$83,$T29)</f>
        <v>Mono</v>
      </c>
      <c r="I29" s="13" t="n">
        <f aca="false">INDEX(Bases!$H$5:$H$83,$T29)</f>
        <v>2</v>
      </c>
      <c r="J29" s="10" t="str">
        <f aca="false">INDEX(Bases!$I$5:$I$83,$T29)</f>
        <v>Non</v>
      </c>
      <c r="K29" s="14" t="n">
        <f aca="false">INDEX(Bases!$J$5:$J$83,$T29)</f>
        <v>1.6</v>
      </c>
      <c r="L29" s="10" t="str">
        <f aca="false">INDEX(Bases!$K$5:$K$83,$T29)</f>
        <v>Force</v>
      </c>
      <c r="M29" s="11" t="str">
        <f aca="false">INDEX(Bases!$L$5:$L$83,$T29)</f>
        <v>15 % : Assommé (la cible perd 1 tour).</v>
      </c>
      <c r="N29" s="11" t="str">
        <f aca="false">IF($C29="Passif","—",IF($C29="Attaque (arme 1)",INDEX(Éléments!$F$5:$F$14,$U29),INDEX(Éléments!$G$5:$G$14,$U29)))</f>
        <v>50 % : 1 pile de Corrosion (−5 % Armure par pile, 4 piles max, 3 tours).</v>
      </c>
      <c r="O29" s="10" t="str">
        <f aca="false">INDEX(Bases!$M$5:$M$83,$T29)</f>
        <v>Active</v>
      </c>
      <c r="P29" s="13" t="n">
        <f aca="false">INDEX(Bases!$N$5:$N$83,$T29)</f>
        <v>8</v>
      </c>
      <c r="Q29" s="15" t="n">
        <f aca="false">INDEX(Éléments!$C$5:$C$14,$U29)</f>
        <v>50</v>
      </c>
      <c r="R29" s="11" t="str">
        <f aca="false">"Niv. "&amp;$P29&amp;IF($Q29&gt;0," · étage "&amp;$Q29&amp;" terminé","")</f>
        <v>Niv. 8 · étage 50 terminé</v>
      </c>
      <c r="S29" s="14" t="n">
        <f aca="false">IF(ISNUMBER($I29),$K29*IF($H29="Zone",Paramètres!$B$8,1)/MAX(1,$I29),0)</f>
        <v>0.8</v>
      </c>
      <c r="T29" s="16" t="n">
        <v>3</v>
      </c>
      <c r="U29" s="16" t="n">
        <v>5</v>
      </c>
    </row>
    <row r="30" customFormat="false" ht="15" hidden="false" customHeight="true" outlineLevel="0" collapsed="false">
      <c r="A30" s="9" t="s">
        <v>99</v>
      </c>
      <c r="B30" s="10" t="str">
        <f aca="false">INDEX(Bases!$B$5:$B$83,$T30)</f>
        <v>Guerrier</v>
      </c>
      <c r="C30" s="10" t="str">
        <f aca="false">INDEX(Bases!$E$5:$E$83,$T30)</f>
        <v>Attaque (arme 1)</v>
      </c>
      <c r="D30" s="10" t="str">
        <f aca="false">INDEX(Bases!$F$5:$F$83,$T30)</f>
        <v>Attaque</v>
      </c>
      <c r="E30" s="11" t="str">
        <f aca="false">INDEX(Bases!$C$5:$C$83,$T30)</f>
        <v>Coup vertical</v>
      </c>
      <c r="F30" s="10" t="str">
        <f aca="false">INDEX(Éléments!$A$5:$A$14,$U30)</f>
        <v>Eau</v>
      </c>
      <c r="G30" s="12" t="str">
        <f aca="false">IF(OR($F30="Neutre",$C30="Passif"),$E30,INDEX(Bases!$D$5:$D$83,$T30)&amp;" "&amp;INDEX(Éléments!$D$5:$D$14,$U30))</f>
        <v>Coup vertical d'eau</v>
      </c>
      <c r="H30" s="10" t="str">
        <f aca="false">INDEX(Bases!$G$5:$G$83,$T30)</f>
        <v>Mono</v>
      </c>
      <c r="I30" s="13" t="n">
        <f aca="false">INDEX(Bases!$H$5:$H$83,$T30)</f>
        <v>2</v>
      </c>
      <c r="J30" s="10" t="str">
        <f aca="false">INDEX(Bases!$I$5:$I$83,$T30)</f>
        <v>Non</v>
      </c>
      <c r="K30" s="14" t="n">
        <f aca="false">INDEX(Bases!$J$5:$J$83,$T30)</f>
        <v>1.6</v>
      </c>
      <c r="L30" s="10" t="str">
        <f aca="false">INDEX(Bases!$K$5:$K$83,$T30)</f>
        <v>Force</v>
      </c>
      <c r="M30" s="11" t="str">
        <f aca="false">INDEX(Bases!$L$5:$L$83,$T30)</f>
        <v>15 % : Assommé (la cible perd 1 tour).</v>
      </c>
      <c r="N30" s="11" t="str">
        <f aca="false">IF($C30="Passif","—",IF($C30="Attaque (arme 1)",INDEX(Éléments!$F$5:$F$14,$U30),INDEX(Éléments!$G$5:$G$14,$U30)))</f>
        <v>50 % : Mouillé (+25 % de dégâts d'Électricité subis, retire Brûlure, 3 tours).</v>
      </c>
      <c r="O30" s="10" t="str">
        <f aca="false">INDEX(Bases!$M$5:$M$83,$T30)</f>
        <v>Active</v>
      </c>
      <c r="P30" s="13" t="n">
        <f aca="false">INDEX(Bases!$N$5:$N$83,$T30)</f>
        <v>8</v>
      </c>
      <c r="Q30" s="15" t="n">
        <f aca="false">INDEX(Éléments!$C$5:$C$14,$U30)</f>
        <v>60</v>
      </c>
      <c r="R30" s="11" t="str">
        <f aca="false">"Niv. "&amp;$P30&amp;IF($Q30&gt;0," · étage "&amp;$Q30&amp;" terminé","")</f>
        <v>Niv. 8 · étage 60 terminé</v>
      </c>
      <c r="S30" s="14" t="n">
        <f aca="false">IF(ISNUMBER($I30),$K30*IF($H30="Zone",Paramètres!$B$8,1)/MAX(1,$I30),0)</f>
        <v>0.8</v>
      </c>
      <c r="T30" s="16" t="n">
        <v>3</v>
      </c>
      <c r="U30" s="16" t="n">
        <v>6</v>
      </c>
    </row>
    <row r="31" customFormat="false" ht="15" hidden="false" customHeight="true" outlineLevel="0" collapsed="false">
      <c r="A31" s="9" t="s">
        <v>100</v>
      </c>
      <c r="B31" s="10" t="str">
        <f aca="false">INDEX(Bases!$B$5:$B$83,$T31)</f>
        <v>Guerrier</v>
      </c>
      <c r="C31" s="10" t="str">
        <f aca="false">INDEX(Bases!$E$5:$E$83,$T31)</f>
        <v>Attaque (arme 1)</v>
      </c>
      <c r="D31" s="10" t="str">
        <f aca="false">INDEX(Bases!$F$5:$F$83,$T31)</f>
        <v>Attaque</v>
      </c>
      <c r="E31" s="11" t="str">
        <f aca="false">INDEX(Bases!$C$5:$C$83,$T31)</f>
        <v>Coup vertical</v>
      </c>
      <c r="F31" s="10" t="str">
        <f aca="false">INDEX(Éléments!$A$5:$A$14,$U31)</f>
        <v>Glace</v>
      </c>
      <c r="G31" s="12" t="str">
        <f aca="false">IF(OR($F31="Neutre",$C31="Passif"),$E31,INDEX(Bases!$D$5:$D$83,$T31)&amp;" "&amp;INDEX(Éléments!$D$5:$D$14,$U31))</f>
        <v>Coup vertical de glace</v>
      </c>
      <c r="H31" s="10" t="str">
        <f aca="false">INDEX(Bases!$G$5:$G$83,$T31)</f>
        <v>Mono</v>
      </c>
      <c r="I31" s="13" t="n">
        <f aca="false">INDEX(Bases!$H$5:$H$83,$T31)</f>
        <v>2</v>
      </c>
      <c r="J31" s="10" t="str">
        <f aca="false">INDEX(Bases!$I$5:$I$83,$T31)</f>
        <v>Non</v>
      </c>
      <c r="K31" s="14" t="n">
        <f aca="false">INDEX(Bases!$J$5:$J$83,$T31)</f>
        <v>1.6</v>
      </c>
      <c r="L31" s="10" t="str">
        <f aca="false">INDEX(Bases!$K$5:$K$83,$T31)</f>
        <v>Force</v>
      </c>
      <c r="M31" s="11" t="str">
        <f aca="false">INDEX(Bases!$L$5:$L$83,$T31)</f>
        <v>15 % : Assommé (la cible perd 1 tour).</v>
      </c>
      <c r="N31" s="11" t="str">
        <f aca="false">IF($C31="Passif","—",IF($C31="Attaque (arme 1)",INDEX(Éléments!$F$5:$F$14,$U31),INDEX(Éléments!$G$5:$G$14,$U31)))</f>
        <v>40 % : 1 pile de Froid (−8 % Agilité ; à 3 piles : Gel, la cible perd 1 tour).</v>
      </c>
      <c r="O31" s="10" t="str">
        <f aca="false">INDEX(Bases!$M$5:$M$83,$T31)</f>
        <v>Active</v>
      </c>
      <c r="P31" s="13" t="n">
        <f aca="false">INDEX(Bases!$N$5:$N$83,$T31)</f>
        <v>8</v>
      </c>
      <c r="Q31" s="15" t="n">
        <f aca="false">INDEX(Éléments!$C$5:$C$14,$U31)</f>
        <v>70</v>
      </c>
      <c r="R31" s="11" t="str">
        <f aca="false">"Niv. "&amp;$P31&amp;IF($Q31&gt;0," · étage "&amp;$Q31&amp;" terminé","")</f>
        <v>Niv. 8 · étage 70 terminé</v>
      </c>
      <c r="S31" s="14" t="n">
        <f aca="false">IF(ISNUMBER($I31),$K31*IF($H31="Zone",Paramètres!$B$8,1)/MAX(1,$I31),0)</f>
        <v>0.8</v>
      </c>
      <c r="T31" s="16" t="n">
        <v>3</v>
      </c>
      <c r="U31" s="16" t="n">
        <v>7</v>
      </c>
    </row>
    <row r="32" customFormat="false" ht="15" hidden="false" customHeight="true" outlineLevel="0" collapsed="false">
      <c r="A32" s="9" t="s">
        <v>101</v>
      </c>
      <c r="B32" s="10" t="str">
        <f aca="false">INDEX(Bases!$B$5:$B$83,$T32)</f>
        <v>Guerrier</v>
      </c>
      <c r="C32" s="10" t="str">
        <f aca="false">INDEX(Bases!$E$5:$E$83,$T32)</f>
        <v>Attaque (arme 1)</v>
      </c>
      <c r="D32" s="10" t="str">
        <f aca="false">INDEX(Bases!$F$5:$F$83,$T32)</f>
        <v>Attaque</v>
      </c>
      <c r="E32" s="11" t="str">
        <f aca="false">INDEX(Bases!$C$5:$C$83,$T32)</f>
        <v>Coup vertical</v>
      </c>
      <c r="F32" s="10" t="str">
        <f aca="false">INDEX(Éléments!$A$5:$A$14,$U32)</f>
        <v>Électricité</v>
      </c>
      <c r="G32" s="12" t="str">
        <f aca="false">IF(OR($F32="Neutre",$C32="Passif"),$E32,INDEX(Bases!$D$5:$D$83,$T32)&amp;" "&amp;INDEX(Éléments!$D$5:$D$14,$U32))</f>
        <v>Coup vertical de foudre</v>
      </c>
      <c r="H32" s="10" t="str">
        <f aca="false">INDEX(Bases!$G$5:$G$83,$T32)</f>
        <v>Mono</v>
      </c>
      <c r="I32" s="13" t="n">
        <f aca="false">INDEX(Bases!$H$5:$H$83,$T32)</f>
        <v>2</v>
      </c>
      <c r="J32" s="10" t="str">
        <f aca="false">INDEX(Bases!$I$5:$I$83,$T32)</f>
        <v>Non</v>
      </c>
      <c r="K32" s="14" t="n">
        <f aca="false">INDEX(Bases!$J$5:$J$83,$T32)</f>
        <v>1.6</v>
      </c>
      <c r="L32" s="10" t="str">
        <f aca="false">INDEX(Bases!$K$5:$K$83,$T32)</f>
        <v>Force</v>
      </c>
      <c r="M32" s="11" t="str">
        <f aca="false">INDEX(Bases!$L$5:$L$83,$T32)</f>
        <v>15 % : Assommé (la cible perd 1 tour).</v>
      </c>
      <c r="N32" s="11" t="str">
        <f aca="false">IF($C32="Passif","—",IF($C32="Attaque (arme 1)",INDEX(Éléments!$F$5:$F$14,$U32),INDEX(Éléments!$G$5:$G$14,$U32)))</f>
        <v>Rebondit sur 1 autre ennemi (40 % des dégâts) ; 10 % : Étourdissement (1 tour).</v>
      </c>
      <c r="O32" s="10" t="str">
        <f aca="false">INDEX(Bases!$M$5:$M$83,$T32)</f>
        <v>Active</v>
      </c>
      <c r="P32" s="13" t="n">
        <f aca="false">INDEX(Bases!$N$5:$N$83,$T32)</f>
        <v>8</v>
      </c>
      <c r="Q32" s="15" t="n">
        <f aca="false">INDEX(Éléments!$C$5:$C$14,$U32)</f>
        <v>80</v>
      </c>
      <c r="R32" s="11" t="str">
        <f aca="false">"Niv. "&amp;$P32&amp;IF($Q32&gt;0," · étage "&amp;$Q32&amp;" terminé","")</f>
        <v>Niv. 8 · étage 80 terminé</v>
      </c>
      <c r="S32" s="14" t="n">
        <f aca="false">IF(ISNUMBER($I32),$K32*IF($H32="Zone",Paramètres!$B$8,1)/MAX(1,$I32),0)</f>
        <v>0.8</v>
      </c>
      <c r="T32" s="16" t="n">
        <v>3</v>
      </c>
      <c r="U32" s="16" t="n">
        <v>8</v>
      </c>
    </row>
    <row r="33" customFormat="false" ht="15" hidden="false" customHeight="true" outlineLevel="0" collapsed="false">
      <c r="A33" s="9" t="s">
        <v>102</v>
      </c>
      <c r="B33" s="10" t="str">
        <f aca="false">INDEX(Bases!$B$5:$B$83,$T33)</f>
        <v>Guerrier</v>
      </c>
      <c r="C33" s="10" t="str">
        <f aca="false">INDEX(Bases!$E$5:$E$83,$T33)</f>
        <v>Attaque (arme 1)</v>
      </c>
      <c r="D33" s="10" t="str">
        <f aca="false">INDEX(Bases!$F$5:$F$83,$T33)</f>
        <v>Attaque</v>
      </c>
      <c r="E33" s="11" t="str">
        <f aca="false">INDEX(Bases!$C$5:$C$83,$T33)</f>
        <v>Coup vertical</v>
      </c>
      <c r="F33" s="10" t="str">
        <f aca="false">INDEX(Éléments!$A$5:$A$14,$U33)</f>
        <v>Lumière</v>
      </c>
      <c r="G33" s="12" t="str">
        <f aca="false">IF(OR($F33="Neutre",$C33="Passif"),$E33,INDEX(Bases!$D$5:$D$83,$T33)&amp;" "&amp;INDEX(Éléments!$D$5:$D$14,$U33))</f>
        <v>Coup vertical de lumière</v>
      </c>
      <c r="H33" s="10" t="str">
        <f aca="false">INDEX(Bases!$G$5:$G$83,$T33)</f>
        <v>Mono</v>
      </c>
      <c r="I33" s="13" t="n">
        <f aca="false">INDEX(Bases!$H$5:$H$83,$T33)</f>
        <v>2</v>
      </c>
      <c r="J33" s="10" t="str">
        <f aca="false">INDEX(Bases!$I$5:$I$83,$T33)</f>
        <v>Non</v>
      </c>
      <c r="K33" s="14" t="n">
        <f aca="false">INDEX(Bases!$J$5:$J$83,$T33)</f>
        <v>1.6</v>
      </c>
      <c r="L33" s="10" t="str">
        <f aca="false">INDEX(Bases!$K$5:$K$83,$T33)</f>
        <v>Force</v>
      </c>
      <c r="M33" s="11" t="str">
        <f aca="false">INDEX(Bases!$L$5:$L$83,$T33)</f>
        <v>15 % : Assommé (la cible perd 1 tour).</v>
      </c>
      <c r="N33" s="11" t="str">
        <f aca="false">IF($C33="Passif","—",IF($C33="Attaque (arme 1)",INDEX(Éléments!$F$5:$F$14,$U33),INDEX(Éléments!$G$5:$G$14,$U33)))</f>
        <v>Soigne le lanceur de 5 % des dégâts infligés ; 25 % : Éblouissement (−20 % chance de critique, 2 tours).</v>
      </c>
      <c r="O33" s="10" t="str">
        <f aca="false">INDEX(Bases!$M$5:$M$83,$T33)</f>
        <v>Active</v>
      </c>
      <c r="P33" s="13" t="n">
        <f aca="false">INDEX(Bases!$N$5:$N$83,$T33)</f>
        <v>8</v>
      </c>
      <c r="Q33" s="15" t="n">
        <f aca="false">INDEX(Éléments!$C$5:$C$14,$U33)</f>
        <v>90</v>
      </c>
      <c r="R33" s="11" t="str">
        <f aca="false">"Niv. "&amp;$P33&amp;IF($Q33&gt;0," · étage "&amp;$Q33&amp;" terminé","")</f>
        <v>Niv. 8 · étage 90 terminé</v>
      </c>
      <c r="S33" s="14" t="n">
        <f aca="false">IF(ISNUMBER($I33),$K33*IF($H33="Zone",Paramètres!$B$8,1)/MAX(1,$I33),0)</f>
        <v>0.8</v>
      </c>
      <c r="T33" s="16" t="n">
        <v>3</v>
      </c>
      <c r="U33" s="16" t="n">
        <v>9</v>
      </c>
    </row>
    <row r="34" customFormat="false" ht="15" hidden="false" customHeight="true" outlineLevel="0" collapsed="false">
      <c r="A34" s="9" t="s">
        <v>103</v>
      </c>
      <c r="B34" s="10" t="str">
        <f aca="false">INDEX(Bases!$B$5:$B$83,$T34)</f>
        <v>Guerrier</v>
      </c>
      <c r="C34" s="10" t="str">
        <f aca="false">INDEX(Bases!$E$5:$E$83,$T34)</f>
        <v>Attaque (arme 1)</v>
      </c>
      <c r="D34" s="10" t="str">
        <f aca="false">INDEX(Bases!$F$5:$F$83,$T34)</f>
        <v>Attaque</v>
      </c>
      <c r="E34" s="11" t="str">
        <f aca="false">INDEX(Bases!$C$5:$C$83,$T34)</f>
        <v>Coup vertical</v>
      </c>
      <c r="F34" s="10" t="str">
        <f aca="false">INDEX(Éléments!$A$5:$A$14,$U34)</f>
        <v>Ombre</v>
      </c>
      <c r="G34" s="12" t="str">
        <f aca="false">IF(OR($F34="Neutre",$C34="Passif"),$E34,INDEX(Bases!$D$5:$D$83,$T34)&amp;" "&amp;INDEX(Éléments!$D$5:$D$14,$U34))</f>
        <v>Coup vertical d'ombre</v>
      </c>
      <c r="H34" s="10" t="str">
        <f aca="false">INDEX(Bases!$G$5:$G$83,$T34)</f>
        <v>Mono</v>
      </c>
      <c r="I34" s="13" t="n">
        <f aca="false">INDEX(Bases!$H$5:$H$83,$T34)</f>
        <v>2</v>
      </c>
      <c r="J34" s="10" t="str">
        <f aca="false">INDEX(Bases!$I$5:$I$83,$T34)</f>
        <v>Non</v>
      </c>
      <c r="K34" s="14" t="n">
        <f aca="false">INDEX(Bases!$J$5:$J$83,$T34)</f>
        <v>1.6</v>
      </c>
      <c r="L34" s="10" t="str">
        <f aca="false">INDEX(Bases!$K$5:$K$83,$T34)</f>
        <v>Force</v>
      </c>
      <c r="M34" s="11" t="str">
        <f aca="false">INDEX(Bases!$L$5:$L$83,$T34)</f>
        <v>15 % : Assommé (la cible perd 1 tour).</v>
      </c>
      <c r="N34" s="11" t="str">
        <f aca="false">IF($C34="Passif","—",IF($C34="Attaque (arme 1)",INDEX(Éléments!$F$5:$F$14,$U34),INDEX(Éléments!$G$5:$G$14,$U34)))</f>
        <v>Vol de vie 5 % ; 30 % : Corruption (+10 % de dégâts subis, 2 tours).</v>
      </c>
      <c r="O34" s="10" t="str">
        <f aca="false">INDEX(Bases!$M$5:$M$83,$T34)</f>
        <v>Active</v>
      </c>
      <c r="P34" s="13" t="n">
        <f aca="false">INDEX(Bases!$N$5:$N$83,$T34)</f>
        <v>8</v>
      </c>
      <c r="Q34" s="15" t="n">
        <f aca="false">INDEX(Éléments!$C$5:$C$14,$U34)</f>
        <v>100</v>
      </c>
      <c r="R34" s="11" t="str">
        <f aca="false">"Niv. "&amp;$P34&amp;IF($Q34&gt;0," · étage "&amp;$Q34&amp;" terminé","")</f>
        <v>Niv. 8 · étage 100 terminé</v>
      </c>
      <c r="S34" s="14" t="n">
        <f aca="false">IF(ISNUMBER($I34),$K34*IF($H34="Zone",Paramètres!$B$8,1)/MAX(1,$I34),0)</f>
        <v>0.8</v>
      </c>
      <c r="T34" s="16" t="n">
        <v>3</v>
      </c>
      <c r="U34" s="16" t="n">
        <v>10</v>
      </c>
    </row>
    <row r="35" customFormat="false" ht="15" hidden="false" customHeight="true" outlineLevel="0" collapsed="false">
      <c r="A35" s="9" t="s">
        <v>104</v>
      </c>
      <c r="B35" s="10" t="str">
        <f aca="false">INDEX(Bases!$B$5:$B$83,$T35)</f>
        <v>Guerrier</v>
      </c>
      <c r="C35" s="10" t="str">
        <f aca="false">INDEX(Bases!$E$5:$E$83,$T35)</f>
        <v>Attaque (arme 1)</v>
      </c>
      <c r="D35" s="10" t="str">
        <f aca="false">INDEX(Bases!$F$5:$F$83,$T35)</f>
        <v>Attaque</v>
      </c>
      <c r="E35" s="11" t="str">
        <f aca="false">INDEX(Bases!$C$5:$C$83,$T35)</f>
        <v>Tourbillon</v>
      </c>
      <c r="F35" s="10" t="str">
        <f aca="false">INDEX(Éléments!$A$5:$A$14,$U35)</f>
        <v>Neutre</v>
      </c>
      <c r="G35" s="12" t="str">
        <f aca="false">IF(OR($F35="Neutre",$C35="Passif"),$E35,INDEX(Bases!$D$5:$D$83,$T35)&amp;" "&amp;INDEX(Éléments!$D$5:$D$14,$U35))</f>
        <v>Tourbillon</v>
      </c>
      <c r="H35" s="10" t="str">
        <f aca="false">INDEX(Bases!$G$5:$G$83,$T35)</f>
        <v>Zone</v>
      </c>
      <c r="I35" s="13" t="n">
        <f aca="false">INDEX(Bases!$H$5:$H$83,$T35)</f>
        <v>2</v>
      </c>
      <c r="J35" s="10" t="str">
        <f aca="false">INDEX(Bases!$I$5:$I$83,$T35)</f>
        <v>Non</v>
      </c>
      <c r="K35" s="14" t="n">
        <f aca="false">INDEX(Bases!$J$5:$J$83,$T35)</f>
        <v>0.85</v>
      </c>
      <c r="L35" s="10" t="str">
        <f aca="false">INDEX(Bases!$K$5:$K$83,$T35)</f>
        <v>Force</v>
      </c>
      <c r="M35" s="11" t="str">
        <f aca="false">INDEX(Bases!$L$5:$L$83,$T35)</f>
        <v>Frappe tous les ennemis de la vague.</v>
      </c>
      <c r="N35" s="11" t="str">
        <f aca="false">IF($C35="Passif","—",IF($C35="Attaque (arme 1)",INDEX(Éléments!$F$5:$F$14,$U35),INDEX(Éléments!$G$5:$G$14,$U35)))</f>
        <v>Aucune altération ; ignore 10 % de la Résistance de la cible. Fiable contre tous les biomes.</v>
      </c>
      <c r="O35" s="10" t="str">
        <f aca="false">INDEX(Bases!$M$5:$M$83,$T35)</f>
        <v>Active</v>
      </c>
      <c r="P35" s="13" t="n">
        <f aca="false">INDEX(Bases!$N$5:$N$83,$T35)</f>
        <v>12</v>
      </c>
      <c r="Q35" s="15" t="n">
        <f aca="false">INDEX(Éléments!$C$5:$C$14,$U35)</f>
        <v>0</v>
      </c>
      <c r="R35" s="11" t="str">
        <f aca="false">"Niv. "&amp;$P35&amp;IF($Q35&gt;0," · étage "&amp;$Q35&amp;" terminé","")</f>
        <v>Niv. 12</v>
      </c>
      <c r="S35" s="14" t="n">
        <f aca="false">IF(ISNUMBER($I35),$K35*IF($H35="Zone",Paramètres!$B$8,1)/MAX(1,$I35),0)</f>
        <v>1.275</v>
      </c>
      <c r="T35" s="16" t="n">
        <v>4</v>
      </c>
      <c r="U35" s="16" t="n">
        <v>1</v>
      </c>
    </row>
    <row r="36" customFormat="false" ht="15" hidden="false" customHeight="true" outlineLevel="0" collapsed="false">
      <c r="A36" s="9" t="s">
        <v>105</v>
      </c>
      <c r="B36" s="10" t="str">
        <f aca="false">INDEX(Bases!$B$5:$B$83,$T36)</f>
        <v>Guerrier</v>
      </c>
      <c r="C36" s="10" t="str">
        <f aca="false">INDEX(Bases!$E$5:$E$83,$T36)</f>
        <v>Attaque (arme 1)</v>
      </c>
      <c r="D36" s="10" t="str">
        <f aca="false">INDEX(Bases!$F$5:$F$83,$T36)</f>
        <v>Attaque</v>
      </c>
      <c r="E36" s="11" t="str">
        <f aca="false">INDEX(Bases!$C$5:$C$83,$T36)</f>
        <v>Tourbillon</v>
      </c>
      <c r="F36" s="10" t="str">
        <f aca="false">INDEX(Éléments!$A$5:$A$14,$U36)</f>
        <v>Terre</v>
      </c>
      <c r="G36" s="12" t="str">
        <f aca="false">IF(OR($F36="Neutre",$C36="Passif"),$E36,INDEX(Bases!$D$5:$D$83,$T36)&amp;" "&amp;INDEX(Éléments!$D$5:$D$14,$U36))</f>
        <v>Tourbillon de pierre</v>
      </c>
      <c r="H36" s="10" t="str">
        <f aca="false">INDEX(Bases!$G$5:$G$83,$T36)</f>
        <v>Zone</v>
      </c>
      <c r="I36" s="13" t="n">
        <f aca="false">INDEX(Bases!$H$5:$H$83,$T36)</f>
        <v>2</v>
      </c>
      <c r="J36" s="10" t="str">
        <f aca="false">INDEX(Bases!$I$5:$I$83,$T36)</f>
        <v>Non</v>
      </c>
      <c r="K36" s="14" t="n">
        <f aca="false">INDEX(Bases!$J$5:$J$83,$T36)</f>
        <v>0.85</v>
      </c>
      <c r="L36" s="10" t="str">
        <f aca="false">INDEX(Bases!$K$5:$K$83,$T36)</f>
        <v>Force</v>
      </c>
      <c r="M36" s="11" t="str">
        <f aca="false">INDEX(Bases!$L$5:$L$83,$T36)</f>
        <v>Frappe tous les ennemis de la vague.</v>
      </c>
      <c r="N36" s="11" t="str">
        <f aca="false">IF($C36="Passif","—",IF($C36="Attaque (arme 1)",INDEX(Éléments!$F$5:$F$14,$U36),INDEX(Éléments!$G$5:$G$14,$U36)))</f>
        <v>30 % : Garde brisée (−15 % Résistance, 2 tours).</v>
      </c>
      <c r="O36" s="10" t="str">
        <f aca="false">INDEX(Bases!$M$5:$M$83,$T36)</f>
        <v>Active</v>
      </c>
      <c r="P36" s="13" t="n">
        <f aca="false">INDEX(Bases!$N$5:$N$83,$T36)</f>
        <v>12</v>
      </c>
      <c r="Q36" s="15" t="n">
        <f aca="false">INDEX(Éléments!$C$5:$C$14,$U36)</f>
        <v>20</v>
      </c>
      <c r="R36" s="11" t="str">
        <f aca="false">"Niv. "&amp;$P36&amp;IF($Q36&gt;0," · étage "&amp;$Q36&amp;" terminé","")</f>
        <v>Niv. 12 · étage 20 terminé</v>
      </c>
      <c r="S36" s="14" t="n">
        <f aca="false">IF(ISNUMBER($I36),$K36*IF($H36="Zone",Paramètres!$B$8,1)/MAX(1,$I36),0)</f>
        <v>1.275</v>
      </c>
      <c r="T36" s="16" t="n">
        <v>4</v>
      </c>
      <c r="U36" s="16" t="n">
        <v>2</v>
      </c>
    </row>
    <row r="37" customFormat="false" ht="15" hidden="false" customHeight="true" outlineLevel="0" collapsed="false">
      <c r="A37" s="9" t="s">
        <v>106</v>
      </c>
      <c r="B37" s="10" t="str">
        <f aca="false">INDEX(Bases!$B$5:$B$83,$T37)</f>
        <v>Guerrier</v>
      </c>
      <c r="C37" s="10" t="str">
        <f aca="false">INDEX(Bases!$E$5:$E$83,$T37)</f>
        <v>Attaque (arme 1)</v>
      </c>
      <c r="D37" s="10" t="str">
        <f aca="false">INDEX(Bases!$F$5:$F$83,$T37)</f>
        <v>Attaque</v>
      </c>
      <c r="E37" s="11" t="str">
        <f aca="false">INDEX(Bases!$C$5:$C$83,$T37)</f>
        <v>Tourbillon</v>
      </c>
      <c r="F37" s="10" t="str">
        <f aca="false">INDEX(Éléments!$A$5:$A$14,$U37)</f>
        <v>Feu</v>
      </c>
      <c r="G37" s="12" t="str">
        <f aca="false">IF(OR($F37="Neutre",$C37="Passif"),$E37,INDEX(Bases!$D$5:$D$83,$T37)&amp;" "&amp;INDEX(Éléments!$D$5:$D$14,$U37))</f>
        <v>Tourbillon de feu</v>
      </c>
      <c r="H37" s="10" t="str">
        <f aca="false">INDEX(Bases!$G$5:$G$83,$T37)</f>
        <v>Zone</v>
      </c>
      <c r="I37" s="13" t="n">
        <f aca="false">INDEX(Bases!$H$5:$H$83,$T37)</f>
        <v>2</v>
      </c>
      <c r="J37" s="10" t="str">
        <f aca="false">INDEX(Bases!$I$5:$I$83,$T37)</f>
        <v>Non</v>
      </c>
      <c r="K37" s="14" t="n">
        <f aca="false">INDEX(Bases!$J$5:$J$83,$T37)</f>
        <v>0.85</v>
      </c>
      <c r="L37" s="10" t="str">
        <f aca="false">INDEX(Bases!$K$5:$K$83,$T37)</f>
        <v>Force</v>
      </c>
      <c r="M37" s="11" t="str">
        <f aca="false">INDEX(Bases!$L$5:$L$83,$T37)</f>
        <v>Frappe tous les ennemis de la vague.</v>
      </c>
      <c r="N37" s="11" t="str">
        <f aca="false">IF($C37="Passif","—",IF($C37="Attaque (arme 1)",INDEX(Éléments!$F$5:$F$14,$U37),INDEX(Éléments!$G$5:$G$14,$U37)))</f>
        <v>35 % : Brûlure (8 % de la stat d'attaque par tour, 3 tours, non cumulable).</v>
      </c>
      <c r="O37" s="10" t="str">
        <f aca="false">INDEX(Bases!$M$5:$M$83,$T37)</f>
        <v>Active</v>
      </c>
      <c r="P37" s="13" t="n">
        <f aca="false">INDEX(Bases!$N$5:$N$83,$T37)</f>
        <v>12</v>
      </c>
      <c r="Q37" s="15" t="n">
        <f aca="false">INDEX(Éléments!$C$5:$C$14,$U37)</f>
        <v>30</v>
      </c>
      <c r="R37" s="11" t="str">
        <f aca="false">"Niv. "&amp;$P37&amp;IF($Q37&gt;0," · étage "&amp;$Q37&amp;" terminé","")</f>
        <v>Niv. 12 · étage 30 terminé</v>
      </c>
      <c r="S37" s="14" t="n">
        <f aca="false">IF(ISNUMBER($I37),$K37*IF($H37="Zone",Paramètres!$B$8,1)/MAX(1,$I37),0)</f>
        <v>1.275</v>
      </c>
      <c r="T37" s="16" t="n">
        <v>4</v>
      </c>
      <c r="U37" s="16" t="n">
        <v>3</v>
      </c>
    </row>
    <row r="38" customFormat="false" ht="15" hidden="false" customHeight="true" outlineLevel="0" collapsed="false">
      <c r="A38" s="9" t="s">
        <v>107</v>
      </c>
      <c r="B38" s="10" t="str">
        <f aca="false">INDEX(Bases!$B$5:$B$83,$T38)</f>
        <v>Guerrier</v>
      </c>
      <c r="C38" s="10" t="str">
        <f aca="false">INDEX(Bases!$E$5:$E$83,$T38)</f>
        <v>Attaque (arme 1)</v>
      </c>
      <c r="D38" s="10" t="str">
        <f aca="false">INDEX(Bases!$F$5:$F$83,$T38)</f>
        <v>Attaque</v>
      </c>
      <c r="E38" s="11" t="str">
        <f aca="false">INDEX(Bases!$C$5:$C$83,$T38)</f>
        <v>Tourbillon</v>
      </c>
      <c r="F38" s="10" t="str">
        <f aca="false">INDEX(Éléments!$A$5:$A$14,$U38)</f>
        <v>Vent</v>
      </c>
      <c r="G38" s="12" t="str">
        <f aca="false">IF(OR($F38="Neutre",$C38="Passif"),$E38,INDEX(Bases!$D$5:$D$83,$T38)&amp;" "&amp;INDEX(Éléments!$D$5:$D$14,$U38))</f>
        <v>Tourbillon de vent</v>
      </c>
      <c r="H38" s="10" t="str">
        <f aca="false">INDEX(Bases!$G$5:$G$83,$T38)</f>
        <v>Zone</v>
      </c>
      <c r="I38" s="13" t="n">
        <f aca="false">INDEX(Bases!$H$5:$H$83,$T38)</f>
        <v>2</v>
      </c>
      <c r="J38" s="10" t="str">
        <f aca="false">INDEX(Bases!$I$5:$I$83,$T38)</f>
        <v>Non</v>
      </c>
      <c r="K38" s="14" t="n">
        <f aca="false">INDEX(Bases!$J$5:$J$83,$T38)</f>
        <v>0.85</v>
      </c>
      <c r="L38" s="10" t="str">
        <f aca="false">INDEX(Bases!$K$5:$K$83,$T38)</f>
        <v>Force</v>
      </c>
      <c r="M38" s="11" t="str">
        <f aca="false">INDEX(Bases!$L$5:$L$83,$T38)</f>
        <v>Frappe tous les ennemis de la vague.</v>
      </c>
      <c r="N38" s="11" t="str">
        <f aca="false">IF($C38="Passif","—",IF($C38="Attaque (arme 1)",INDEX(Éléments!$F$5:$F$14,$U38),INDEX(Éléments!$G$5:$G$14,$U38)))</f>
        <v>+10 % de chance de critique ; 30 % : Désorienté (−15 % Précision, 2 tours).</v>
      </c>
      <c r="O38" s="10" t="str">
        <f aca="false">INDEX(Bases!$M$5:$M$83,$T38)</f>
        <v>Active</v>
      </c>
      <c r="P38" s="13" t="n">
        <f aca="false">INDEX(Bases!$N$5:$N$83,$T38)</f>
        <v>12</v>
      </c>
      <c r="Q38" s="15" t="n">
        <f aca="false">INDEX(Éléments!$C$5:$C$14,$U38)</f>
        <v>40</v>
      </c>
      <c r="R38" s="11" t="str">
        <f aca="false">"Niv. "&amp;$P38&amp;IF($Q38&gt;0," · étage "&amp;$Q38&amp;" terminé","")</f>
        <v>Niv. 12 · étage 40 terminé</v>
      </c>
      <c r="S38" s="14" t="n">
        <f aca="false">IF(ISNUMBER($I38),$K38*IF($H38="Zone",Paramètres!$B$8,1)/MAX(1,$I38),0)</f>
        <v>1.275</v>
      </c>
      <c r="T38" s="16" t="n">
        <v>4</v>
      </c>
      <c r="U38" s="16" t="n">
        <v>4</v>
      </c>
    </row>
    <row r="39" customFormat="false" ht="15" hidden="false" customHeight="true" outlineLevel="0" collapsed="false">
      <c r="A39" s="9" t="s">
        <v>108</v>
      </c>
      <c r="B39" s="10" t="str">
        <f aca="false">INDEX(Bases!$B$5:$B$83,$T39)</f>
        <v>Guerrier</v>
      </c>
      <c r="C39" s="10" t="str">
        <f aca="false">INDEX(Bases!$E$5:$E$83,$T39)</f>
        <v>Attaque (arme 1)</v>
      </c>
      <c r="D39" s="10" t="str">
        <f aca="false">INDEX(Bases!$F$5:$F$83,$T39)</f>
        <v>Attaque</v>
      </c>
      <c r="E39" s="11" t="str">
        <f aca="false">INDEX(Bases!$C$5:$C$83,$T39)</f>
        <v>Tourbillon</v>
      </c>
      <c r="F39" s="10" t="str">
        <f aca="false">INDEX(Éléments!$A$5:$A$14,$U39)</f>
        <v>Acide</v>
      </c>
      <c r="G39" s="12" t="str">
        <f aca="false">IF(OR($F39="Neutre",$C39="Passif"),$E39,INDEX(Bases!$D$5:$D$83,$T39)&amp;" "&amp;INDEX(Éléments!$D$5:$D$14,$U39))</f>
        <v>Tourbillon d'acide</v>
      </c>
      <c r="H39" s="10" t="str">
        <f aca="false">INDEX(Bases!$G$5:$G$83,$T39)</f>
        <v>Zone</v>
      </c>
      <c r="I39" s="13" t="n">
        <f aca="false">INDEX(Bases!$H$5:$H$83,$T39)</f>
        <v>2</v>
      </c>
      <c r="J39" s="10" t="str">
        <f aca="false">INDEX(Bases!$I$5:$I$83,$T39)</f>
        <v>Non</v>
      </c>
      <c r="K39" s="14" t="n">
        <f aca="false">INDEX(Bases!$J$5:$J$83,$T39)</f>
        <v>0.85</v>
      </c>
      <c r="L39" s="10" t="str">
        <f aca="false">INDEX(Bases!$K$5:$K$83,$T39)</f>
        <v>Force</v>
      </c>
      <c r="M39" s="11" t="str">
        <f aca="false">INDEX(Bases!$L$5:$L$83,$T39)</f>
        <v>Frappe tous les ennemis de la vague.</v>
      </c>
      <c r="N39" s="11" t="str">
        <f aca="false">IF($C39="Passif","—",IF($C39="Attaque (arme 1)",INDEX(Éléments!$F$5:$F$14,$U39),INDEX(Éléments!$G$5:$G$14,$U39)))</f>
        <v>50 % : 1 pile de Corrosion (−5 % Armure par pile, 4 piles max, 3 tours).</v>
      </c>
      <c r="O39" s="10" t="str">
        <f aca="false">INDEX(Bases!$M$5:$M$83,$T39)</f>
        <v>Active</v>
      </c>
      <c r="P39" s="13" t="n">
        <f aca="false">INDEX(Bases!$N$5:$N$83,$T39)</f>
        <v>12</v>
      </c>
      <c r="Q39" s="15" t="n">
        <f aca="false">INDEX(Éléments!$C$5:$C$14,$U39)</f>
        <v>50</v>
      </c>
      <c r="R39" s="11" t="str">
        <f aca="false">"Niv. "&amp;$P39&amp;IF($Q39&gt;0," · étage "&amp;$Q39&amp;" terminé","")</f>
        <v>Niv. 12 · étage 50 terminé</v>
      </c>
      <c r="S39" s="14" t="n">
        <f aca="false">IF(ISNUMBER($I39),$K39*IF($H39="Zone",Paramètres!$B$8,1)/MAX(1,$I39),0)</f>
        <v>1.275</v>
      </c>
      <c r="T39" s="16" t="n">
        <v>4</v>
      </c>
      <c r="U39" s="16" t="n">
        <v>5</v>
      </c>
    </row>
    <row r="40" customFormat="false" ht="15" hidden="false" customHeight="true" outlineLevel="0" collapsed="false">
      <c r="A40" s="9" t="s">
        <v>109</v>
      </c>
      <c r="B40" s="10" t="str">
        <f aca="false">INDEX(Bases!$B$5:$B$83,$T40)</f>
        <v>Guerrier</v>
      </c>
      <c r="C40" s="10" t="str">
        <f aca="false">INDEX(Bases!$E$5:$E$83,$T40)</f>
        <v>Attaque (arme 1)</v>
      </c>
      <c r="D40" s="10" t="str">
        <f aca="false">INDEX(Bases!$F$5:$F$83,$T40)</f>
        <v>Attaque</v>
      </c>
      <c r="E40" s="11" t="str">
        <f aca="false">INDEX(Bases!$C$5:$C$83,$T40)</f>
        <v>Tourbillon</v>
      </c>
      <c r="F40" s="10" t="str">
        <f aca="false">INDEX(Éléments!$A$5:$A$14,$U40)</f>
        <v>Eau</v>
      </c>
      <c r="G40" s="12" t="str">
        <f aca="false">IF(OR($F40="Neutre",$C40="Passif"),$E40,INDEX(Bases!$D$5:$D$83,$T40)&amp;" "&amp;INDEX(Éléments!$D$5:$D$14,$U40))</f>
        <v>Tourbillon d'eau</v>
      </c>
      <c r="H40" s="10" t="str">
        <f aca="false">INDEX(Bases!$G$5:$G$83,$T40)</f>
        <v>Zone</v>
      </c>
      <c r="I40" s="13" t="n">
        <f aca="false">INDEX(Bases!$H$5:$H$83,$T40)</f>
        <v>2</v>
      </c>
      <c r="J40" s="10" t="str">
        <f aca="false">INDEX(Bases!$I$5:$I$83,$T40)</f>
        <v>Non</v>
      </c>
      <c r="K40" s="14" t="n">
        <f aca="false">INDEX(Bases!$J$5:$J$83,$T40)</f>
        <v>0.85</v>
      </c>
      <c r="L40" s="10" t="str">
        <f aca="false">INDEX(Bases!$K$5:$K$83,$T40)</f>
        <v>Force</v>
      </c>
      <c r="M40" s="11" t="str">
        <f aca="false">INDEX(Bases!$L$5:$L$83,$T40)</f>
        <v>Frappe tous les ennemis de la vague.</v>
      </c>
      <c r="N40" s="11" t="str">
        <f aca="false">IF($C40="Passif","—",IF($C40="Attaque (arme 1)",INDEX(Éléments!$F$5:$F$14,$U40),INDEX(Éléments!$G$5:$G$14,$U40)))</f>
        <v>50 % : Mouillé (+25 % de dégâts d'Électricité subis, retire Brûlure, 3 tours).</v>
      </c>
      <c r="O40" s="10" t="str">
        <f aca="false">INDEX(Bases!$M$5:$M$83,$T40)</f>
        <v>Active</v>
      </c>
      <c r="P40" s="13" t="n">
        <f aca="false">INDEX(Bases!$N$5:$N$83,$T40)</f>
        <v>12</v>
      </c>
      <c r="Q40" s="15" t="n">
        <f aca="false">INDEX(Éléments!$C$5:$C$14,$U40)</f>
        <v>60</v>
      </c>
      <c r="R40" s="11" t="str">
        <f aca="false">"Niv. "&amp;$P40&amp;IF($Q40&gt;0," · étage "&amp;$Q40&amp;" terminé","")</f>
        <v>Niv. 12 · étage 60 terminé</v>
      </c>
      <c r="S40" s="14" t="n">
        <f aca="false">IF(ISNUMBER($I40),$K40*IF($H40="Zone",Paramètres!$B$8,1)/MAX(1,$I40),0)</f>
        <v>1.275</v>
      </c>
      <c r="T40" s="16" t="n">
        <v>4</v>
      </c>
      <c r="U40" s="16" t="n">
        <v>6</v>
      </c>
    </row>
    <row r="41" customFormat="false" ht="15" hidden="false" customHeight="true" outlineLevel="0" collapsed="false">
      <c r="A41" s="9" t="s">
        <v>110</v>
      </c>
      <c r="B41" s="10" t="str">
        <f aca="false">INDEX(Bases!$B$5:$B$83,$T41)</f>
        <v>Guerrier</v>
      </c>
      <c r="C41" s="10" t="str">
        <f aca="false">INDEX(Bases!$E$5:$E$83,$T41)</f>
        <v>Attaque (arme 1)</v>
      </c>
      <c r="D41" s="10" t="str">
        <f aca="false">INDEX(Bases!$F$5:$F$83,$T41)</f>
        <v>Attaque</v>
      </c>
      <c r="E41" s="11" t="str">
        <f aca="false">INDEX(Bases!$C$5:$C$83,$T41)</f>
        <v>Tourbillon</v>
      </c>
      <c r="F41" s="10" t="str">
        <f aca="false">INDEX(Éléments!$A$5:$A$14,$U41)</f>
        <v>Glace</v>
      </c>
      <c r="G41" s="12" t="str">
        <f aca="false">IF(OR($F41="Neutre",$C41="Passif"),$E41,INDEX(Bases!$D$5:$D$83,$T41)&amp;" "&amp;INDEX(Éléments!$D$5:$D$14,$U41))</f>
        <v>Tourbillon de glace</v>
      </c>
      <c r="H41" s="10" t="str">
        <f aca="false">INDEX(Bases!$G$5:$G$83,$T41)</f>
        <v>Zone</v>
      </c>
      <c r="I41" s="13" t="n">
        <f aca="false">INDEX(Bases!$H$5:$H$83,$T41)</f>
        <v>2</v>
      </c>
      <c r="J41" s="10" t="str">
        <f aca="false">INDEX(Bases!$I$5:$I$83,$T41)</f>
        <v>Non</v>
      </c>
      <c r="K41" s="14" t="n">
        <f aca="false">INDEX(Bases!$J$5:$J$83,$T41)</f>
        <v>0.85</v>
      </c>
      <c r="L41" s="10" t="str">
        <f aca="false">INDEX(Bases!$K$5:$K$83,$T41)</f>
        <v>Force</v>
      </c>
      <c r="M41" s="11" t="str">
        <f aca="false">INDEX(Bases!$L$5:$L$83,$T41)</f>
        <v>Frappe tous les ennemis de la vague.</v>
      </c>
      <c r="N41" s="11" t="str">
        <f aca="false">IF($C41="Passif","—",IF($C41="Attaque (arme 1)",INDEX(Éléments!$F$5:$F$14,$U41),INDEX(Éléments!$G$5:$G$14,$U41)))</f>
        <v>40 % : 1 pile de Froid (−8 % Agilité ; à 3 piles : Gel, la cible perd 1 tour).</v>
      </c>
      <c r="O41" s="10" t="str">
        <f aca="false">INDEX(Bases!$M$5:$M$83,$T41)</f>
        <v>Active</v>
      </c>
      <c r="P41" s="13" t="n">
        <f aca="false">INDEX(Bases!$N$5:$N$83,$T41)</f>
        <v>12</v>
      </c>
      <c r="Q41" s="15" t="n">
        <f aca="false">INDEX(Éléments!$C$5:$C$14,$U41)</f>
        <v>70</v>
      </c>
      <c r="R41" s="11" t="str">
        <f aca="false">"Niv. "&amp;$P41&amp;IF($Q41&gt;0," · étage "&amp;$Q41&amp;" terminé","")</f>
        <v>Niv. 12 · étage 70 terminé</v>
      </c>
      <c r="S41" s="14" t="n">
        <f aca="false">IF(ISNUMBER($I41),$K41*IF($H41="Zone",Paramètres!$B$8,1)/MAX(1,$I41),0)</f>
        <v>1.275</v>
      </c>
      <c r="T41" s="16" t="n">
        <v>4</v>
      </c>
      <c r="U41" s="16" t="n">
        <v>7</v>
      </c>
    </row>
    <row r="42" customFormat="false" ht="15" hidden="false" customHeight="true" outlineLevel="0" collapsed="false">
      <c r="A42" s="9" t="s">
        <v>111</v>
      </c>
      <c r="B42" s="10" t="str">
        <f aca="false">INDEX(Bases!$B$5:$B$83,$T42)</f>
        <v>Guerrier</v>
      </c>
      <c r="C42" s="10" t="str">
        <f aca="false">INDEX(Bases!$E$5:$E$83,$T42)</f>
        <v>Attaque (arme 1)</v>
      </c>
      <c r="D42" s="10" t="str">
        <f aca="false">INDEX(Bases!$F$5:$F$83,$T42)</f>
        <v>Attaque</v>
      </c>
      <c r="E42" s="11" t="str">
        <f aca="false">INDEX(Bases!$C$5:$C$83,$T42)</f>
        <v>Tourbillon</v>
      </c>
      <c r="F42" s="10" t="str">
        <f aca="false">INDEX(Éléments!$A$5:$A$14,$U42)</f>
        <v>Électricité</v>
      </c>
      <c r="G42" s="12" t="str">
        <f aca="false">IF(OR($F42="Neutre",$C42="Passif"),$E42,INDEX(Bases!$D$5:$D$83,$T42)&amp;" "&amp;INDEX(Éléments!$D$5:$D$14,$U42))</f>
        <v>Tourbillon de foudre</v>
      </c>
      <c r="H42" s="10" t="str">
        <f aca="false">INDEX(Bases!$G$5:$G$83,$T42)</f>
        <v>Zone</v>
      </c>
      <c r="I42" s="13" t="n">
        <f aca="false">INDEX(Bases!$H$5:$H$83,$T42)</f>
        <v>2</v>
      </c>
      <c r="J42" s="10" t="str">
        <f aca="false">INDEX(Bases!$I$5:$I$83,$T42)</f>
        <v>Non</v>
      </c>
      <c r="K42" s="14" t="n">
        <f aca="false">INDEX(Bases!$J$5:$J$83,$T42)</f>
        <v>0.85</v>
      </c>
      <c r="L42" s="10" t="str">
        <f aca="false">INDEX(Bases!$K$5:$K$83,$T42)</f>
        <v>Force</v>
      </c>
      <c r="M42" s="11" t="str">
        <f aca="false">INDEX(Bases!$L$5:$L$83,$T42)</f>
        <v>Frappe tous les ennemis de la vague.</v>
      </c>
      <c r="N42" s="11" t="str">
        <f aca="false">IF($C42="Passif","—",IF($C42="Attaque (arme 1)",INDEX(Éléments!$F$5:$F$14,$U42),INDEX(Éléments!$G$5:$G$14,$U42)))</f>
        <v>Rebondit sur 1 autre ennemi (40 % des dégâts) ; 10 % : Étourdissement (1 tour).</v>
      </c>
      <c r="O42" s="10" t="str">
        <f aca="false">INDEX(Bases!$M$5:$M$83,$T42)</f>
        <v>Active</v>
      </c>
      <c r="P42" s="13" t="n">
        <f aca="false">INDEX(Bases!$N$5:$N$83,$T42)</f>
        <v>12</v>
      </c>
      <c r="Q42" s="15" t="n">
        <f aca="false">INDEX(Éléments!$C$5:$C$14,$U42)</f>
        <v>80</v>
      </c>
      <c r="R42" s="11" t="str">
        <f aca="false">"Niv. "&amp;$P42&amp;IF($Q42&gt;0," · étage "&amp;$Q42&amp;" terminé","")</f>
        <v>Niv. 12 · étage 80 terminé</v>
      </c>
      <c r="S42" s="14" t="n">
        <f aca="false">IF(ISNUMBER($I42),$K42*IF($H42="Zone",Paramètres!$B$8,1)/MAX(1,$I42),0)</f>
        <v>1.275</v>
      </c>
      <c r="T42" s="16" t="n">
        <v>4</v>
      </c>
      <c r="U42" s="16" t="n">
        <v>8</v>
      </c>
    </row>
    <row r="43" customFormat="false" ht="15" hidden="false" customHeight="true" outlineLevel="0" collapsed="false">
      <c r="A43" s="9" t="s">
        <v>112</v>
      </c>
      <c r="B43" s="10" t="str">
        <f aca="false">INDEX(Bases!$B$5:$B$83,$T43)</f>
        <v>Guerrier</v>
      </c>
      <c r="C43" s="10" t="str">
        <f aca="false">INDEX(Bases!$E$5:$E$83,$T43)</f>
        <v>Attaque (arme 1)</v>
      </c>
      <c r="D43" s="10" t="str">
        <f aca="false">INDEX(Bases!$F$5:$F$83,$T43)</f>
        <v>Attaque</v>
      </c>
      <c r="E43" s="11" t="str">
        <f aca="false">INDEX(Bases!$C$5:$C$83,$T43)</f>
        <v>Tourbillon</v>
      </c>
      <c r="F43" s="10" t="str">
        <f aca="false">INDEX(Éléments!$A$5:$A$14,$U43)</f>
        <v>Lumière</v>
      </c>
      <c r="G43" s="12" t="str">
        <f aca="false">IF(OR($F43="Neutre",$C43="Passif"),$E43,INDEX(Bases!$D$5:$D$83,$T43)&amp;" "&amp;INDEX(Éléments!$D$5:$D$14,$U43))</f>
        <v>Tourbillon de lumière</v>
      </c>
      <c r="H43" s="10" t="str">
        <f aca="false">INDEX(Bases!$G$5:$G$83,$T43)</f>
        <v>Zone</v>
      </c>
      <c r="I43" s="13" t="n">
        <f aca="false">INDEX(Bases!$H$5:$H$83,$T43)</f>
        <v>2</v>
      </c>
      <c r="J43" s="10" t="str">
        <f aca="false">INDEX(Bases!$I$5:$I$83,$T43)</f>
        <v>Non</v>
      </c>
      <c r="K43" s="14" t="n">
        <f aca="false">INDEX(Bases!$J$5:$J$83,$T43)</f>
        <v>0.85</v>
      </c>
      <c r="L43" s="10" t="str">
        <f aca="false">INDEX(Bases!$K$5:$K$83,$T43)</f>
        <v>Force</v>
      </c>
      <c r="M43" s="11" t="str">
        <f aca="false">INDEX(Bases!$L$5:$L$83,$T43)</f>
        <v>Frappe tous les ennemis de la vague.</v>
      </c>
      <c r="N43" s="11" t="str">
        <f aca="false">IF($C43="Passif","—",IF($C43="Attaque (arme 1)",INDEX(Éléments!$F$5:$F$14,$U43),INDEX(Éléments!$G$5:$G$14,$U43)))</f>
        <v>Soigne le lanceur de 5 % des dégâts infligés ; 25 % : Éblouissement (−20 % chance de critique, 2 tours).</v>
      </c>
      <c r="O43" s="10" t="str">
        <f aca="false">INDEX(Bases!$M$5:$M$83,$T43)</f>
        <v>Active</v>
      </c>
      <c r="P43" s="13" t="n">
        <f aca="false">INDEX(Bases!$N$5:$N$83,$T43)</f>
        <v>12</v>
      </c>
      <c r="Q43" s="15" t="n">
        <f aca="false">INDEX(Éléments!$C$5:$C$14,$U43)</f>
        <v>90</v>
      </c>
      <c r="R43" s="11" t="str">
        <f aca="false">"Niv. "&amp;$P43&amp;IF($Q43&gt;0," · étage "&amp;$Q43&amp;" terminé","")</f>
        <v>Niv. 12 · étage 90 terminé</v>
      </c>
      <c r="S43" s="14" t="n">
        <f aca="false">IF(ISNUMBER($I43),$K43*IF($H43="Zone",Paramètres!$B$8,1)/MAX(1,$I43),0)</f>
        <v>1.275</v>
      </c>
      <c r="T43" s="16" t="n">
        <v>4</v>
      </c>
      <c r="U43" s="16" t="n">
        <v>9</v>
      </c>
    </row>
    <row r="44" customFormat="false" ht="15" hidden="false" customHeight="true" outlineLevel="0" collapsed="false">
      <c r="A44" s="9" t="s">
        <v>113</v>
      </c>
      <c r="B44" s="10" t="str">
        <f aca="false">INDEX(Bases!$B$5:$B$83,$T44)</f>
        <v>Guerrier</v>
      </c>
      <c r="C44" s="10" t="str">
        <f aca="false">INDEX(Bases!$E$5:$E$83,$T44)</f>
        <v>Attaque (arme 1)</v>
      </c>
      <c r="D44" s="10" t="str">
        <f aca="false">INDEX(Bases!$F$5:$F$83,$T44)</f>
        <v>Attaque</v>
      </c>
      <c r="E44" s="11" t="str">
        <f aca="false">INDEX(Bases!$C$5:$C$83,$T44)</f>
        <v>Tourbillon</v>
      </c>
      <c r="F44" s="10" t="str">
        <f aca="false">INDEX(Éléments!$A$5:$A$14,$U44)</f>
        <v>Ombre</v>
      </c>
      <c r="G44" s="12" t="str">
        <f aca="false">IF(OR($F44="Neutre",$C44="Passif"),$E44,INDEX(Bases!$D$5:$D$83,$T44)&amp;" "&amp;INDEX(Éléments!$D$5:$D$14,$U44))</f>
        <v>Tourbillon d'ombre</v>
      </c>
      <c r="H44" s="10" t="str">
        <f aca="false">INDEX(Bases!$G$5:$G$83,$T44)</f>
        <v>Zone</v>
      </c>
      <c r="I44" s="13" t="n">
        <f aca="false">INDEX(Bases!$H$5:$H$83,$T44)</f>
        <v>2</v>
      </c>
      <c r="J44" s="10" t="str">
        <f aca="false">INDEX(Bases!$I$5:$I$83,$T44)</f>
        <v>Non</v>
      </c>
      <c r="K44" s="14" t="n">
        <f aca="false">INDEX(Bases!$J$5:$J$83,$T44)</f>
        <v>0.85</v>
      </c>
      <c r="L44" s="10" t="str">
        <f aca="false">INDEX(Bases!$K$5:$K$83,$T44)</f>
        <v>Force</v>
      </c>
      <c r="M44" s="11" t="str">
        <f aca="false">INDEX(Bases!$L$5:$L$83,$T44)</f>
        <v>Frappe tous les ennemis de la vague.</v>
      </c>
      <c r="N44" s="11" t="str">
        <f aca="false">IF($C44="Passif","—",IF($C44="Attaque (arme 1)",INDEX(Éléments!$F$5:$F$14,$U44),INDEX(Éléments!$G$5:$G$14,$U44)))</f>
        <v>Vol de vie 5 % ; 30 % : Corruption (+10 % de dégâts subis, 2 tours).</v>
      </c>
      <c r="O44" s="10" t="str">
        <f aca="false">INDEX(Bases!$M$5:$M$83,$T44)</f>
        <v>Active</v>
      </c>
      <c r="P44" s="13" t="n">
        <f aca="false">INDEX(Bases!$N$5:$N$83,$T44)</f>
        <v>12</v>
      </c>
      <c r="Q44" s="15" t="n">
        <f aca="false">INDEX(Éléments!$C$5:$C$14,$U44)</f>
        <v>100</v>
      </c>
      <c r="R44" s="11" t="str">
        <f aca="false">"Niv. "&amp;$P44&amp;IF($Q44&gt;0," · étage "&amp;$Q44&amp;" terminé","")</f>
        <v>Niv. 12 · étage 100 terminé</v>
      </c>
      <c r="S44" s="14" t="n">
        <f aca="false">IF(ISNUMBER($I44),$K44*IF($H44="Zone",Paramètres!$B$8,1)/MAX(1,$I44),0)</f>
        <v>1.275</v>
      </c>
      <c r="T44" s="16" t="n">
        <v>4</v>
      </c>
      <c r="U44" s="16" t="n">
        <v>10</v>
      </c>
    </row>
    <row r="45" customFormat="false" ht="15" hidden="false" customHeight="true" outlineLevel="0" collapsed="false">
      <c r="A45" s="9" t="s">
        <v>114</v>
      </c>
      <c r="B45" s="10" t="str">
        <f aca="false">INDEX(Bases!$B$5:$B$83,$T45)</f>
        <v>Guerrier</v>
      </c>
      <c r="C45" s="10" t="str">
        <f aca="false">INDEX(Bases!$E$5:$E$83,$T45)</f>
        <v>Attaque (arme 1)</v>
      </c>
      <c r="D45" s="10" t="str">
        <f aca="false">INDEX(Bases!$F$5:$F$83,$T45)</f>
        <v>Attaque</v>
      </c>
      <c r="E45" s="11" t="str">
        <f aca="false">INDEX(Bases!$C$5:$C$83,$T45)</f>
        <v>Entaille</v>
      </c>
      <c r="F45" s="10" t="str">
        <f aca="false">INDEX(Éléments!$A$5:$A$14,$U45)</f>
        <v>Neutre</v>
      </c>
      <c r="G45" s="12" t="str">
        <f aca="false">IF(OR($F45="Neutre",$C45="Passif"),$E45,INDEX(Bases!$D$5:$D$83,$T45)&amp;" "&amp;INDEX(Éléments!$D$5:$D$14,$U45))</f>
        <v>Entaille</v>
      </c>
      <c r="H45" s="10" t="str">
        <f aca="false">INDEX(Bases!$G$5:$G$83,$T45)</f>
        <v>Mono</v>
      </c>
      <c r="I45" s="13" t="n">
        <f aca="false">INDEX(Bases!$H$5:$H$83,$T45)</f>
        <v>1</v>
      </c>
      <c r="J45" s="10" t="str">
        <f aca="false">INDEX(Bases!$I$5:$I$83,$T45)</f>
        <v>Non</v>
      </c>
      <c r="K45" s="14" t="n">
        <f aca="false">INDEX(Bases!$J$5:$J$83,$T45)</f>
        <v>0.85</v>
      </c>
      <c r="L45" s="10" t="str">
        <f aca="false">INDEX(Bases!$K$5:$K$83,$T45)</f>
        <v>Force</v>
      </c>
      <c r="M45" s="11" t="str">
        <f aca="false">INDEX(Bases!$L$5:$L$83,$T45)</f>
        <v>35 % : Saignement (5 % de la Force par tour, 3 tours).</v>
      </c>
      <c r="N45" s="11" t="str">
        <f aca="false">IF($C45="Passif","—",IF($C45="Attaque (arme 1)",INDEX(Éléments!$F$5:$F$14,$U45),INDEX(Éléments!$G$5:$G$14,$U45)))</f>
        <v>Aucune altération ; ignore 10 % de la Résistance de la cible. Fiable contre tous les biomes.</v>
      </c>
      <c r="O45" s="10" t="str">
        <f aca="false">INDEX(Bases!$M$5:$M$83,$T45)</f>
        <v>Active</v>
      </c>
      <c r="P45" s="13" t="n">
        <f aca="false">INDEX(Bases!$N$5:$N$83,$T45)</f>
        <v>18</v>
      </c>
      <c r="Q45" s="15" t="n">
        <f aca="false">INDEX(Éléments!$C$5:$C$14,$U45)</f>
        <v>0</v>
      </c>
      <c r="R45" s="11" t="str">
        <f aca="false">"Niv. "&amp;$P45&amp;IF($Q45&gt;0," · étage "&amp;$Q45&amp;" terminé","")</f>
        <v>Niv. 18</v>
      </c>
      <c r="S45" s="14" t="n">
        <f aca="false">IF(ISNUMBER($I45),$K45*IF($H45="Zone",Paramètres!$B$8,1)/MAX(1,$I45),0)</f>
        <v>0.85</v>
      </c>
      <c r="T45" s="16" t="n">
        <v>5</v>
      </c>
      <c r="U45" s="16" t="n">
        <v>1</v>
      </c>
    </row>
    <row r="46" customFormat="false" ht="15" hidden="false" customHeight="true" outlineLevel="0" collapsed="false">
      <c r="A46" s="9" t="s">
        <v>115</v>
      </c>
      <c r="B46" s="10" t="str">
        <f aca="false">INDEX(Bases!$B$5:$B$83,$T46)</f>
        <v>Guerrier</v>
      </c>
      <c r="C46" s="10" t="str">
        <f aca="false">INDEX(Bases!$E$5:$E$83,$T46)</f>
        <v>Attaque (arme 1)</v>
      </c>
      <c r="D46" s="10" t="str">
        <f aca="false">INDEX(Bases!$F$5:$F$83,$T46)</f>
        <v>Attaque</v>
      </c>
      <c r="E46" s="11" t="str">
        <f aca="false">INDEX(Bases!$C$5:$C$83,$T46)</f>
        <v>Entaille</v>
      </c>
      <c r="F46" s="10" t="str">
        <f aca="false">INDEX(Éléments!$A$5:$A$14,$U46)</f>
        <v>Terre</v>
      </c>
      <c r="G46" s="12" t="str">
        <f aca="false">IF(OR($F46="Neutre",$C46="Passif"),$E46,INDEX(Bases!$D$5:$D$83,$T46)&amp;" "&amp;INDEX(Éléments!$D$5:$D$14,$U46))</f>
        <v>Entaille de pierre</v>
      </c>
      <c r="H46" s="10" t="str">
        <f aca="false">INDEX(Bases!$G$5:$G$83,$T46)</f>
        <v>Mono</v>
      </c>
      <c r="I46" s="13" t="n">
        <f aca="false">INDEX(Bases!$H$5:$H$83,$T46)</f>
        <v>1</v>
      </c>
      <c r="J46" s="10" t="str">
        <f aca="false">INDEX(Bases!$I$5:$I$83,$T46)</f>
        <v>Non</v>
      </c>
      <c r="K46" s="14" t="n">
        <f aca="false">INDEX(Bases!$J$5:$J$83,$T46)</f>
        <v>0.85</v>
      </c>
      <c r="L46" s="10" t="str">
        <f aca="false">INDEX(Bases!$K$5:$K$83,$T46)</f>
        <v>Force</v>
      </c>
      <c r="M46" s="11" t="str">
        <f aca="false">INDEX(Bases!$L$5:$L$83,$T46)</f>
        <v>35 % : Saignement (5 % de la Force par tour, 3 tours).</v>
      </c>
      <c r="N46" s="11" t="str">
        <f aca="false">IF($C46="Passif","—",IF($C46="Attaque (arme 1)",INDEX(Éléments!$F$5:$F$14,$U46),INDEX(Éléments!$G$5:$G$14,$U46)))</f>
        <v>30 % : Garde brisée (−15 % Résistance, 2 tours).</v>
      </c>
      <c r="O46" s="10" t="str">
        <f aca="false">INDEX(Bases!$M$5:$M$83,$T46)</f>
        <v>Active</v>
      </c>
      <c r="P46" s="13" t="n">
        <f aca="false">INDEX(Bases!$N$5:$N$83,$T46)</f>
        <v>18</v>
      </c>
      <c r="Q46" s="15" t="n">
        <f aca="false">INDEX(Éléments!$C$5:$C$14,$U46)</f>
        <v>20</v>
      </c>
      <c r="R46" s="11" t="str">
        <f aca="false">"Niv. "&amp;$P46&amp;IF($Q46&gt;0," · étage "&amp;$Q46&amp;" terminé","")</f>
        <v>Niv. 18 · étage 20 terminé</v>
      </c>
      <c r="S46" s="14" t="n">
        <f aca="false">IF(ISNUMBER($I46),$K46*IF($H46="Zone",Paramètres!$B$8,1)/MAX(1,$I46),0)</f>
        <v>0.85</v>
      </c>
      <c r="T46" s="16" t="n">
        <v>5</v>
      </c>
      <c r="U46" s="16" t="n">
        <v>2</v>
      </c>
    </row>
    <row r="47" customFormat="false" ht="15" hidden="false" customHeight="true" outlineLevel="0" collapsed="false">
      <c r="A47" s="9" t="s">
        <v>116</v>
      </c>
      <c r="B47" s="10" t="str">
        <f aca="false">INDEX(Bases!$B$5:$B$83,$T47)</f>
        <v>Guerrier</v>
      </c>
      <c r="C47" s="10" t="str">
        <f aca="false">INDEX(Bases!$E$5:$E$83,$T47)</f>
        <v>Attaque (arme 1)</v>
      </c>
      <c r="D47" s="10" t="str">
        <f aca="false">INDEX(Bases!$F$5:$F$83,$T47)</f>
        <v>Attaque</v>
      </c>
      <c r="E47" s="11" t="str">
        <f aca="false">INDEX(Bases!$C$5:$C$83,$T47)</f>
        <v>Entaille</v>
      </c>
      <c r="F47" s="10" t="str">
        <f aca="false">INDEX(Éléments!$A$5:$A$14,$U47)</f>
        <v>Feu</v>
      </c>
      <c r="G47" s="12" t="str">
        <f aca="false">IF(OR($F47="Neutre",$C47="Passif"),$E47,INDEX(Bases!$D$5:$D$83,$T47)&amp;" "&amp;INDEX(Éléments!$D$5:$D$14,$U47))</f>
        <v>Entaille de feu</v>
      </c>
      <c r="H47" s="10" t="str">
        <f aca="false">INDEX(Bases!$G$5:$G$83,$T47)</f>
        <v>Mono</v>
      </c>
      <c r="I47" s="13" t="n">
        <f aca="false">INDEX(Bases!$H$5:$H$83,$T47)</f>
        <v>1</v>
      </c>
      <c r="J47" s="10" t="str">
        <f aca="false">INDEX(Bases!$I$5:$I$83,$T47)</f>
        <v>Non</v>
      </c>
      <c r="K47" s="14" t="n">
        <f aca="false">INDEX(Bases!$J$5:$J$83,$T47)</f>
        <v>0.85</v>
      </c>
      <c r="L47" s="10" t="str">
        <f aca="false">INDEX(Bases!$K$5:$K$83,$T47)</f>
        <v>Force</v>
      </c>
      <c r="M47" s="11" t="str">
        <f aca="false">INDEX(Bases!$L$5:$L$83,$T47)</f>
        <v>35 % : Saignement (5 % de la Force par tour, 3 tours).</v>
      </c>
      <c r="N47" s="11" t="str">
        <f aca="false">IF($C47="Passif","—",IF($C47="Attaque (arme 1)",INDEX(Éléments!$F$5:$F$14,$U47),INDEX(Éléments!$G$5:$G$14,$U47)))</f>
        <v>35 % : Brûlure (8 % de la stat d'attaque par tour, 3 tours, non cumulable).</v>
      </c>
      <c r="O47" s="10" t="str">
        <f aca="false">INDEX(Bases!$M$5:$M$83,$T47)</f>
        <v>Active</v>
      </c>
      <c r="P47" s="13" t="n">
        <f aca="false">INDEX(Bases!$N$5:$N$83,$T47)</f>
        <v>18</v>
      </c>
      <c r="Q47" s="15" t="n">
        <f aca="false">INDEX(Éléments!$C$5:$C$14,$U47)</f>
        <v>30</v>
      </c>
      <c r="R47" s="11" t="str">
        <f aca="false">"Niv. "&amp;$P47&amp;IF($Q47&gt;0," · étage "&amp;$Q47&amp;" terminé","")</f>
        <v>Niv. 18 · étage 30 terminé</v>
      </c>
      <c r="S47" s="14" t="n">
        <f aca="false">IF(ISNUMBER($I47),$K47*IF($H47="Zone",Paramètres!$B$8,1)/MAX(1,$I47),0)</f>
        <v>0.85</v>
      </c>
      <c r="T47" s="16" t="n">
        <v>5</v>
      </c>
      <c r="U47" s="16" t="n">
        <v>3</v>
      </c>
    </row>
    <row r="48" customFormat="false" ht="15" hidden="false" customHeight="true" outlineLevel="0" collapsed="false">
      <c r="A48" s="9" t="s">
        <v>117</v>
      </c>
      <c r="B48" s="10" t="str">
        <f aca="false">INDEX(Bases!$B$5:$B$83,$T48)</f>
        <v>Guerrier</v>
      </c>
      <c r="C48" s="10" t="str">
        <f aca="false">INDEX(Bases!$E$5:$E$83,$T48)</f>
        <v>Attaque (arme 1)</v>
      </c>
      <c r="D48" s="10" t="str">
        <f aca="false">INDEX(Bases!$F$5:$F$83,$T48)</f>
        <v>Attaque</v>
      </c>
      <c r="E48" s="11" t="str">
        <f aca="false">INDEX(Bases!$C$5:$C$83,$T48)</f>
        <v>Entaille</v>
      </c>
      <c r="F48" s="10" t="str">
        <f aca="false">INDEX(Éléments!$A$5:$A$14,$U48)</f>
        <v>Vent</v>
      </c>
      <c r="G48" s="12" t="str">
        <f aca="false">IF(OR($F48="Neutre",$C48="Passif"),$E48,INDEX(Bases!$D$5:$D$83,$T48)&amp;" "&amp;INDEX(Éléments!$D$5:$D$14,$U48))</f>
        <v>Entaille de vent</v>
      </c>
      <c r="H48" s="10" t="str">
        <f aca="false">INDEX(Bases!$G$5:$G$83,$T48)</f>
        <v>Mono</v>
      </c>
      <c r="I48" s="13" t="n">
        <f aca="false">INDEX(Bases!$H$5:$H$83,$T48)</f>
        <v>1</v>
      </c>
      <c r="J48" s="10" t="str">
        <f aca="false">INDEX(Bases!$I$5:$I$83,$T48)</f>
        <v>Non</v>
      </c>
      <c r="K48" s="14" t="n">
        <f aca="false">INDEX(Bases!$J$5:$J$83,$T48)</f>
        <v>0.85</v>
      </c>
      <c r="L48" s="10" t="str">
        <f aca="false">INDEX(Bases!$K$5:$K$83,$T48)</f>
        <v>Force</v>
      </c>
      <c r="M48" s="11" t="str">
        <f aca="false">INDEX(Bases!$L$5:$L$83,$T48)</f>
        <v>35 % : Saignement (5 % de la Force par tour, 3 tours).</v>
      </c>
      <c r="N48" s="11" t="str">
        <f aca="false">IF($C48="Passif","—",IF($C48="Attaque (arme 1)",INDEX(Éléments!$F$5:$F$14,$U48),INDEX(Éléments!$G$5:$G$14,$U48)))</f>
        <v>+10 % de chance de critique ; 30 % : Désorienté (−15 % Précision, 2 tours).</v>
      </c>
      <c r="O48" s="10" t="str">
        <f aca="false">INDEX(Bases!$M$5:$M$83,$T48)</f>
        <v>Active</v>
      </c>
      <c r="P48" s="13" t="n">
        <f aca="false">INDEX(Bases!$N$5:$N$83,$T48)</f>
        <v>18</v>
      </c>
      <c r="Q48" s="15" t="n">
        <f aca="false">INDEX(Éléments!$C$5:$C$14,$U48)</f>
        <v>40</v>
      </c>
      <c r="R48" s="11" t="str">
        <f aca="false">"Niv. "&amp;$P48&amp;IF($Q48&gt;0," · étage "&amp;$Q48&amp;" terminé","")</f>
        <v>Niv. 18 · étage 40 terminé</v>
      </c>
      <c r="S48" s="14" t="n">
        <f aca="false">IF(ISNUMBER($I48),$K48*IF($H48="Zone",Paramètres!$B$8,1)/MAX(1,$I48),0)</f>
        <v>0.85</v>
      </c>
      <c r="T48" s="16" t="n">
        <v>5</v>
      </c>
      <c r="U48" s="16" t="n">
        <v>4</v>
      </c>
    </row>
    <row r="49" customFormat="false" ht="15" hidden="false" customHeight="true" outlineLevel="0" collapsed="false">
      <c r="A49" s="9" t="s">
        <v>118</v>
      </c>
      <c r="B49" s="10" t="str">
        <f aca="false">INDEX(Bases!$B$5:$B$83,$T49)</f>
        <v>Guerrier</v>
      </c>
      <c r="C49" s="10" t="str">
        <f aca="false">INDEX(Bases!$E$5:$E$83,$T49)</f>
        <v>Attaque (arme 1)</v>
      </c>
      <c r="D49" s="10" t="str">
        <f aca="false">INDEX(Bases!$F$5:$F$83,$T49)</f>
        <v>Attaque</v>
      </c>
      <c r="E49" s="11" t="str">
        <f aca="false">INDEX(Bases!$C$5:$C$83,$T49)</f>
        <v>Entaille</v>
      </c>
      <c r="F49" s="10" t="str">
        <f aca="false">INDEX(Éléments!$A$5:$A$14,$U49)</f>
        <v>Acide</v>
      </c>
      <c r="G49" s="12" t="str">
        <f aca="false">IF(OR($F49="Neutre",$C49="Passif"),$E49,INDEX(Bases!$D$5:$D$83,$T49)&amp;" "&amp;INDEX(Éléments!$D$5:$D$14,$U49))</f>
        <v>Entaille d'acide</v>
      </c>
      <c r="H49" s="10" t="str">
        <f aca="false">INDEX(Bases!$G$5:$G$83,$T49)</f>
        <v>Mono</v>
      </c>
      <c r="I49" s="13" t="n">
        <f aca="false">INDEX(Bases!$H$5:$H$83,$T49)</f>
        <v>1</v>
      </c>
      <c r="J49" s="10" t="str">
        <f aca="false">INDEX(Bases!$I$5:$I$83,$T49)</f>
        <v>Non</v>
      </c>
      <c r="K49" s="14" t="n">
        <f aca="false">INDEX(Bases!$J$5:$J$83,$T49)</f>
        <v>0.85</v>
      </c>
      <c r="L49" s="10" t="str">
        <f aca="false">INDEX(Bases!$K$5:$K$83,$T49)</f>
        <v>Force</v>
      </c>
      <c r="M49" s="11" t="str">
        <f aca="false">INDEX(Bases!$L$5:$L$83,$T49)</f>
        <v>35 % : Saignement (5 % de la Force par tour, 3 tours).</v>
      </c>
      <c r="N49" s="11" t="str">
        <f aca="false">IF($C49="Passif","—",IF($C49="Attaque (arme 1)",INDEX(Éléments!$F$5:$F$14,$U49),INDEX(Éléments!$G$5:$G$14,$U49)))</f>
        <v>50 % : 1 pile de Corrosion (−5 % Armure par pile, 4 piles max, 3 tours).</v>
      </c>
      <c r="O49" s="10" t="str">
        <f aca="false">INDEX(Bases!$M$5:$M$83,$T49)</f>
        <v>Active</v>
      </c>
      <c r="P49" s="13" t="n">
        <f aca="false">INDEX(Bases!$N$5:$N$83,$T49)</f>
        <v>18</v>
      </c>
      <c r="Q49" s="15" t="n">
        <f aca="false">INDEX(Éléments!$C$5:$C$14,$U49)</f>
        <v>50</v>
      </c>
      <c r="R49" s="11" t="str">
        <f aca="false">"Niv. "&amp;$P49&amp;IF($Q49&gt;0," · étage "&amp;$Q49&amp;" terminé","")</f>
        <v>Niv. 18 · étage 50 terminé</v>
      </c>
      <c r="S49" s="14" t="n">
        <f aca="false">IF(ISNUMBER($I49),$K49*IF($H49="Zone",Paramètres!$B$8,1)/MAX(1,$I49),0)</f>
        <v>0.85</v>
      </c>
      <c r="T49" s="16" t="n">
        <v>5</v>
      </c>
      <c r="U49" s="16" t="n">
        <v>5</v>
      </c>
    </row>
    <row r="50" customFormat="false" ht="15" hidden="false" customHeight="true" outlineLevel="0" collapsed="false">
      <c r="A50" s="9" t="s">
        <v>119</v>
      </c>
      <c r="B50" s="10" t="str">
        <f aca="false">INDEX(Bases!$B$5:$B$83,$T50)</f>
        <v>Guerrier</v>
      </c>
      <c r="C50" s="10" t="str">
        <f aca="false">INDEX(Bases!$E$5:$E$83,$T50)</f>
        <v>Attaque (arme 1)</v>
      </c>
      <c r="D50" s="10" t="str">
        <f aca="false">INDEX(Bases!$F$5:$F$83,$T50)</f>
        <v>Attaque</v>
      </c>
      <c r="E50" s="11" t="str">
        <f aca="false">INDEX(Bases!$C$5:$C$83,$T50)</f>
        <v>Entaille</v>
      </c>
      <c r="F50" s="10" t="str">
        <f aca="false">INDEX(Éléments!$A$5:$A$14,$U50)</f>
        <v>Eau</v>
      </c>
      <c r="G50" s="12" t="str">
        <f aca="false">IF(OR($F50="Neutre",$C50="Passif"),$E50,INDEX(Bases!$D$5:$D$83,$T50)&amp;" "&amp;INDEX(Éléments!$D$5:$D$14,$U50))</f>
        <v>Entaille d'eau</v>
      </c>
      <c r="H50" s="10" t="str">
        <f aca="false">INDEX(Bases!$G$5:$G$83,$T50)</f>
        <v>Mono</v>
      </c>
      <c r="I50" s="13" t="n">
        <f aca="false">INDEX(Bases!$H$5:$H$83,$T50)</f>
        <v>1</v>
      </c>
      <c r="J50" s="10" t="str">
        <f aca="false">INDEX(Bases!$I$5:$I$83,$T50)</f>
        <v>Non</v>
      </c>
      <c r="K50" s="14" t="n">
        <f aca="false">INDEX(Bases!$J$5:$J$83,$T50)</f>
        <v>0.85</v>
      </c>
      <c r="L50" s="10" t="str">
        <f aca="false">INDEX(Bases!$K$5:$K$83,$T50)</f>
        <v>Force</v>
      </c>
      <c r="M50" s="11" t="str">
        <f aca="false">INDEX(Bases!$L$5:$L$83,$T50)</f>
        <v>35 % : Saignement (5 % de la Force par tour, 3 tours).</v>
      </c>
      <c r="N50" s="11" t="str">
        <f aca="false">IF($C50="Passif","—",IF($C50="Attaque (arme 1)",INDEX(Éléments!$F$5:$F$14,$U50),INDEX(Éléments!$G$5:$G$14,$U50)))</f>
        <v>50 % : Mouillé (+25 % de dégâts d'Électricité subis, retire Brûlure, 3 tours).</v>
      </c>
      <c r="O50" s="10" t="str">
        <f aca="false">INDEX(Bases!$M$5:$M$83,$T50)</f>
        <v>Active</v>
      </c>
      <c r="P50" s="13" t="n">
        <f aca="false">INDEX(Bases!$N$5:$N$83,$T50)</f>
        <v>18</v>
      </c>
      <c r="Q50" s="15" t="n">
        <f aca="false">INDEX(Éléments!$C$5:$C$14,$U50)</f>
        <v>60</v>
      </c>
      <c r="R50" s="11" t="str">
        <f aca="false">"Niv. "&amp;$P50&amp;IF($Q50&gt;0," · étage "&amp;$Q50&amp;" terminé","")</f>
        <v>Niv. 18 · étage 60 terminé</v>
      </c>
      <c r="S50" s="14" t="n">
        <f aca="false">IF(ISNUMBER($I50),$K50*IF($H50="Zone",Paramètres!$B$8,1)/MAX(1,$I50),0)</f>
        <v>0.85</v>
      </c>
      <c r="T50" s="16" t="n">
        <v>5</v>
      </c>
      <c r="U50" s="16" t="n">
        <v>6</v>
      </c>
    </row>
    <row r="51" customFormat="false" ht="15" hidden="false" customHeight="true" outlineLevel="0" collapsed="false">
      <c r="A51" s="9" t="s">
        <v>120</v>
      </c>
      <c r="B51" s="10" t="str">
        <f aca="false">INDEX(Bases!$B$5:$B$83,$T51)</f>
        <v>Guerrier</v>
      </c>
      <c r="C51" s="10" t="str">
        <f aca="false">INDEX(Bases!$E$5:$E$83,$T51)</f>
        <v>Attaque (arme 1)</v>
      </c>
      <c r="D51" s="10" t="str">
        <f aca="false">INDEX(Bases!$F$5:$F$83,$T51)</f>
        <v>Attaque</v>
      </c>
      <c r="E51" s="11" t="str">
        <f aca="false">INDEX(Bases!$C$5:$C$83,$T51)</f>
        <v>Entaille</v>
      </c>
      <c r="F51" s="10" t="str">
        <f aca="false">INDEX(Éléments!$A$5:$A$14,$U51)</f>
        <v>Glace</v>
      </c>
      <c r="G51" s="12" t="str">
        <f aca="false">IF(OR($F51="Neutre",$C51="Passif"),$E51,INDEX(Bases!$D$5:$D$83,$T51)&amp;" "&amp;INDEX(Éléments!$D$5:$D$14,$U51))</f>
        <v>Entaille de glace</v>
      </c>
      <c r="H51" s="10" t="str">
        <f aca="false">INDEX(Bases!$G$5:$G$83,$T51)</f>
        <v>Mono</v>
      </c>
      <c r="I51" s="13" t="n">
        <f aca="false">INDEX(Bases!$H$5:$H$83,$T51)</f>
        <v>1</v>
      </c>
      <c r="J51" s="10" t="str">
        <f aca="false">INDEX(Bases!$I$5:$I$83,$T51)</f>
        <v>Non</v>
      </c>
      <c r="K51" s="14" t="n">
        <f aca="false">INDEX(Bases!$J$5:$J$83,$T51)</f>
        <v>0.85</v>
      </c>
      <c r="L51" s="10" t="str">
        <f aca="false">INDEX(Bases!$K$5:$K$83,$T51)</f>
        <v>Force</v>
      </c>
      <c r="M51" s="11" t="str">
        <f aca="false">INDEX(Bases!$L$5:$L$83,$T51)</f>
        <v>35 % : Saignement (5 % de la Force par tour, 3 tours).</v>
      </c>
      <c r="N51" s="11" t="str">
        <f aca="false">IF($C51="Passif","—",IF($C51="Attaque (arme 1)",INDEX(Éléments!$F$5:$F$14,$U51),INDEX(Éléments!$G$5:$G$14,$U51)))</f>
        <v>40 % : 1 pile de Froid (−8 % Agilité ; à 3 piles : Gel, la cible perd 1 tour).</v>
      </c>
      <c r="O51" s="10" t="str">
        <f aca="false">INDEX(Bases!$M$5:$M$83,$T51)</f>
        <v>Active</v>
      </c>
      <c r="P51" s="13" t="n">
        <f aca="false">INDEX(Bases!$N$5:$N$83,$T51)</f>
        <v>18</v>
      </c>
      <c r="Q51" s="15" t="n">
        <f aca="false">INDEX(Éléments!$C$5:$C$14,$U51)</f>
        <v>70</v>
      </c>
      <c r="R51" s="11" t="str">
        <f aca="false">"Niv. "&amp;$P51&amp;IF($Q51&gt;0," · étage "&amp;$Q51&amp;" terminé","")</f>
        <v>Niv. 18 · étage 70 terminé</v>
      </c>
      <c r="S51" s="14" t="n">
        <f aca="false">IF(ISNUMBER($I51),$K51*IF($H51="Zone",Paramètres!$B$8,1)/MAX(1,$I51),0)</f>
        <v>0.85</v>
      </c>
      <c r="T51" s="16" t="n">
        <v>5</v>
      </c>
      <c r="U51" s="16" t="n">
        <v>7</v>
      </c>
    </row>
    <row r="52" customFormat="false" ht="15" hidden="false" customHeight="true" outlineLevel="0" collapsed="false">
      <c r="A52" s="9" t="s">
        <v>121</v>
      </c>
      <c r="B52" s="10" t="str">
        <f aca="false">INDEX(Bases!$B$5:$B$83,$T52)</f>
        <v>Guerrier</v>
      </c>
      <c r="C52" s="10" t="str">
        <f aca="false">INDEX(Bases!$E$5:$E$83,$T52)</f>
        <v>Attaque (arme 1)</v>
      </c>
      <c r="D52" s="10" t="str">
        <f aca="false">INDEX(Bases!$F$5:$F$83,$T52)</f>
        <v>Attaque</v>
      </c>
      <c r="E52" s="11" t="str">
        <f aca="false">INDEX(Bases!$C$5:$C$83,$T52)</f>
        <v>Entaille</v>
      </c>
      <c r="F52" s="10" t="str">
        <f aca="false">INDEX(Éléments!$A$5:$A$14,$U52)</f>
        <v>Électricité</v>
      </c>
      <c r="G52" s="12" t="str">
        <f aca="false">IF(OR($F52="Neutre",$C52="Passif"),$E52,INDEX(Bases!$D$5:$D$83,$T52)&amp;" "&amp;INDEX(Éléments!$D$5:$D$14,$U52))</f>
        <v>Entaille de foudre</v>
      </c>
      <c r="H52" s="10" t="str">
        <f aca="false">INDEX(Bases!$G$5:$G$83,$T52)</f>
        <v>Mono</v>
      </c>
      <c r="I52" s="13" t="n">
        <f aca="false">INDEX(Bases!$H$5:$H$83,$T52)</f>
        <v>1</v>
      </c>
      <c r="J52" s="10" t="str">
        <f aca="false">INDEX(Bases!$I$5:$I$83,$T52)</f>
        <v>Non</v>
      </c>
      <c r="K52" s="14" t="n">
        <f aca="false">INDEX(Bases!$J$5:$J$83,$T52)</f>
        <v>0.85</v>
      </c>
      <c r="L52" s="10" t="str">
        <f aca="false">INDEX(Bases!$K$5:$K$83,$T52)</f>
        <v>Force</v>
      </c>
      <c r="M52" s="11" t="str">
        <f aca="false">INDEX(Bases!$L$5:$L$83,$T52)</f>
        <v>35 % : Saignement (5 % de la Force par tour, 3 tours).</v>
      </c>
      <c r="N52" s="11" t="str">
        <f aca="false">IF($C52="Passif","—",IF($C52="Attaque (arme 1)",INDEX(Éléments!$F$5:$F$14,$U52),INDEX(Éléments!$G$5:$G$14,$U52)))</f>
        <v>Rebondit sur 1 autre ennemi (40 % des dégâts) ; 10 % : Étourdissement (1 tour).</v>
      </c>
      <c r="O52" s="10" t="str">
        <f aca="false">INDEX(Bases!$M$5:$M$83,$T52)</f>
        <v>Active</v>
      </c>
      <c r="P52" s="13" t="n">
        <f aca="false">INDEX(Bases!$N$5:$N$83,$T52)</f>
        <v>18</v>
      </c>
      <c r="Q52" s="15" t="n">
        <f aca="false">INDEX(Éléments!$C$5:$C$14,$U52)</f>
        <v>80</v>
      </c>
      <c r="R52" s="11" t="str">
        <f aca="false">"Niv. "&amp;$P52&amp;IF($Q52&gt;0," · étage "&amp;$Q52&amp;" terminé","")</f>
        <v>Niv. 18 · étage 80 terminé</v>
      </c>
      <c r="S52" s="14" t="n">
        <f aca="false">IF(ISNUMBER($I52),$K52*IF($H52="Zone",Paramètres!$B$8,1)/MAX(1,$I52),0)</f>
        <v>0.85</v>
      </c>
      <c r="T52" s="16" t="n">
        <v>5</v>
      </c>
      <c r="U52" s="16" t="n">
        <v>8</v>
      </c>
    </row>
    <row r="53" customFormat="false" ht="15" hidden="false" customHeight="true" outlineLevel="0" collapsed="false">
      <c r="A53" s="9" t="s">
        <v>122</v>
      </c>
      <c r="B53" s="10" t="str">
        <f aca="false">INDEX(Bases!$B$5:$B$83,$T53)</f>
        <v>Guerrier</v>
      </c>
      <c r="C53" s="10" t="str">
        <f aca="false">INDEX(Bases!$E$5:$E$83,$T53)</f>
        <v>Attaque (arme 1)</v>
      </c>
      <c r="D53" s="10" t="str">
        <f aca="false">INDEX(Bases!$F$5:$F$83,$T53)</f>
        <v>Attaque</v>
      </c>
      <c r="E53" s="11" t="str">
        <f aca="false">INDEX(Bases!$C$5:$C$83,$T53)</f>
        <v>Entaille</v>
      </c>
      <c r="F53" s="10" t="str">
        <f aca="false">INDEX(Éléments!$A$5:$A$14,$U53)</f>
        <v>Lumière</v>
      </c>
      <c r="G53" s="12" t="str">
        <f aca="false">IF(OR($F53="Neutre",$C53="Passif"),$E53,INDEX(Bases!$D$5:$D$83,$T53)&amp;" "&amp;INDEX(Éléments!$D$5:$D$14,$U53))</f>
        <v>Entaille de lumière</v>
      </c>
      <c r="H53" s="10" t="str">
        <f aca="false">INDEX(Bases!$G$5:$G$83,$T53)</f>
        <v>Mono</v>
      </c>
      <c r="I53" s="13" t="n">
        <f aca="false">INDEX(Bases!$H$5:$H$83,$T53)</f>
        <v>1</v>
      </c>
      <c r="J53" s="10" t="str">
        <f aca="false">INDEX(Bases!$I$5:$I$83,$T53)</f>
        <v>Non</v>
      </c>
      <c r="K53" s="14" t="n">
        <f aca="false">INDEX(Bases!$J$5:$J$83,$T53)</f>
        <v>0.85</v>
      </c>
      <c r="L53" s="10" t="str">
        <f aca="false">INDEX(Bases!$K$5:$K$83,$T53)</f>
        <v>Force</v>
      </c>
      <c r="M53" s="11" t="str">
        <f aca="false">INDEX(Bases!$L$5:$L$83,$T53)</f>
        <v>35 % : Saignement (5 % de la Force par tour, 3 tours).</v>
      </c>
      <c r="N53" s="11" t="str">
        <f aca="false">IF($C53="Passif","—",IF($C53="Attaque (arme 1)",INDEX(Éléments!$F$5:$F$14,$U53),INDEX(Éléments!$G$5:$G$14,$U53)))</f>
        <v>Soigne le lanceur de 5 % des dégâts infligés ; 25 % : Éblouissement (−20 % chance de critique, 2 tours).</v>
      </c>
      <c r="O53" s="10" t="str">
        <f aca="false">INDEX(Bases!$M$5:$M$83,$T53)</f>
        <v>Active</v>
      </c>
      <c r="P53" s="13" t="n">
        <f aca="false">INDEX(Bases!$N$5:$N$83,$T53)</f>
        <v>18</v>
      </c>
      <c r="Q53" s="15" t="n">
        <f aca="false">INDEX(Éléments!$C$5:$C$14,$U53)</f>
        <v>90</v>
      </c>
      <c r="R53" s="11" t="str">
        <f aca="false">"Niv. "&amp;$P53&amp;IF($Q53&gt;0," · étage "&amp;$Q53&amp;" terminé","")</f>
        <v>Niv. 18 · étage 90 terminé</v>
      </c>
      <c r="S53" s="14" t="n">
        <f aca="false">IF(ISNUMBER($I53),$K53*IF($H53="Zone",Paramètres!$B$8,1)/MAX(1,$I53),0)</f>
        <v>0.85</v>
      </c>
      <c r="T53" s="16" t="n">
        <v>5</v>
      </c>
      <c r="U53" s="16" t="n">
        <v>9</v>
      </c>
    </row>
    <row r="54" customFormat="false" ht="15" hidden="false" customHeight="true" outlineLevel="0" collapsed="false">
      <c r="A54" s="9" t="s">
        <v>123</v>
      </c>
      <c r="B54" s="10" t="str">
        <f aca="false">INDEX(Bases!$B$5:$B$83,$T54)</f>
        <v>Guerrier</v>
      </c>
      <c r="C54" s="10" t="str">
        <f aca="false">INDEX(Bases!$E$5:$E$83,$T54)</f>
        <v>Attaque (arme 1)</v>
      </c>
      <c r="D54" s="10" t="str">
        <f aca="false">INDEX(Bases!$F$5:$F$83,$T54)</f>
        <v>Attaque</v>
      </c>
      <c r="E54" s="11" t="str">
        <f aca="false">INDEX(Bases!$C$5:$C$83,$T54)</f>
        <v>Entaille</v>
      </c>
      <c r="F54" s="10" t="str">
        <f aca="false">INDEX(Éléments!$A$5:$A$14,$U54)</f>
        <v>Ombre</v>
      </c>
      <c r="G54" s="12" t="str">
        <f aca="false">IF(OR($F54="Neutre",$C54="Passif"),$E54,INDEX(Bases!$D$5:$D$83,$T54)&amp;" "&amp;INDEX(Éléments!$D$5:$D$14,$U54))</f>
        <v>Entaille d'ombre</v>
      </c>
      <c r="H54" s="10" t="str">
        <f aca="false">INDEX(Bases!$G$5:$G$83,$T54)</f>
        <v>Mono</v>
      </c>
      <c r="I54" s="13" t="n">
        <f aca="false">INDEX(Bases!$H$5:$H$83,$T54)</f>
        <v>1</v>
      </c>
      <c r="J54" s="10" t="str">
        <f aca="false">INDEX(Bases!$I$5:$I$83,$T54)</f>
        <v>Non</v>
      </c>
      <c r="K54" s="14" t="n">
        <f aca="false">INDEX(Bases!$J$5:$J$83,$T54)</f>
        <v>0.85</v>
      </c>
      <c r="L54" s="10" t="str">
        <f aca="false">INDEX(Bases!$K$5:$K$83,$T54)</f>
        <v>Force</v>
      </c>
      <c r="M54" s="11" t="str">
        <f aca="false">INDEX(Bases!$L$5:$L$83,$T54)</f>
        <v>35 % : Saignement (5 % de la Force par tour, 3 tours).</v>
      </c>
      <c r="N54" s="11" t="str">
        <f aca="false">IF($C54="Passif","—",IF($C54="Attaque (arme 1)",INDEX(Éléments!$F$5:$F$14,$U54),INDEX(Éléments!$G$5:$G$14,$U54)))</f>
        <v>Vol de vie 5 % ; 30 % : Corruption (+10 % de dégâts subis, 2 tours).</v>
      </c>
      <c r="O54" s="10" t="str">
        <f aca="false">INDEX(Bases!$M$5:$M$83,$T54)</f>
        <v>Active</v>
      </c>
      <c r="P54" s="13" t="n">
        <f aca="false">INDEX(Bases!$N$5:$N$83,$T54)</f>
        <v>18</v>
      </c>
      <c r="Q54" s="15" t="n">
        <f aca="false">INDEX(Éléments!$C$5:$C$14,$U54)</f>
        <v>100</v>
      </c>
      <c r="R54" s="11" t="str">
        <f aca="false">"Niv. "&amp;$P54&amp;IF($Q54&gt;0," · étage "&amp;$Q54&amp;" terminé","")</f>
        <v>Niv. 18 · étage 100 terminé</v>
      </c>
      <c r="S54" s="14" t="n">
        <f aca="false">IF(ISNUMBER($I54),$K54*IF($H54="Zone",Paramètres!$B$8,1)/MAX(1,$I54),0)</f>
        <v>0.85</v>
      </c>
      <c r="T54" s="16" t="n">
        <v>5</v>
      </c>
      <c r="U54" s="16" t="n">
        <v>10</v>
      </c>
    </row>
    <row r="55" customFormat="false" ht="15" hidden="false" customHeight="true" outlineLevel="0" collapsed="false">
      <c r="A55" s="9" t="s">
        <v>124</v>
      </c>
      <c r="B55" s="10" t="str">
        <f aca="false">INDEX(Bases!$B$5:$B$83,$T55)</f>
        <v>Guerrier</v>
      </c>
      <c r="C55" s="10" t="str">
        <f aca="false">INDEX(Bases!$E$5:$E$83,$T55)</f>
        <v>Attaque (arme 1)</v>
      </c>
      <c r="D55" s="10" t="str">
        <f aca="false">INDEX(Bases!$F$5:$F$83,$T55)</f>
        <v>Attaque</v>
      </c>
      <c r="E55" s="11" t="str">
        <f aca="false">INDEX(Bases!$C$5:$C$83,$T55)</f>
        <v>Charge</v>
      </c>
      <c r="F55" s="10" t="str">
        <f aca="false">INDEX(Éléments!$A$5:$A$14,$U55)</f>
        <v>Neutre</v>
      </c>
      <c r="G55" s="12" t="str">
        <f aca="false">IF(OR($F55="Neutre",$C55="Passif"),$E55,INDEX(Bases!$D$5:$D$83,$T55)&amp;" "&amp;INDEX(Éléments!$D$5:$D$14,$U55))</f>
        <v>Charge</v>
      </c>
      <c r="H55" s="10" t="str">
        <f aca="false">INDEX(Bases!$G$5:$G$83,$T55)</f>
        <v>Mono</v>
      </c>
      <c r="I55" s="13" t="n">
        <f aca="false">INDEX(Bases!$H$5:$H$83,$T55)</f>
        <v>2</v>
      </c>
      <c r="J55" s="10" t="str">
        <f aca="false">INDEX(Bases!$I$5:$I$83,$T55)</f>
        <v>Non</v>
      </c>
      <c r="K55" s="14" t="n">
        <f aca="false">INDEX(Bases!$J$5:$J$83,$T55)</f>
        <v>1.5</v>
      </c>
      <c r="L55" s="10" t="str">
        <f aca="false">INDEX(Bases!$K$5:$K$83,$T55)</f>
        <v>Force</v>
      </c>
      <c r="M55" s="11" t="str">
        <f aca="false">INDEX(Bases!$L$5:$L$83,$T55)</f>
        <v>Intimide la cible (−10 % de dégâts infligés, 2 tours).</v>
      </c>
      <c r="N55" s="11" t="str">
        <f aca="false">IF($C55="Passif","—",IF($C55="Attaque (arme 1)",INDEX(Éléments!$F$5:$F$14,$U55),INDEX(Éléments!$G$5:$G$14,$U55)))</f>
        <v>Aucune altération ; ignore 10 % de la Résistance de la cible. Fiable contre tous les biomes.</v>
      </c>
      <c r="O55" s="10" t="str">
        <f aca="false">INDEX(Bases!$M$5:$M$83,$T55)</f>
        <v>Active</v>
      </c>
      <c r="P55" s="13" t="n">
        <f aca="false">INDEX(Bases!$N$5:$N$83,$T55)</f>
        <v>25</v>
      </c>
      <c r="Q55" s="15" t="n">
        <f aca="false">INDEX(Éléments!$C$5:$C$14,$U55)</f>
        <v>0</v>
      </c>
      <c r="R55" s="11" t="str">
        <f aca="false">"Niv. "&amp;$P55&amp;IF($Q55&gt;0," · étage "&amp;$Q55&amp;" terminé","")</f>
        <v>Niv. 25</v>
      </c>
      <c r="S55" s="14" t="n">
        <f aca="false">IF(ISNUMBER($I55),$K55*IF($H55="Zone",Paramètres!$B$8,1)/MAX(1,$I55),0)</f>
        <v>0.75</v>
      </c>
      <c r="T55" s="16" t="n">
        <v>6</v>
      </c>
      <c r="U55" s="16" t="n">
        <v>1</v>
      </c>
    </row>
    <row r="56" customFormat="false" ht="15" hidden="false" customHeight="true" outlineLevel="0" collapsed="false">
      <c r="A56" s="9" t="s">
        <v>125</v>
      </c>
      <c r="B56" s="10" t="str">
        <f aca="false">INDEX(Bases!$B$5:$B$83,$T56)</f>
        <v>Guerrier</v>
      </c>
      <c r="C56" s="10" t="str">
        <f aca="false">INDEX(Bases!$E$5:$E$83,$T56)</f>
        <v>Attaque (arme 1)</v>
      </c>
      <c r="D56" s="10" t="str">
        <f aca="false">INDEX(Bases!$F$5:$F$83,$T56)</f>
        <v>Attaque</v>
      </c>
      <c r="E56" s="11" t="str">
        <f aca="false">INDEX(Bases!$C$5:$C$83,$T56)</f>
        <v>Charge</v>
      </c>
      <c r="F56" s="10" t="str">
        <f aca="false">INDEX(Éléments!$A$5:$A$14,$U56)</f>
        <v>Terre</v>
      </c>
      <c r="G56" s="12" t="str">
        <f aca="false">IF(OR($F56="Neutre",$C56="Passif"),$E56,INDEX(Bases!$D$5:$D$83,$T56)&amp;" "&amp;INDEX(Éléments!$D$5:$D$14,$U56))</f>
        <v>Charge de pierre</v>
      </c>
      <c r="H56" s="10" t="str">
        <f aca="false">INDEX(Bases!$G$5:$G$83,$T56)</f>
        <v>Mono</v>
      </c>
      <c r="I56" s="13" t="n">
        <f aca="false">INDEX(Bases!$H$5:$H$83,$T56)</f>
        <v>2</v>
      </c>
      <c r="J56" s="10" t="str">
        <f aca="false">INDEX(Bases!$I$5:$I$83,$T56)</f>
        <v>Non</v>
      </c>
      <c r="K56" s="14" t="n">
        <f aca="false">INDEX(Bases!$J$5:$J$83,$T56)</f>
        <v>1.5</v>
      </c>
      <c r="L56" s="10" t="str">
        <f aca="false">INDEX(Bases!$K$5:$K$83,$T56)</f>
        <v>Force</v>
      </c>
      <c r="M56" s="11" t="str">
        <f aca="false">INDEX(Bases!$L$5:$L$83,$T56)</f>
        <v>Intimide la cible (−10 % de dégâts infligés, 2 tours).</v>
      </c>
      <c r="N56" s="11" t="str">
        <f aca="false">IF($C56="Passif","—",IF($C56="Attaque (arme 1)",INDEX(Éléments!$F$5:$F$14,$U56),INDEX(Éléments!$G$5:$G$14,$U56)))</f>
        <v>30 % : Garde brisée (−15 % Résistance, 2 tours).</v>
      </c>
      <c r="O56" s="10" t="str">
        <f aca="false">INDEX(Bases!$M$5:$M$83,$T56)</f>
        <v>Active</v>
      </c>
      <c r="P56" s="13" t="n">
        <f aca="false">INDEX(Bases!$N$5:$N$83,$T56)</f>
        <v>25</v>
      </c>
      <c r="Q56" s="15" t="n">
        <f aca="false">INDEX(Éléments!$C$5:$C$14,$U56)</f>
        <v>20</v>
      </c>
      <c r="R56" s="11" t="str">
        <f aca="false">"Niv. "&amp;$P56&amp;IF($Q56&gt;0," · étage "&amp;$Q56&amp;" terminé","")</f>
        <v>Niv. 25 · étage 20 terminé</v>
      </c>
      <c r="S56" s="14" t="n">
        <f aca="false">IF(ISNUMBER($I56),$K56*IF($H56="Zone",Paramètres!$B$8,1)/MAX(1,$I56),0)</f>
        <v>0.75</v>
      </c>
      <c r="T56" s="16" t="n">
        <v>6</v>
      </c>
      <c r="U56" s="16" t="n">
        <v>2</v>
      </c>
    </row>
    <row r="57" customFormat="false" ht="15" hidden="false" customHeight="true" outlineLevel="0" collapsed="false">
      <c r="A57" s="9" t="s">
        <v>126</v>
      </c>
      <c r="B57" s="10" t="str">
        <f aca="false">INDEX(Bases!$B$5:$B$83,$T57)</f>
        <v>Guerrier</v>
      </c>
      <c r="C57" s="10" t="str">
        <f aca="false">INDEX(Bases!$E$5:$E$83,$T57)</f>
        <v>Attaque (arme 1)</v>
      </c>
      <c r="D57" s="10" t="str">
        <f aca="false">INDEX(Bases!$F$5:$F$83,$T57)</f>
        <v>Attaque</v>
      </c>
      <c r="E57" s="11" t="str">
        <f aca="false">INDEX(Bases!$C$5:$C$83,$T57)</f>
        <v>Charge</v>
      </c>
      <c r="F57" s="10" t="str">
        <f aca="false">INDEX(Éléments!$A$5:$A$14,$U57)</f>
        <v>Feu</v>
      </c>
      <c r="G57" s="12" t="str">
        <f aca="false">IF(OR($F57="Neutre",$C57="Passif"),$E57,INDEX(Bases!$D$5:$D$83,$T57)&amp;" "&amp;INDEX(Éléments!$D$5:$D$14,$U57))</f>
        <v>Charge de feu</v>
      </c>
      <c r="H57" s="10" t="str">
        <f aca="false">INDEX(Bases!$G$5:$G$83,$T57)</f>
        <v>Mono</v>
      </c>
      <c r="I57" s="13" t="n">
        <f aca="false">INDEX(Bases!$H$5:$H$83,$T57)</f>
        <v>2</v>
      </c>
      <c r="J57" s="10" t="str">
        <f aca="false">INDEX(Bases!$I$5:$I$83,$T57)</f>
        <v>Non</v>
      </c>
      <c r="K57" s="14" t="n">
        <f aca="false">INDEX(Bases!$J$5:$J$83,$T57)</f>
        <v>1.5</v>
      </c>
      <c r="L57" s="10" t="str">
        <f aca="false">INDEX(Bases!$K$5:$K$83,$T57)</f>
        <v>Force</v>
      </c>
      <c r="M57" s="11" t="str">
        <f aca="false">INDEX(Bases!$L$5:$L$83,$T57)</f>
        <v>Intimide la cible (−10 % de dégâts infligés, 2 tours).</v>
      </c>
      <c r="N57" s="11" t="str">
        <f aca="false">IF($C57="Passif","—",IF($C57="Attaque (arme 1)",INDEX(Éléments!$F$5:$F$14,$U57),INDEX(Éléments!$G$5:$G$14,$U57)))</f>
        <v>35 % : Brûlure (8 % de la stat d'attaque par tour, 3 tours, non cumulable).</v>
      </c>
      <c r="O57" s="10" t="str">
        <f aca="false">INDEX(Bases!$M$5:$M$83,$T57)</f>
        <v>Active</v>
      </c>
      <c r="P57" s="13" t="n">
        <f aca="false">INDEX(Bases!$N$5:$N$83,$T57)</f>
        <v>25</v>
      </c>
      <c r="Q57" s="15" t="n">
        <f aca="false">INDEX(Éléments!$C$5:$C$14,$U57)</f>
        <v>30</v>
      </c>
      <c r="R57" s="11" t="str">
        <f aca="false">"Niv. "&amp;$P57&amp;IF($Q57&gt;0," · étage "&amp;$Q57&amp;" terminé","")</f>
        <v>Niv. 25 · étage 30 terminé</v>
      </c>
      <c r="S57" s="14" t="n">
        <f aca="false">IF(ISNUMBER($I57),$K57*IF($H57="Zone",Paramètres!$B$8,1)/MAX(1,$I57),0)</f>
        <v>0.75</v>
      </c>
      <c r="T57" s="16" t="n">
        <v>6</v>
      </c>
      <c r="U57" s="16" t="n">
        <v>3</v>
      </c>
    </row>
    <row r="58" customFormat="false" ht="15" hidden="false" customHeight="true" outlineLevel="0" collapsed="false">
      <c r="A58" s="9" t="s">
        <v>127</v>
      </c>
      <c r="B58" s="10" t="str">
        <f aca="false">INDEX(Bases!$B$5:$B$83,$T58)</f>
        <v>Guerrier</v>
      </c>
      <c r="C58" s="10" t="str">
        <f aca="false">INDEX(Bases!$E$5:$E$83,$T58)</f>
        <v>Attaque (arme 1)</v>
      </c>
      <c r="D58" s="10" t="str">
        <f aca="false">INDEX(Bases!$F$5:$F$83,$T58)</f>
        <v>Attaque</v>
      </c>
      <c r="E58" s="11" t="str">
        <f aca="false">INDEX(Bases!$C$5:$C$83,$T58)</f>
        <v>Charge</v>
      </c>
      <c r="F58" s="10" t="str">
        <f aca="false">INDEX(Éléments!$A$5:$A$14,$U58)</f>
        <v>Vent</v>
      </c>
      <c r="G58" s="12" t="str">
        <f aca="false">IF(OR($F58="Neutre",$C58="Passif"),$E58,INDEX(Bases!$D$5:$D$83,$T58)&amp;" "&amp;INDEX(Éléments!$D$5:$D$14,$U58))</f>
        <v>Charge de vent</v>
      </c>
      <c r="H58" s="10" t="str">
        <f aca="false">INDEX(Bases!$G$5:$G$83,$T58)</f>
        <v>Mono</v>
      </c>
      <c r="I58" s="13" t="n">
        <f aca="false">INDEX(Bases!$H$5:$H$83,$T58)</f>
        <v>2</v>
      </c>
      <c r="J58" s="10" t="str">
        <f aca="false">INDEX(Bases!$I$5:$I$83,$T58)</f>
        <v>Non</v>
      </c>
      <c r="K58" s="14" t="n">
        <f aca="false">INDEX(Bases!$J$5:$J$83,$T58)</f>
        <v>1.5</v>
      </c>
      <c r="L58" s="10" t="str">
        <f aca="false">INDEX(Bases!$K$5:$K$83,$T58)</f>
        <v>Force</v>
      </c>
      <c r="M58" s="11" t="str">
        <f aca="false">INDEX(Bases!$L$5:$L$83,$T58)</f>
        <v>Intimide la cible (−10 % de dégâts infligés, 2 tours).</v>
      </c>
      <c r="N58" s="11" t="str">
        <f aca="false">IF($C58="Passif","—",IF($C58="Attaque (arme 1)",INDEX(Éléments!$F$5:$F$14,$U58),INDEX(Éléments!$G$5:$G$14,$U58)))</f>
        <v>+10 % de chance de critique ; 30 % : Désorienté (−15 % Précision, 2 tours).</v>
      </c>
      <c r="O58" s="10" t="str">
        <f aca="false">INDEX(Bases!$M$5:$M$83,$T58)</f>
        <v>Active</v>
      </c>
      <c r="P58" s="13" t="n">
        <f aca="false">INDEX(Bases!$N$5:$N$83,$T58)</f>
        <v>25</v>
      </c>
      <c r="Q58" s="15" t="n">
        <f aca="false">INDEX(Éléments!$C$5:$C$14,$U58)</f>
        <v>40</v>
      </c>
      <c r="R58" s="11" t="str">
        <f aca="false">"Niv. "&amp;$P58&amp;IF($Q58&gt;0," · étage "&amp;$Q58&amp;" terminé","")</f>
        <v>Niv. 25 · étage 40 terminé</v>
      </c>
      <c r="S58" s="14" t="n">
        <f aca="false">IF(ISNUMBER($I58),$K58*IF($H58="Zone",Paramètres!$B$8,1)/MAX(1,$I58),0)</f>
        <v>0.75</v>
      </c>
      <c r="T58" s="16" t="n">
        <v>6</v>
      </c>
      <c r="U58" s="16" t="n">
        <v>4</v>
      </c>
    </row>
    <row r="59" customFormat="false" ht="15" hidden="false" customHeight="true" outlineLevel="0" collapsed="false">
      <c r="A59" s="9" t="s">
        <v>128</v>
      </c>
      <c r="B59" s="10" t="str">
        <f aca="false">INDEX(Bases!$B$5:$B$83,$T59)</f>
        <v>Guerrier</v>
      </c>
      <c r="C59" s="10" t="str">
        <f aca="false">INDEX(Bases!$E$5:$E$83,$T59)</f>
        <v>Attaque (arme 1)</v>
      </c>
      <c r="D59" s="10" t="str">
        <f aca="false">INDEX(Bases!$F$5:$F$83,$T59)</f>
        <v>Attaque</v>
      </c>
      <c r="E59" s="11" t="str">
        <f aca="false">INDEX(Bases!$C$5:$C$83,$T59)</f>
        <v>Charge</v>
      </c>
      <c r="F59" s="10" t="str">
        <f aca="false">INDEX(Éléments!$A$5:$A$14,$U59)</f>
        <v>Acide</v>
      </c>
      <c r="G59" s="12" t="str">
        <f aca="false">IF(OR($F59="Neutre",$C59="Passif"),$E59,INDEX(Bases!$D$5:$D$83,$T59)&amp;" "&amp;INDEX(Éléments!$D$5:$D$14,$U59))</f>
        <v>Charge d'acide</v>
      </c>
      <c r="H59" s="10" t="str">
        <f aca="false">INDEX(Bases!$G$5:$G$83,$T59)</f>
        <v>Mono</v>
      </c>
      <c r="I59" s="13" t="n">
        <f aca="false">INDEX(Bases!$H$5:$H$83,$T59)</f>
        <v>2</v>
      </c>
      <c r="J59" s="10" t="str">
        <f aca="false">INDEX(Bases!$I$5:$I$83,$T59)</f>
        <v>Non</v>
      </c>
      <c r="K59" s="14" t="n">
        <f aca="false">INDEX(Bases!$J$5:$J$83,$T59)</f>
        <v>1.5</v>
      </c>
      <c r="L59" s="10" t="str">
        <f aca="false">INDEX(Bases!$K$5:$K$83,$T59)</f>
        <v>Force</v>
      </c>
      <c r="M59" s="11" t="str">
        <f aca="false">INDEX(Bases!$L$5:$L$83,$T59)</f>
        <v>Intimide la cible (−10 % de dégâts infligés, 2 tours).</v>
      </c>
      <c r="N59" s="11" t="str">
        <f aca="false">IF($C59="Passif","—",IF($C59="Attaque (arme 1)",INDEX(Éléments!$F$5:$F$14,$U59),INDEX(Éléments!$G$5:$G$14,$U59)))</f>
        <v>50 % : 1 pile de Corrosion (−5 % Armure par pile, 4 piles max, 3 tours).</v>
      </c>
      <c r="O59" s="10" t="str">
        <f aca="false">INDEX(Bases!$M$5:$M$83,$T59)</f>
        <v>Active</v>
      </c>
      <c r="P59" s="13" t="n">
        <f aca="false">INDEX(Bases!$N$5:$N$83,$T59)</f>
        <v>25</v>
      </c>
      <c r="Q59" s="15" t="n">
        <f aca="false">INDEX(Éléments!$C$5:$C$14,$U59)</f>
        <v>50</v>
      </c>
      <c r="R59" s="11" t="str">
        <f aca="false">"Niv. "&amp;$P59&amp;IF($Q59&gt;0," · étage "&amp;$Q59&amp;" terminé","")</f>
        <v>Niv. 25 · étage 50 terminé</v>
      </c>
      <c r="S59" s="14" t="n">
        <f aca="false">IF(ISNUMBER($I59),$K59*IF($H59="Zone",Paramètres!$B$8,1)/MAX(1,$I59),0)</f>
        <v>0.75</v>
      </c>
      <c r="T59" s="16" t="n">
        <v>6</v>
      </c>
      <c r="U59" s="16" t="n">
        <v>5</v>
      </c>
    </row>
    <row r="60" customFormat="false" ht="15" hidden="false" customHeight="true" outlineLevel="0" collapsed="false">
      <c r="A60" s="9" t="s">
        <v>129</v>
      </c>
      <c r="B60" s="10" t="str">
        <f aca="false">INDEX(Bases!$B$5:$B$83,$T60)</f>
        <v>Guerrier</v>
      </c>
      <c r="C60" s="10" t="str">
        <f aca="false">INDEX(Bases!$E$5:$E$83,$T60)</f>
        <v>Attaque (arme 1)</v>
      </c>
      <c r="D60" s="10" t="str">
        <f aca="false">INDEX(Bases!$F$5:$F$83,$T60)</f>
        <v>Attaque</v>
      </c>
      <c r="E60" s="11" t="str">
        <f aca="false">INDEX(Bases!$C$5:$C$83,$T60)</f>
        <v>Charge</v>
      </c>
      <c r="F60" s="10" t="str">
        <f aca="false">INDEX(Éléments!$A$5:$A$14,$U60)</f>
        <v>Eau</v>
      </c>
      <c r="G60" s="12" t="str">
        <f aca="false">IF(OR($F60="Neutre",$C60="Passif"),$E60,INDEX(Bases!$D$5:$D$83,$T60)&amp;" "&amp;INDEX(Éléments!$D$5:$D$14,$U60))</f>
        <v>Charge d'eau</v>
      </c>
      <c r="H60" s="10" t="str">
        <f aca="false">INDEX(Bases!$G$5:$G$83,$T60)</f>
        <v>Mono</v>
      </c>
      <c r="I60" s="13" t="n">
        <f aca="false">INDEX(Bases!$H$5:$H$83,$T60)</f>
        <v>2</v>
      </c>
      <c r="J60" s="10" t="str">
        <f aca="false">INDEX(Bases!$I$5:$I$83,$T60)</f>
        <v>Non</v>
      </c>
      <c r="K60" s="14" t="n">
        <f aca="false">INDEX(Bases!$J$5:$J$83,$T60)</f>
        <v>1.5</v>
      </c>
      <c r="L60" s="10" t="str">
        <f aca="false">INDEX(Bases!$K$5:$K$83,$T60)</f>
        <v>Force</v>
      </c>
      <c r="M60" s="11" t="str">
        <f aca="false">INDEX(Bases!$L$5:$L$83,$T60)</f>
        <v>Intimide la cible (−10 % de dégâts infligés, 2 tours).</v>
      </c>
      <c r="N60" s="11" t="str">
        <f aca="false">IF($C60="Passif","—",IF($C60="Attaque (arme 1)",INDEX(Éléments!$F$5:$F$14,$U60),INDEX(Éléments!$G$5:$G$14,$U60)))</f>
        <v>50 % : Mouillé (+25 % de dégâts d'Électricité subis, retire Brûlure, 3 tours).</v>
      </c>
      <c r="O60" s="10" t="str">
        <f aca="false">INDEX(Bases!$M$5:$M$83,$T60)</f>
        <v>Active</v>
      </c>
      <c r="P60" s="13" t="n">
        <f aca="false">INDEX(Bases!$N$5:$N$83,$T60)</f>
        <v>25</v>
      </c>
      <c r="Q60" s="15" t="n">
        <f aca="false">INDEX(Éléments!$C$5:$C$14,$U60)</f>
        <v>60</v>
      </c>
      <c r="R60" s="11" t="str">
        <f aca="false">"Niv. "&amp;$P60&amp;IF($Q60&gt;0," · étage "&amp;$Q60&amp;" terminé","")</f>
        <v>Niv. 25 · étage 60 terminé</v>
      </c>
      <c r="S60" s="14" t="n">
        <f aca="false">IF(ISNUMBER($I60),$K60*IF($H60="Zone",Paramètres!$B$8,1)/MAX(1,$I60),0)</f>
        <v>0.75</v>
      </c>
      <c r="T60" s="16" t="n">
        <v>6</v>
      </c>
      <c r="U60" s="16" t="n">
        <v>6</v>
      </c>
    </row>
    <row r="61" customFormat="false" ht="15" hidden="false" customHeight="true" outlineLevel="0" collapsed="false">
      <c r="A61" s="9" t="s">
        <v>130</v>
      </c>
      <c r="B61" s="10" t="str">
        <f aca="false">INDEX(Bases!$B$5:$B$83,$T61)</f>
        <v>Guerrier</v>
      </c>
      <c r="C61" s="10" t="str">
        <f aca="false">INDEX(Bases!$E$5:$E$83,$T61)</f>
        <v>Attaque (arme 1)</v>
      </c>
      <c r="D61" s="10" t="str">
        <f aca="false">INDEX(Bases!$F$5:$F$83,$T61)</f>
        <v>Attaque</v>
      </c>
      <c r="E61" s="11" t="str">
        <f aca="false">INDEX(Bases!$C$5:$C$83,$T61)</f>
        <v>Charge</v>
      </c>
      <c r="F61" s="10" t="str">
        <f aca="false">INDEX(Éléments!$A$5:$A$14,$U61)</f>
        <v>Glace</v>
      </c>
      <c r="G61" s="12" t="str">
        <f aca="false">IF(OR($F61="Neutre",$C61="Passif"),$E61,INDEX(Bases!$D$5:$D$83,$T61)&amp;" "&amp;INDEX(Éléments!$D$5:$D$14,$U61))</f>
        <v>Charge de glace</v>
      </c>
      <c r="H61" s="10" t="str">
        <f aca="false">INDEX(Bases!$G$5:$G$83,$T61)</f>
        <v>Mono</v>
      </c>
      <c r="I61" s="13" t="n">
        <f aca="false">INDEX(Bases!$H$5:$H$83,$T61)</f>
        <v>2</v>
      </c>
      <c r="J61" s="10" t="str">
        <f aca="false">INDEX(Bases!$I$5:$I$83,$T61)</f>
        <v>Non</v>
      </c>
      <c r="K61" s="14" t="n">
        <f aca="false">INDEX(Bases!$J$5:$J$83,$T61)</f>
        <v>1.5</v>
      </c>
      <c r="L61" s="10" t="str">
        <f aca="false">INDEX(Bases!$K$5:$K$83,$T61)</f>
        <v>Force</v>
      </c>
      <c r="M61" s="11" t="str">
        <f aca="false">INDEX(Bases!$L$5:$L$83,$T61)</f>
        <v>Intimide la cible (−10 % de dégâts infligés, 2 tours).</v>
      </c>
      <c r="N61" s="11" t="str">
        <f aca="false">IF($C61="Passif","—",IF($C61="Attaque (arme 1)",INDEX(Éléments!$F$5:$F$14,$U61),INDEX(Éléments!$G$5:$G$14,$U61)))</f>
        <v>40 % : 1 pile de Froid (−8 % Agilité ; à 3 piles : Gel, la cible perd 1 tour).</v>
      </c>
      <c r="O61" s="10" t="str">
        <f aca="false">INDEX(Bases!$M$5:$M$83,$T61)</f>
        <v>Active</v>
      </c>
      <c r="P61" s="13" t="n">
        <f aca="false">INDEX(Bases!$N$5:$N$83,$T61)</f>
        <v>25</v>
      </c>
      <c r="Q61" s="15" t="n">
        <f aca="false">INDEX(Éléments!$C$5:$C$14,$U61)</f>
        <v>70</v>
      </c>
      <c r="R61" s="11" t="str">
        <f aca="false">"Niv. "&amp;$P61&amp;IF($Q61&gt;0," · étage "&amp;$Q61&amp;" terminé","")</f>
        <v>Niv. 25 · étage 70 terminé</v>
      </c>
      <c r="S61" s="14" t="n">
        <f aca="false">IF(ISNUMBER($I61),$K61*IF($H61="Zone",Paramètres!$B$8,1)/MAX(1,$I61),0)</f>
        <v>0.75</v>
      </c>
      <c r="T61" s="16" t="n">
        <v>6</v>
      </c>
      <c r="U61" s="16" t="n">
        <v>7</v>
      </c>
    </row>
    <row r="62" customFormat="false" ht="15" hidden="false" customHeight="true" outlineLevel="0" collapsed="false">
      <c r="A62" s="9" t="s">
        <v>131</v>
      </c>
      <c r="B62" s="10" t="str">
        <f aca="false">INDEX(Bases!$B$5:$B$83,$T62)</f>
        <v>Guerrier</v>
      </c>
      <c r="C62" s="10" t="str">
        <f aca="false">INDEX(Bases!$E$5:$E$83,$T62)</f>
        <v>Attaque (arme 1)</v>
      </c>
      <c r="D62" s="10" t="str">
        <f aca="false">INDEX(Bases!$F$5:$F$83,$T62)</f>
        <v>Attaque</v>
      </c>
      <c r="E62" s="11" t="str">
        <f aca="false">INDEX(Bases!$C$5:$C$83,$T62)</f>
        <v>Charge</v>
      </c>
      <c r="F62" s="10" t="str">
        <f aca="false">INDEX(Éléments!$A$5:$A$14,$U62)</f>
        <v>Électricité</v>
      </c>
      <c r="G62" s="12" t="str">
        <f aca="false">IF(OR($F62="Neutre",$C62="Passif"),$E62,INDEX(Bases!$D$5:$D$83,$T62)&amp;" "&amp;INDEX(Éléments!$D$5:$D$14,$U62))</f>
        <v>Charge de foudre</v>
      </c>
      <c r="H62" s="10" t="str">
        <f aca="false">INDEX(Bases!$G$5:$G$83,$T62)</f>
        <v>Mono</v>
      </c>
      <c r="I62" s="13" t="n">
        <f aca="false">INDEX(Bases!$H$5:$H$83,$T62)</f>
        <v>2</v>
      </c>
      <c r="J62" s="10" t="str">
        <f aca="false">INDEX(Bases!$I$5:$I$83,$T62)</f>
        <v>Non</v>
      </c>
      <c r="K62" s="14" t="n">
        <f aca="false">INDEX(Bases!$J$5:$J$83,$T62)</f>
        <v>1.5</v>
      </c>
      <c r="L62" s="10" t="str">
        <f aca="false">INDEX(Bases!$K$5:$K$83,$T62)</f>
        <v>Force</v>
      </c>
      <c r="M62" s="11" t="str">
        <f aca="false">INDEX(Bases!$L$5:$L$83,$T62)</f>
        <v>Intimide la cible (−10 % de dégâts infligés, 2 tours).</v>
      </c>
      <c r="N62" s="11" t="str">
        <f aca="false">IF($C62="Passif","—",IF($C62="Attaque (arme 1)",INDEX(Éléments!$F$5:$F$14,$U62),INDEX(Éléments!$G$5:$G$14,$U62)))</f>
        <v>Rebondit sur 1 autre ennemi (40 % des dégâts) ; 10 % : Étourdissement (1 tour).</v>
      </c>
      <c r="O62" s="10" t="str">
        <f aca="false">INDEX(Bases!$M$5:$M$83,$T62)</f>
        <v>Active</v>
      </c>
      <c r="P62" s="13" t="n">
        <f aca="false">INDEX(Bases!$N$5:$N$83,$T62)</f>
        <v>25</v>
      </c>
      <c r="Q62" s="15" t="n">
        <f aca="false">INDEX(Éléments!$C$5:$C$14,$U62)</f>
        <v>80</v>
      </c>
      <c r="R62" s="11" t="str">
        <f aca="false">"Niv. "&amp;$P62&amp;IF($Q62&gt;0," · étage "&amp;$Q62&amp;" terminé","")</f>
        <v>Niv. 25 · étage 80 terminé</v>
      </c>
      <c r="S62" s="14" t="n">
        <f aca="false">IF(ISNUMBER($I62),$K62*IF($H62="Zone",Paramètres!$B$8,1)/MAX(1,$I62),0)</f>
        <v>0.75</v>
      </c>
      <c r="T62" s="16" t="n">
        <v>6</v>
      </c>
      <c r="U62" s="16" t="n">
        <v>8</v>
      </c>
    </row>
    <row r="63" customFormat="false" ht="15" hidden="false" customHeight="true" outlineLevel="0" collapsed="false">
      <c r="A63" s="9" t="s">
        <v>132</v>
      </c>
      <c r="B63" s="10" t="str">
        <f aca="false">INDEX(Bases!$B$5:$B$83,$T63)</f>
        <v>Guerrier</v>
      </c>
      <c r="C63" s="10" t="str">
        <f aca="false">INDEX(Bases!$E$5:$E$83,$T63)</f>
        <v>Attaque (arme 1)</v>
      </c>
      <c r="D63" s="10" t="str">
        <f aca="false">INDEX(Bases!$F$5:$F$83,$T63)</f>
        <v>Attaque</v>
      </c>
      <c r="E63" s="11" t="str">
        <f aca="false">INDEX(Bases!$C$5:$C$83,$T63)</f>
        <v>Charge</v>
      </c>
      <c r="F63" s="10" t="str">
        <f aca="false">INDEX(Éléments!$A$5:$A$14,$U63)</f>
        <v>Lumière</v>
      </c>
      <c r="G63" s="12" t="str">
        <f aca="false">IF(OR($F63="Neutre",$C63="Passif"),$E63,INDEX(Bases!$D$5:$D$83,$T63)&amp;" "&amp;INDEX(Éléments!$D$5:$D$14,$U63))</f>
        <v>Charge de lumière</v>
      </c>
      <c r="H63" s="10" t="str">
        <f aca="false">INDEX(Bases!$G$5:$G$83,$T63)</f>
        <v>Mono</v>
      </c>
      <c r="I63" s="13" t="n">
        <f aca="false">INDEX(Bases!$H$5:$H$83,$T63)</f>
        <v>2</v>
      </c>
      <c r="J63" s="10" t="str">
        <f aca="false">INDEX(Bases!$I$5:$I$83,$T63)</f>
        <v>Non</v>
      </c>
      <c r="K63" s="14" t="n">
        <f aca="false">INDEX(Bases!$J$5:$J$83,$T63)</f>
        <v>1.5</v>
      </c>
      <c r="L63" s="10" t="str">
        <f aca="false">INDEX(Bases!$K$5:$K$83,$T63)</f>
        <v>Force</v>
      </c>
      <c r="M63" s="11" t="str">
        <f aca="false">INDEX(Bases!$L$5:$L$83,$T63)</f>
        <v>Intimide la cible (−10 % de dégâts infligés, 2 tours).</v>
      </c>
      <c r="N63" s="11" t="str">
        <f aca="false">IF($C63="Passif","—",IF($C63="Attaque (arme 1)",INDEX(Éléments!$F$5:$F$14,$U63),INDEX(Éléments!$G$5:$G$14,$U63)))</f>
        <v>Soigne le lanceur de 5 % des dégâts infligés ; 25 % : Éblouissement (−20 % chance de critique, 2 tours).</v>
      </c>
      <c r="O63" s="10" t="str">
        <f aca="false">INDEX(Bases!$M$5:$M$83,$T63)</f>
        <v>Active</v>
      </c>
      <c r="P63" s="13" t="n">
        <f aca="false">INDEX(Bases!$N$5:$N$83,$T63)</f>
        <v>25</v>
      </c>
      <c r="Q63" s="15" t="n">
        <f aca="false">INDEX(Éléments!$C$5:$C$14,$U63)</f>
        <v>90</v>
      </c>
      <c r="R63" s="11" t="str">
        <f aca="false">"Niv. "&amp;$P63&amp;IF($Q63&gt;0," · étage "&amp;$Q63&amp;" terminé","")</f>
        <v>Niv. 25 · étage 90 terminé</v>
      </c>
      <c r="S63" s="14" t="n">
        <f aca="false">IF(ISNUMBER($I63),$K63*IF($H63="Zone",Paramètres!$B$8,1)/MAX(1,$I63),0)</f>
        <v>0.75</v>
      </c>
      <c r="T63" s="16" t="n">
        <v>6</v>
      </c>
      <c r="U63" s="16" t="n">
        <v>9</v>
      </c>
    </row>
    <row r="64" customFormat="false" ht="15" hidden="false" customHeight="true" outlineLevel="0" collapsed="false">
      <c r="A64" s="9" t="s">
        <v>133</v>
      </c>
      <c r="B64" s="10" t="str">
        <f aca="false">INDEX(Bases!$B$5:$B$83,$T64)</f>
        <v>Guerrier</v>
      </c>
      <c r="C64" s="10" t="str">
        <f aca="false">INDEX(Bases!$E$5:$E$83,$T64)</f>
        <v>Attaque (arme 1)</v>
      </c>
      <c r="D64" s="10" t="str">
        <f aca="false">INDEX(Bases!$F$5:$F$83,$T64)</f>
        <v>Attaque</v>
      </c>
      <c r="E64" s="11" t="str">
        <f aca="false">INDEX(Bases!$C$5:$C$83,$T64)</f>
        <v>Charge</v>
      </c>
      <c r="F64" s="10" t="str">
        <f aca="false">INDEX(Éléments!$A$5:$A$14,$U64)</f>
        <v>Ombre</v>
      </c>
      <c r="G64" s="12" t="str">
        <f aca="false">IF(OR($F64="Neutre",$C64="Passif"),$E64,INDEX(Bases!$D$5:$D$83,$T64)&amp;" "&amp;INDEX(Éléments!$D$5:$D$14,$U64))</f>
        <v>Charge d'ombre</v>
      </c>
      <c r="H64" s="10" t="str">
        <f aca="false">INDEX(Bases!$G$5:$G$83,$T64)</f>
        <v>Mono</v>
      </c>
      <c r="I64" s="13" t="n">
        <f aca="false">INDEX(Bases!$H$5:$H$83,$T64)</f>
        <v>2</v>
      </c>
      <c r="J64" s="10" t="str">
        <f aca="false">INDEX(Bases!$I$5:$I$83,$T64)</f>
        <v>Non</v>
      </c>
      <c r="K64" s="14" t="n">
        <f aca="false">INDEX(Bases!$J$5:$J$83,$T64)</f>
        <v>1.5</v>
      </c>
      <c r="L64" s="10" t="str">
        <f aca="false">INDEX(Bases!$K$5:$K$83,$T64)</f>
        <v>Force</v>
      </c>
      <c r="M64" s="11" t="str">
        <f aca="false">INDEX(Bases!$L$5:$L$83,$T64)</f>
        <v>Intimide la cible (−10 % de dégâts infligés, 2 tours).</v>
      </c>
      <c r="N64" s="11" t="str">
        <f aca="false">IF($C64="Passif","—",IF($C64="Attaque (arme 1)",INDEX(Éléments!$F$5:$F$14,$U64),INDEX(Éléments!$G$5:$G$14,$U64)))</f>
        <v>Vol de vie 5 % ; 30 % : Corruption (+10 % de dégâts subis, 2 tours).</v>
      </c>
      <c r="O64" s="10" t="str">
        <f aca="false">INDEX(Bases!$M$5:$M$83,$T64)</f>
        <v>Active</v>
      </c>
      <c r="P64" s="13" t="n">
        <f aca="false">INDEX(Bases!$N$5:$N$83,$T64)</f>
        <v>25</v>
      </c>
      <c r="Q64" s="15" t="n">
        <f aca="false">INDEX(Éléments!$C$5:$C$14,$U64)</f>
        <v>100</v>
      </c>
      <c r="R64" s="11" t="str">
        <f aca="false">"Niv. "&amp;$P64&amp;IF($Q64&gt;0," · étage "&amp;$Q64&amp;" terminé","")</f>
        <v>Niv. 25 · étage 100 terminé</v>
      </c>
      <c r="S64" s="14" t="n">
        <f aca="false">IF(ISNUMBER($I64),$K64*IF($H64="Zone",Paramètres!$B$8,1)/MAX(1,$I64),0)</f>
        <v>0.75</v>
      </c>
      <c r="T64" s="16" t="n">
        <v>6</v>
      </c>
      <c r="U64" s="16" t="n">
        <v>10</v>
      </c>
    </row>
    <row r="65" customFormat="false" ht="15" hidden="false" customHeight="true" outlineLevel="0" collapsed="false">
      <c r="A65" s="9" t="s">
        <v>134</v>
      </c>
      <c r="B65" s="10" t="str">
        <f aca="false">INDEX(Bases!$B$5:$B$83,$T65)</f>
        <v>Guerrier</v>
      </c>
      <c r="C65" s="10" t="str">
        <f aca="false">INDEX(Bases!$E$5:$E$83,$T65)</f>
        <v>Attaque (arme 1)</v>
      </c>
      <c r="D65" s="10" t="str">
        <f aca="false">INDEX(Bases!$F$5:$F$83,$T65)</f>
        <v>Attaque</v>
      </c>
      <c r="E65" s="11" t="str">
        <f aca="false">INDEX(Bases!$C$5:$C$83,$T65)</f>
        <v>Exécution</v>
      </c>
      <c r="F65" s="10" t="str">
        <f aca="false">INDEX(Éléments!$A$5:$A$14,$U65)</f>
        <v>Neutre</v>
      </c>
      <c r="G65" s="12" t="str">
        <f aca="false">IF(OR($F65="Neutre",$C65="Passif"),$E65,INDEX(Bases!$D$5:$D$83,$T65)&amp;" "&amp;INDEX(Éléments!$D$5:$D$14,$U65))</f>
        <v>Exécution</v>
      </c>
      <c r="H65" s="10" t="str">
        <f aca="false">INDEX(Bases!$G$5:$G$83,$T65)</f>
        <v>Mono</v>
      </c>
      <c r="I65" s="13" t="n">
        <f aca="false">INDEX(Bases!$H$5:$H$83,$T65)</f>
        <v>3</v>
      </c>
      <c r="J65" s="10" t="str">
        <f aca="false">INDEX(Bases!$I$5:$I$83,$T65)</f>
        <v>Oui</v>
      </c>
      <c r="K65" s="14" t="n">
        <f aca="false">INDEX(Bases!$J$5:$J$83,$T65)</f>
        <v>3</v>
      </c>
      <c r="L65" s="10" t="str">
        <f aca="false">INDEX(Bases!$K$5:$K$83,$T65)</f>
        <v>Force</v>
      </c>
      <c r="M65" s="11" t="str">
        <f aca="false">INDEX(Bases!$L$5:$L$83,$T65)</f>
        <v>+50 % de dégâts si la cible a moins de 30 % de ses PV.</v>
      </c>
      <c r="N65" s="11" t="str">
        <f aca="false">IF($C65="Passif","—",IF($C65="Attaque (arme 1)",INDEX(Éléments!$F$5:$F$14,$U65),INDEX(Éléments!$G$5:$G$14,$U65)))</f>
        <v>Aucune altération ; ignore 10 % de la Résistance de la cible. Fiable contre tous les biomes.</v>
      </c>
      <c r="O65" s="10" t="str">
        <f aca="false">INDEX(Bases!$M$5:$M$83,$T65)</f>
        <v>Active</v>
      </c>
      <c r="P65" s="13" t="n">
        <f aca="false">INDEX(Bases!$N$5:$N$83,$T65)</f>
        <v>30</v>
      </c>
      <c r="Q65" s="15" t="n">
        <f aca="false">INDEX(Éléments!$C$5:$C$14,$U65)</f>
        <v>0</v>
      </c>
      <c r="R65" s="11" t="str">
        <f aca="false">"Niv. "&amp;$P65&amp;IF($Q65&gt;0," · étage "&amp;$Q65&amp;" terminé","")</f>
        <v>Niv. 30</v>
      </c>
      <c r="S65" s="14" t="n">
        <f aca="false">IF(ISNUMBER($I65),$K65*IF($H65="Zone",Paramètres!$B$8,1)/MAX(1,$I65),0)</f>
        <v>1</v>
      </c>
      <c r="T65" s="16" t="n">
        <v>7</v>
      </c>
      <c r="U65" s="16" t="n">
        <v>1</v>
      </c>
    </row>
    <row r="66" customFormat="false" ht="15" hidden="false" customHeight="true" outlineLevel="0" collapsed="false">
      <c r="A66" s="9" t="s">
        <v>135</v>
      </c>
      <c r="B66" s="10" t="str">
        <f aca="false">INDEX(Bases!$B$5:$B$83,$T66)</f>
        <v>Guerrier</v>
      </c>
      <c r="C66" s="10" t="str">
        <f aca="false">INDEX(Bases!$E$5:$E$83,$T66)</f>
        <v>Attaque (arme 1)</v>
      </c>
      <c r="D66" s="10" t="str">
        <f aca="false">INDEX(Bases!$F$5:$F$83,$T66)</f>
        <v>Attaque</v>
      </c>
      <c r="E66" s="11" t="str">
        <f aca="false">INDEX(Bases!$C$5:$C$83,$T66)</f>
        <v>Exécution</v>
      </c>
      <c r="F66" s="10" t="str">
        <f aca="false">INDEX(Éléments!$A$5:$A$14,$U66)</f>
        <v>Terre</v>
      </c>
      <c r="G66" s="12" t="str">
        <f aca="false">IF(OR($F66="Neutre",$C66="Passif"),$E66,INDEX(Bases!$D$5:$D$83,$T66)&amp;" "&amp;INDEX(Éléments!$D$5:$D$14,$U66))</f>
        <v>Exécution de pierre</v>
      </c>
      <c r="H66" s="10" t="str">
        <f aca="false">INDEX(Bases!$G$5:$G$83,$T66)</f>
        <v>Mono</v>
      </c>
      <c r="I66" s="13" t="n">
        <f aca="false">INDEX(Bases!$H$5:$H$83,$T66)</f>
        <v>3</v>
      </c>
      <c r="J66" s="10" t="str">
        <f aca="false">INDEX(Bases!$I$5:$I$83,$T66)</f>
        <v>Oui</v>
      </c>
      <c r="K66" s="14" t="n">
        <f aca="false">INDEX(Bases!$J$5:$J$83,$T66)</f>
        <v>3</v>
      </c>
      <c r="L66" s="10" t="str">
        <f aca="false">INDEX(Bases!$K$5:$K$83,$T66)</f>
        <v>Force</v>
      </c>
      <c r="M66" s="11" t="str">
        <f aca="false">INDEX(Bases!$L$5:$L$83,$T66)</f>
        <v>+50 % de dégâts si la cible a moins de 30 % de ses PV.</v>
      </c>
      <c r="N66" s="11" t="str">
        <f aca="false">IF($C66="Passif","—",IF($C66="Attaque (arme 1)",INDEX(Éléments!$F$5:$F$14,$U66),INDEX(Éléments!$G$5:$G$14,$U66)))</f>
        <v>30 % : Garde brisée (−15 % Résistance, 2 tours).</v>
      </c>
      <c r="O66" s="10" t="str">
        <f aca="false">INDEX(Bases!$M$5:$M$83,$T66)</f>
        <v>Active</v>
      </c>
      <c r="P66" s="13" t="n">
        <f aca="false">INDEX(Bases!$N$5:$N$83,$T66)</f>
        <v>30</v>
      </c>
      <c r="Q66" s="15" t="n">
        <f aca="false">INDEX(Éléments!$C$5:$C$14,$U66)</f>
        <v>20</v>
      </c>
      <c r="R66" s="11" t="str">
        <f aca="false">"Niv. "&amp;$P66&amp;IF($Q66&gt;0," · étage "&amp;$Q66&amp;" terminé","")</f>
        <v>Niv. 30 · étage 20 terminé</v>
      </c>
      <c r="S66" s="14" t="n">
        <f aca="false">IF(ISNUMBER($I66),$K66*IF($H66="Zone",Paramètres!$B$8,1)/MAX(1,$I66),0)</f>
        <v>1</v>
      </c>
      <c r="T66" s="16" t="n">
        <v>7</v>
      </c>
      <c r="U66" s="16" t="n">
        <v>2</v>
      </c>
    </row>
    <row r="67" customFormat="false" ht="15" hidden="false" customHeight="true" outlineLevel="0" collapsed="false">
      <c r="A67" s="9" t="s">
        <v>136</v>
      </c>
      <c r="B67" s="10" t="str">
        <f aca="false">INDEX(Bases!$B$5:$B$83,$T67)</f>
        <v>Guerrier</v>
      </c>
      <c r="C67" s="10" t="str">
        <f aca="false">INDEX(Bases!$E$5:$E$83,$T67)</f>
        <v>Attaque (arme 1)</v>
      </c>
      <c r="D67" s="10" t="str">
        <f aca="false">INDEX(Bases!$F$5:$F$83,$T67)</f>
        <v>Attaque</v>
      </c>
      <c r="E67" s="11" t="str">
        <f aca="false">INDEX(Bases!$C$5:$C$83,$T67)</f>
        <v>Exécution</v>
      </c>
      <c r="F67" s="10" t="str">
        <f aca="false">INDEX(Éléments!$A$5:$A$14,$U67)</f>
        <v>Feu</v>
      </c>
      <c r="G67" s="12" t="str">
        <f aca="false">IF(OR($F67="Neutre",$C67="Passif"),$E67,INDEX(Bases!$D$5:$D$83,$T67)&amp;" "&amp;INDEX(Éléments!$D$5:$D$14,$U67))</f>
        <v>Exécution de feu</v>
      </c>
      <c r="H67" s="10" t="str">
        <f aca="false">INDEX(Bases!$G$5:$G$83,$T67)</f>
        <v>Mono</v>
      </c>
      <c r="I67" s="13" t="n">
        <f aca="false">INDEX(Bases!$H$5:$H$83,$T67)</f>
        <v>3</v>
      </c>
      <c r="J67" s="10" t="str">
        <f aca="false">INDEX(Bases!$I$5:$I$83,$T67)</f>
        <v>Oui</v>
      </c>
      <c r="K67" s="14" t="n">
        <f aca="false">INDEX(Bases!$J$5:$J$83,$T67)</f>
        <v>3</v>
      </c>
      <c r="L67" s="10" t="str">
        <f aca="false">INDEX(Bases!$K$5:$K$83,$T67)</f>
        <v>Force</v>
      </c>
      <c r="M67" s="11" t="str">
        <f aca="false">INDEX(Bases!$L$5:$L$83,$T67)</f>
        <v>+50 % de dégâts si la cible a moins de 30 % de ses PV.</v>
      </c>
      <c r="N67" s="11" t="str">
        <f aca="false">IF($C67="Passif","—",IF($C67="Attaque (arme 1)",INDEX(Éléments!$F$5:$F$14,$U67),INDEX(Éléments!$G$5:$G$14,$U67)))</f>
        <v>35 % : Brûlure (8 % de la stat d'attaque par tour, 3 tours, non cumulable).</v>
      </c>
      <c r="O67" s="10" t="str">
        <f aca="false">INDEX(Bases!$M$5:$M$83,$T67)</f>
        <v>Active</v>
      </c>
      <c r="P67" s="13" t="n">
        <f aca="false">INDEX(Bases!$N$5:$N$83,$T67)</f>
        <v>30</v>
      </c>
      <c r="Q67" s="15" t="n">
        <f aca="false">INDEX(Éléments!$C$5:$C$14,$U67)</f>
        <v>30</v>
      </c>
      <c r="R67" s="11" t="str">
        <f aca="false">"Niv. "&amp;$P67&amp;IF($Q67&gt;0," · étage "&amp;$Q67&amp;" terminé","")</f>
        <v>Niv. 30 · étage 30 terminé</v>
      </c>
      <c r="S67" s="14" t="n">
        <f aca="false">IF(ISNUMBER($I67),$K67*IF($H67="Zone",Paramètres!$B$8,1)/MAX(1,$I67),0)</f>
        <v>1</v>
      </c>
      <c r="T67" s="16" t="n">
        <v>7</v>
      </c>
      <c r="U67" s="16" t="n">
        <v>3</v>
      </c>
    </row>
    <row r="68" customFormat="false" ht="15" hidden="false" customHeight="true" outlineLevel="0" collapsed="false">
      <c r="A68" s="9" t="s">
        <v>137</v>
      </c>
      <c r="B68" s="10" t="str">
        <f aca="false">INDEX(Bases!$B$5:$B$83,$T68)</f>
        <v>Guerrier</v>
      </c>
      <c r="C68" s="10" t="str">
        <f aca="false">INDEX(Bases!$E$5:$E$83,$T68)</f>
        <v>Attaque (arme 1)</v>
      </c>
      <c r="D68" s="10" t="str">
        <f aca="false">INDEX(Bases!$F$5:$F$83,$T68)</f>
        <v>Attaque</v>
      </c>
      <c r="E68" s="11" t="str">
        <f aca="false">INDEX(Bases!$C$5:$C$83,$T68)</f>
        <v>Exécution</v>
      </c>
      <c r="F68" s="10" t="str">
        <f aca="false">INDEX(Éléments!$A$5:$A$14,$U68)</f>
        <v>Vent</v>
      </c>
      <c r="G68" s="12" t="str">
        <f aca="false">IF(OR($F68="Neutre",$C68="Passif"),$E68,INDEX(Bases!$D$5:$D$83,$T68)&amp;" "&amp;INDEX(Éléments!$D$5:$D$14,$U68))</f>
        <v>Exécution de vent</v>
      </c>
      <c r="H68" s="10" t="str">
        <f aca="false">INDEX(Bases!$G$5:$G$83,$T68)</f>
        <v>Mono</v>
      </c>
      <c r="I68" s="13" t="n">
        <f aca="false">INDEX(Bases!$H$5:$H$83,$T68)</f>
        <v>3</v>
      </c>
      <c r="J68" s="10" t="str">
        <f aca="false">INDEX(Bases!$I$5:$I$83,$T68)</f>
        <v>Oui</v>
      </c>
      <c r="K68" s="14" t="n">
        <f aca="false">INDEX(Bases!$J$5:$J$83,$T68)</f>
        <v>3</v>
      </c>
      <c r="L68" s="10" t="str">
        <f aca="false">INDEX(Bases!$K$5:$K$83,$T68)</f>
        <v>Force</v>
      </c>
      <c r="M68" s="11" t="str">
        <f aca="false">INDEX(Bases!$L$5:$L$83,$T68)</f>
        <v>+50 % de dégâts si la cible a moins de 30 % de ses PV.</v>
      </c>
      <c r="N68" s="11" t="str">
        <f aca="false">IF($C68="Passif","—",IF($C68="Attaque (arme 1)",INDEX(Éléments!$F$5:$F$14,$U68),INDEX(Éléments!$G$5:$G$14,$U68)))</f>
        <v>+10 % de chance de critique ; 30 % : Désorienté (−15 % Précision, 2 tours).</v>
      </c>
      <c r="O68" s="10" t="str">
        <f aca="false">INDEX(Bases!$M$5:$M$83,$T68)</f>
        <v>Active</v>
      </c>
      <c r="P68" s="13" t="n">
        <f aca="false">INDEX(Bases!$N$5:$N$83,$T68)</f>
        <v>30</v>
      </c>
      <c r="Q68" s="15" t="n">
        <f aca="false">INDEX(Éléments!$C$5:$C$14,$U68)</f>
        <v>40</v>
      </c>
      <c r="R68" s="11" t="str">
        <f aca="false">"Niv. "&amp;$P68&amp;IF($Q68&gt;0," · étage "&amp;$Q68&amp;" terminé","")</f>
        <v>Niv. 30 · étage 40 terminé</v>
      </c>
      <c r="S68" s="14" t="n">
        <f aca="false">IF(ISNUMBER($I68),$K68*IF($H68="Zone",Paramètres!$B$8,1)/MAX(1,$I68),0)</f>
        <v>1</v>
      </c>
      <c r="T68" s="16" t="n">
        <v>7</v>
      </c>
      <c r="U68" s="16" t="n">
        <v>4</v>
      </c>
    </row>
    <row r="69" customFormat="false" ht="15" hidden="false" customHeight="true" outlineLevel="0" collapsed="false">
      <c r="A69" s="9" t="s">
        <v>138</v>
      </c>
      <c r="B69" s="10" t="str">
        <f aca="false">INDEX(Bases!$B$5:$B$83,$T69)</f>
        <v>Guerrier</v>
      </c>
      <c r="C69" s="10" t="str">
        <f aca="false">INDEX(Bases!$E$5:$E$83,$T69)</f>
        <v>Attaque (arme 1)</v>
      </c>
      <c r="D69" s="10" t="str">
        <f aca="false">INDEX(Bases!$F$5:$F$83,$T69)</f>
        <v>Attaque</v>
      </c>
      <c r="E69" s="11" t="str">
        <f aca="false">INDEX(Bases!$C$5:$C$83,$T69)</f>
        <v>Exécution</v>
      </c>
      <c r="F69" s="10" t="str">
        <f aca="false">INDEX(Éléments!$A$5:$A$14,$U69)</f>
        <v>Acide</v>
      </c>
      <c r="G69" s="12" t="str">
        <f aca="false">IF(OR($F69="Neutre",$C69="Passif"),$E69,INDEX(Bases!$D$5:$D$83,$T69)&amp;" "&amp;INDEX(Éléments!$D$5:$D$14,$U69))</f>
        <v>Exécution d'acide</v>
      </c>
      <c r="H69" s="10" t="str">
        <f aca="false">INDEX(Bases!$G$5:$G$83,$T69)</f>
        <v>Mono</v>
      </c>
      <c r="I69" s="13" t="n">
        <f aca="false">INDEX(Bases!$H$5:$H$83,$T69)</f>
        <v>3</v>
      </c>
      <c r="J69" s="10" t="str">
        <f aca="false">INDEX(Bases!$I$5:$I$83,$T69)</f>
        <v>Oui</v>
      </c>
      <c r="K69" s="14" t="n">
        <f aca="false">INDEX(Bases!$J$5:$J$83,$T69)</f>
        <v>3</v>
      </c>
      <c r="L69" s="10" t="str">
        <f aca="false">INDEX(Bases!$K$5:$K$83,$T69)</f>
        <v>Force</v>
      </c>
      <c r="M69" s="11" t="str">
        <f aca="false">INDEX(Bases!$L$5:$L$83,$T69)</f>
        <v>+50 % de dégâts si la cible a moins de 30 % de ses PV.</v>
      </c>
      <c r="N69" s="11" t="str">
        <f aca="false">IF($C69="Passif","—",IF($C69="Attaque (arme 1)",INDEX(Éléments!$F$5:$F$14,$U69),INDEX(Éléments!$G$5:$G$14,$U69)))</f>
        <v>50 % : 1 pile de Corrosion (−5 % Armure par pile, 4 piles max, 3 tours).</v>
      </c>
      <c r="O69" s="10" t="str">
        <f aca="false">INDEX(Bases!$M$5:$M$83,$T69)</f>
        <v>Active</v>
      </c>
      <c r="P69" s="13" t="n">
        <f aca="false">INDEX(Bases!$N$5:$N$83,$T69)</f>
        <v>30</v>
      </c>
      <c r="Q69" s="15" t="n">
        <f aca="false">INDEX(Éléments!$C$5:$C$14,$U69)</f>
        <v>50</v>
      </c>
      <c r="R69" s="11" t="str">
        <f aca="false">"Niv. "&amp;$P69&amp;IF($Q69&gt;0," · étage "&amp;$Q69&amp;" terminé","")</f>
        <v>Niv. 30 · étage 50 terminé</v>
      </c>
      <c r="S69" s="14" t="n">
        <f aca="false">IF(ISNUMBER($I69),$K69*IF($H69="Zone",Paramètres!$B$8,1)/MAX(1,$I69),0)</f>
        <v>1</v>
      </c>
      <c r="T69" s="16" t="n">
        <v>7</v>
      </c>
      <c r="U69" s="16" t="n">
        <v>5</v>
      </c>
    </row>
    <row r="70" customFormat="false" ht="15" hidden="false" customHeight="true" outlineLevel="0" collapsed="false">
      <c r="A70" s="9" t="s">
        <v>139</v>
      </c>
      <c r="B70" s="10" t="str">
        <f aca="false">INDEX(Bases!$B$5:$B$83,$T70)</f>
        <v>Guerrier</v>
      </c>
      <c r="C70" s="10" t="str">
        <f aca="false">INDEX(Bases!$E$5:$E$83,$T70)</f>
        <v>Attaque (arme 1)</v>
      </c>
      <c r="D70" s="10" t="str">
        <f aca="false">INDEX(Bases!$F$5:$F$83,$T70)</f>
        <v>Attaque</v>
      </c>
      <c r="E70" s="11" t="str">
        <f aca="false">INDEX(Bases!$C$5:$C$83,$T70)</f>
        <v>Exécution</v>
      </c>
      <c r="F70" s="10" t="str">
        <f aca="false">INDEX(Éléments!$A$5:$A$14,$U70)</f>
        <v>Eau</v>
      </c>
      <c r="G70" s="12" t="str">
        <f aca="false">IF(OR($F70="Neutre",$C70="Passif"),$E70,INDEX(Bases!$D$5:$D$83,$T70)&amp;" "&amp;INDEX(Éléments!$D$5:$D$14,$U70))</f>
        <v>Exécution d'eau</v>
      </c>
      <c r="H70" s="10" t="str">
        <f aca="false">INDEX(Bases!$G$5:$G$83,$T70)</f>
        <v>Mono</v>
      </c>
      <c r="I70" s="13" t="n">
        <f aca="false">INDEX(Bases!$H$5:$H$83,$T70)</f>
        <v>3</v>
      </c>
      <c r="J70" s="10" t="str">
        <f aca="false">INDEX(Bases!$I$5:$I$83,$T70)</f>
        <v>Oui</v>
      </c>
      <c r="K70" s="14" t="n">
        <f aca="false">INDEX(Bases!$J$5:$J$83,$T70)</f>
        <v>3</v>
      </c>
      <c r="L70" s="10" t="str">
        <f aca="false">INDEX(Bases!$K$5:$K$83,$T70)</f>
        <v>Force</v>
      </c>
      <c r="M70" s="11" t="str">
        <f aca="false">INDEX(Bases!$L$5:$L$83,$T70)</f>
        <v>+50 % de dégâts si la cible a moins de 30 % de ses PV.</v>
      </c>
      <c r="N70" s="11" t="str">
        <f aca="false">IF($C70="Passif","—",IF($C70="Attaque (arme 1)",INDEX(Éléments!$F$5:$F$14,$U70),INDEX(Éléments!$G$5:$G$14,$U70)))</f>
        <v>50 % : Mouillé (+25 % de dégâts d'Électricité subis, retire Brûlure, 3 tours).</v>
      </c>
      <c r="O70" s="10" t="str">
        <f aca="false">INDEX(Bases!$M$5:$M$83,$T70)</f>
        <v>Active</v>
      </c>
      <c r="P70" s="13" t="n">
        <f aca="false">INDEX(Bases!$N$5:$N$83,$T70)</f>
        <v>30</v>
      </c>
      <c r="Q70" s="15" t="n">
        <f aca="false">INDEX(Éléments!$C$5:$C$14,$U70)</f>
        <v>60</v>
      </c>
      <c r="R70" s="11" t="str">
        <f aca="false">"Niv. "&amp;$P70&amp;IF($Q70&gt;0," · étage "&amp;$Q70&amp;" terminé","")</f>
        <v>Niv. 30 · étage 60 terminé</v>
      </c>
      <c r="S70" s="14" t="n">
        <f aca="false">IF(ISNUMBER($I70),$K70*IF($H70="Zone",Paramètres!$B$8,1)/MAX(1,$I70),0)</f>
        <v>1</v>
      </c>
      <c r="T70" s="16" t="n">
        <v>7</v>
      </c>
      <c r="U70" s="16" t="n">
        <v>6</v>
      </c>
    </row>
    <row r="71" customFormat="false" ht="15" hidden="false" customHeight="true" outlineLevel="0" collapsed="false">
      <c r="A71" s="9" t="s">
        <v>140</v>
      </c>
      <c r="B71" s="10" t="str">
        <f aca="false">INDEX(Bases!$B$5:$B$83,$T71)</f>
        <v>Guerrier</v>
      </c>
      <c r="C71" s="10" t="str">
        <f aca="false">INDEX(Bases!$E$5:$E$83,$T71)</f>
        <v>Attaque (arme 1)</v>
      </c>
      <c r="D71" s="10" t="str">
        <f aca="false">INDEX(Bases!$F$5:$F$83,$T71)</f>
        <v>Attaque</v>
      </c>
      <c r="E71" s="11" t="str">
        <f aca="false">INDEX(Bases!$C$5:$C$83,$T71)</f>
        <v>Exécution</v>
      </c>
      <c r="F71" s="10" t="str">
        <f aca="false">INDEX(Éléments!$A$5:$A$14,$U71)</f>
        <v>Glace</v>
      </c>
      <c r="G71" s="12" t="str">
        <f aca="false">IF(OR($F71="Neutre",$C71="Passif"),$E71,INDEX(Bases!$D$5:$D$83,$T71)&amp;" "&amp;INDEX(Éléments!$D$5:$D$14,$U71))</f>
        <v>Exécution de glace</v>
      </c>
      <c r="H71" s="10" t="str">
        <f aca="false">INDEX(Bases!$G$5:$G$83,$T71)</f>
        <v>Mono</v>
      </c>
      <c r="I71" s="13" t="n">
        <f aca="false">INDEX(Bases!$H$5:$H$83,$T71)</f>
        <v>3</v>
      </c>
      <c r="J71" s="10" t="str">
        <f aca="false">INDEX(Bases!$I$5:$I$83,$T71)</f>
        <v>Oui</v>
      </c>
      <c r="K71" s="14" t="n">
        <f aca="false">INDEX(Bases!$J$5:$J$83,$T71)</f>
        <v>3</v>
      </c>
      <c r="L71" s="10" t="str">
        <f aca="false">INDEX(Bases!$K$5:$K$83,$T71)</f>
        <v>Force</v>
      </c>
      <c r="M71" s="11" t="str">
        <f aca="false">INDEX(Bases!$L$5:$L$83,$T71)</f>
        <v>+50 % de dégâts si la cible a moins de 30 % de ses PV.</v>
      </c>
      <c r="N71" s="11" t="str">
        <f aca="false">IF($C71="Passif","—",IF($C71="Attaque (arme 1)",INDEX(Éléments!$F$5:$F$14,$U71),INDEX(Éléments!$G$5:$G$14,$U71)))</f>
        <v>40 % : 1 pile de Froid (−8 % Agilité ; à 3 piles : Gel, la cible perd 1 tour).</v>
      </c>
      <c r="O71" s="10" t="str">
        <f aca="false">INDEX(Bases!$M$5:$M$83,$T71)</f>
        <v>Active</v>
      </c>
      <c r="P71" s="13" t="n">
        <f aca="false">INDEX(Bases!$N$5:$N$83,$T71)</f>
        <v>30</v>
      </c>
      <c r="Q71" s="15" t="n">
        <f aca="false">INDEX(Éléments!$C$5:$C$14,$U71)</f>
        <v>70</v>
      </c>
      <c r="R71" s="11" t="str">
        <f aca="false">"Niv. "&amp;$P71&amp;IF($Q71&gt;0," · étage "&amp;$Q71&amp;" terminé","")</f>
        <v>Niv. 30 · étage 70 terminé</v>
      </c>
      <c r="S71" s="14" t="n">
        <f aca="false">IF(ISNUMBER($I71),$K71*IF($H71="Zone",Paramètres!$B$8,1)/MAX(1,$I71),0)</f>
        <v>1</v>
      </c>
      <c r="T71" s="16" t="n">
        <v>7</v>
      </c>
      <c r="U71" s="16" t="n">
        <v>7</v>
      </c>
    </row>
    <row r="72" customFormat="false" ht="15" hidden="false" customHeight="true" outlineLevel="0" collapsed="false">
      <c r="A72" s="9" t="s">
        <v>141</v>
      </c>
      <c r="B72" s="10" t="str">
        <f aca="false">INDEX(Bases!$B$5:$B$83,$T72)</f>
        <v>Guerrier</v>
      </c>
      <c r="C72" s="10" t="str">
        <f aca="false">INDEX(Bases!$E$5:$E$83,$T72)</f>
        <v>Attaque (arme 1)</v>
      </c>
      <c r="D72" s="10" t="str">
        <f aca="false">INDEX(Bases!$F$5:$F$83,$T72)</f>
        <v>Attaque</v>
      </c>
      <c r="E72" s="11" t="str">
        <f aca="false">INDEX(Bases!$C$5:$C$83,$T72)</f>
        <v>Exécution</v>
      </c>
      <c r="F72" s="10" t="str">
        <f aca="false">INDEX(Éléments!$A$5:$A$14,$U72)</f>
        <v>Électricité</v>
      </c>
      <c r="G72" s="12" t="str">
        <f aca="false">IF(OR($F72="Neutre",$C72="Passif"),$E72,INDEX(Bases!$D$5:$D$83,$T72)&amp;" "&amp;INDEX(Éléments!$D$5:$D$14,$U72))</f>
        <v>Exécution de foudre</v>
      </c>
      <c r="H72" s="10" t="str">
        <f aca="false">INDEX(Bases!$G$5:$G$83,$T72)</f>
        <v>Mono</v>
      </c>
      <c r="I72" s="13" t="n">
        <f aca="false">INDEX(Bases!$H$5:$H$83,$T72)</f>
        <v>3</v>
      </c>
      <c r="J72" s="10" t="str">
        <f aca="false">INDEX(Bases!$I$5:$I$83,$T72)</f>
        <v>Oui</v>
      </c>
      <c r="K72" s="14" t="n">
        <f aca="false">INDEX(Bases!$J$5:$J$83,$T72)</f>
        <v>3</v>
      </c>
      <c r="L72" s="10" t="str">
        <f aca="false">INDEX(Bases!$K$5:$K$83,$T72)</f>
        <v>Force</v>
      </c>
      <c r="M72" s="11" t="str">
        <f aca="false">INDEX(Bases!$L$5:$L$83,$T72)</f>
        <v>+50 % de dégâts si la cible a moins de 30 % de ses PV.</v>
      </c>
      <c r="N72" s="11" t="str">
        <f aca="false">IF($C72="Passif","—",IF($C72="Attaque (arme 1)",INDEX(Éléments!$F$5:$F$14,$U72),INDEX(Éléments!$G$5:$G$14,$U72)))</f>
        <v>Rebondit sur 1 autre ennemi (40 % des dégâts) ; 10 % : Étourdissement (1 tour).</v>
      </c>
      <c r="O72" s="10" t="str">
        <f aca="false">INDEX(Bases!$M$5:$M$83,$T72)</f>
        <v>Active</v>
      </c>
      <c r="P72" s="13" t="n">
        <f aca="false">INDEX(Bases!$N$5:$N$83,$T72)</f>
        <v>30</v>
      </c>
      <c r="Q72" s="15" t="n">
        <f aca="false">INDEX(Éléments!$C$5:$C$14,$U72)</f>
        <v>80</v>
      </c>
      <c r="R72" s="11" t="str">
        <f aca="false">"Niv. "&amp;$P72&amp;IF($Q72&gt;0," · étage "&amp;$Q72&amp;" terminé","")</f>
        <v>Niv. 30 · étage 80 terminé</v>
      </c>
      <c r="S72" s="14" t="n">
        <f aca="false">IF(ISNUMBER($I72),$K72*IF($H72="Zone",Paramètres!$B$8,1)/MAX(1,$I72),0)</f>
        <v>1</v>
      </c>
      <c r="T72" s="16" t="n">
        <v>7</v>
      </c>
      <c r="U72" s="16" t="n">
        <v>8</v>
      </c>
    </row>
    <row r="73" customFormat="false" ht="15" hidden="false" customHeight="true" outlineLevel="0" collapsed="false">
      <c r="A73" s="9" t="s">
        <v>142</v>
      </c>
      <c r="B73" s="10" t="str">
        <f aca="false">INDEX(Bases!$B$5:$B$83,$T73)</f>
        <v>Guerrier</v>
      </c>
      <c r="C73" s="10" t="str">
        <f aca="false">INDEX(Bases!$E$5:$E$83,$T73)</f>
        <v>Attaque (arme 1)</v>
      </c>
      <c r="D73" s="10" t="str">
        <f aca="false">INDEX(Bases!$F$5:$F$83,$T73)</f>
        <v>Attaque</v>
      </c>
      <c r="E73" s="11" t="str">
        <f aca="false">INDEX(Bases!$C$5:$C$83,$T73)</f>
        <v>Exécution</v>
      </c>
      <c r="F73" s="10" t="str">
        <f aca="false">INDEX(Éléments!$A$5:$A$14,$U73)</f>
        <v>Lumière</v>
      </c>
      <c r="G73" s="12" t="str">
        <f aca="false">IF(OR($F73="Neutre",$C73="Passif"),$E73,INDEX(Bases!$D$5:$D$83,$T73)&amp;" "&amp;INDEX(Éléments!$D$5:$D$14,$U73))</f>
        <v>Exécution de lumière</v>
      </c>
      <c r="H73" s="10" t="str">
        <f aca="false">INDEX(Bases!$G$5:$G$83,$T73)</f>
        <v>Mono</v>
      </c>
      <c r="I73" s="13" t="n">
        <f aca="false">INDEX(Bases!$H$5:$H$83,$T73)</f>
        <v>3</v>
      </c>
      <c r="J73" s="10" t="str">
        <f aca="false">INDEX(Bases!$I$5:$I$83,$T73)</f>
        <v>Oui</v>
      </c>
      <c r="K73" s="14" t="n">
        <f aca="false">INDEX(Bases!$J$5:$J$83,$T73)</f>
        <v>3</v>
      </c>
      <c r="L73" s="10" t="str">
        <f aca="false">INDEX(Bases!$K$5:$K$83,$T73)</f>
        <v>Force</v>
      </c>
      <c r="M73" s="11" t="str">
        <f aca="false">INDEX(Bases!$L$5:$L$83,$T73)</f>
        <v>+50 % de dégâts si la cible a moins de 30 % de ses PV.</v>
      </c>
      <c r="N73" s="11" t="str">
        <f aca="false">IF($C73="Passif","—",IF($C73="Attaque (arme 1)",INDEX(Éléments!$F$5:$F$14,$U73),INDEX(Éléments!$G$5:$G$14,$U73)))</f>
        <v>Soigne le lanceur de 5 % des dégâts infligés ; 25 % : Éblouissement (−20 % chance de critique, 2 tours).</v>
      </c>
      <c r="O73" s="10" t="str">
        <f aca="false">INDEX(Bases!$M$5:$M$83,$T73)</f>
        <v>Active</v>
      </c>
      <c r="P73" s="13" t="n">
        <f aca="false">INDEX(Bases!$N$5:$N$83,$T73)</f>
        <v>30</v>
      </c>
      <c r="Q73" s="15" t="n">
        <f aca="false">INDEX(Éléments!$C$5:$C$14,$U73)</f>
        <v>90</v>
      </c>
      <c r="R73" s="11" t="str">
        <f aca="false">"Niv. "&amp;$P73&amp;IF($Q73&gt;0," · étage "&amp;$Q73&amp;" terminé","")</f>
        <v>Niv. 30 · étage 90 terminé</v>
      </c>
      <c r="S73" s="14" t="n">
        <f aca="false">IF(ISNUMBER($I73),$K73*IF($H73="Zone",Paramètres!$B$8,1)/MAX(1,$I73),0)</f>
        <v>1</v>
      </c>
      <c r="T73" s="16" t="n">
        <v>7</v>
      </c>
      <c r="U73" s="16" t="n">
        <v>9</v>
      </c>
    </row>
    <row r="74" customFormat="false" ht="15" hidden="false" customHeight="true" outlineLevel="0" collapsed="false">
      <c r="A74" s="9" t="s">
        <v>143</v>
      </c>
      <c r="B74" s="10" t="str">
        <f aca="false">INDEX(Bases!$B$5:$B$83,$T74)</f>
        <v>Guerrier</v>
      </c>
      <c r="C74" s="10" t="str">
        <f aca="false">INDEX(Bases!$E$5:$E$83,$T74)</f>
        <v>Attaque (arme 1)</v>
      </c>
      <c r="D74" s="10" t="str">
        <f aca="false">INDEX(Bases!$F$5:$F$83,$T74)</f>
        <v>Attaque</v>
      </c>
      <c r="E74" s="11" t="str">
        <f aca="false">INDEX(Bases!$C$5:$C$83,$T74)</f>
        <v>Exécution</v>
      </c>
      <c r="F74" s="10" t="str">
        <f aca="false">INDEX(Éléments!$A$5:$A$14,$U74)</f>
        <v>Ombre</v>
      </c>
      <c r="G74" s="12" t="str">
        <f aca="false">IF(OR($F74="Neutre",$C74="Passif"),$E74,INDEX(Bases!$D$5:$D$83,$T74)&amp;" "&amp;INDEX(Éléments!$D$5:$D$14,$U74))</f>
        <v>Exécution d'ombre</v>
      </c>
      <c r="H74" s="10" t="str">
        <f aca="false">INDEX(Bases!$G$5:$G$83,$T74)</f>
        <v>Mono</v>
      </c>
      <c r="I74" s="13" t="n">
        <f aca="false">INDEX(Bases!$H$5:$H$83,$T74)</f>
        <v>3</v>
      </c>
      <c r="J74" s="10" t="str">
        <f aca="false">INDEX(Bases!$I$5:$I$83,$T74)</f>
        <v>Oui</v>
      </c>
      <c r="K74" s="14" t="n">
        <f aca="false">INDEX(Bases!$J$5:$J$83,$T74)</f>
        <v>3</v>
      </c>
      <c r="L74" s="10" t="str">
        <f aca="false">INDEX(Bases!$K$5:$K$83,$T74)</f>
        <v>Force</v>
      </c>
      <c r="M74" s="11" t="str">
        <f aca="false">INDEX(Bases!$L$5:$L$83,$T74)</f>
        <v>+50 % de dégâts si la cible a moins de 30 % de ses PV.</v>
      </c>
      <c r="N74" s="11" t="str">
        <f aca="false">IF($C74="Passif","—",IF($C74="Attaque (arme 1)",INDEX(Éléments!$F$5:$F$14,$U74),INDEX(Éléments!$G$5:$G$14,$U74)))</f>
        <v>Vol de vie 5 % ; 30 % : Corruption (+10 % de dégâts subis, 2 tours).</v>
      </c>
      <c r="O74" s="10" t="str">
        <f aca="false">INDEX(Bases!$M$5:$M$83,$T74)</f>
        <v>Active</v>
      </c>
      <c r="P74" s="13" t="n">
        <f aca="false">INDEX(Bases!$N$5:$N$83,$T74)</f>
        <v>30</v>
      </c>
      <c r="Q74" s="15" t="n">
        <f aca="false">INDEX(Éléments!$C$5:$C$14,$U74)</f>
        <v>100</v>
      </c>
      <c r="R74" s="11" t="str">
        <f aca="false">"Niv. "&amp;$P74&amp;IF($Q74&gt;0," · étage "&amp;$Q74&amp;" terminé","")</f>
        <v>Niv. 30 · étage 100 terminé</v>
      </c>
      <c r="S74" s="14" t="n">
        <f aca="false">IF(ISNUMBER($I74),$K74*IF($H74="Zone",Paramètres!$B$8,1)/MAX(1,$I74),0)</f>
        <v>1</v>
      </c>
      <c r="T74" s="16" t="n">
        <v>7</v>
      </c>
      <c r="U74" s="16" t="n">
        <v>10</v>
      </c>
    </row>
    <row r="75" customFormat="false" ht="15" hidden="false" customHeight="true" outlineLevel="0" collapsed="false">
      <c r="A75" s="9" t="s">
        <v>144</v>
      </c>
      <c r="B75" s="10" t="str">
        <f aca="false">INDEX(Bases!$B$5:$B$83,$T75)</f>
        <v>Guerrier</v>
      </c>
      <c r="C75" s="10" t="str">
        <f aca="false">INDEX(Bases!$E$5:$E$83,$T75)</f>
        <v>Attaque (arme 1)</v>
      </c>
      <c r="D75" s="10" t="str">
        <f aca="false">INDEX(Bases!$F$5:$F$83,$T75)</f>
        <v>Attaque</v>
      </c>
      <c r="E75" s="11" t="str">
        <f aca="false">INDEX(Bases!$C$5:$C$83,$T75)</f>
        <v>Onde de choc</v>
      </c>
      <c r="F75" s="10" t="str">
        <f aca="false">INDEX(Éléments!$A$5:$A$14,$U75)</f>
        <v>Neutre</v>
      </c>
      <c r="G75" s="12" t="str">
        <f aca="false">IF(OR($F75="Neutre",$C75="Passif"),$E75,INDEX(Bases!$D$5:$D$83,$T75)&amp;" "&amp;INDEX(Éléments!$D$5:$D$14,$U75))</f>
        <v>Onde de choc</v>
      </c>
      <c r="H75" s="10" t="str">
        <f aca="false">INDEX(Bases!$G$5:$G$83,$T75)</f>
        <v>Zone</v>
      </c>
      <c r="I75" s="13" t="n">
        <f aca="false">INDEX(Bases!$H$5:$H$83,$T75)</f>
        <v>3</v>
      </c>
      <c r="J75" s="10" t="str">
        <f aca="false">INDEX(Bases!$I$5:$I$83,$T75)</f>
        <v>Oui</v>
      </c>
      <c r="K75" s="14" t="n">
        <f aca="false">INDEX(Bases!$J$5:$J$83,$T75)</f>
        <v>1.6</v>
      </c>
      <c r="L75" s="10" t="str">
        <f aca="false">INDEX(Bases!$K$5:$K$83,$T75)</f>
        <v>Force</v>
      </c>
      <c r="M75" s="11" t="str">
        <f aca="false">INDEX(Bases!$L$5:$L$83,$T75)</f>
        <v>Frappe toute la vague ; 20 % : Assommé.</v>
      </c>
      <c r="N75" s="11" t="str">
        <f aca="false">IF($C75="Passif","—",IF($C75="Attaque (arme 1)",INDEX(Éléments!$F$5:$F$14,$U75),INDEX(Éléments!$G$5:$G$14,$U75)))</f>
        <v>Aucune altération ; ignore 10 % de la Résistance de la cible. Fiable contre tous les biomes.</v>
      </c>
      <c r="O75" s="10" t="str">
        <f aca="false">INDEX(Bases!$M$5:$M$83,$T75)</f>
        <v>Active</v>
      </c>
      <c r="P75" s="13" t="n">
        <f aca="false">INDEX(Bases!$N$5:$N$83,$T75)</f>
        <v>60</v>
      </c>
      <c r="Q75" s="15" t="n">
        <f aca="false">INDEX(Éléments!$C$5:$C$14,$U75)</f>
        <v>0</v>
      </c>
      <c r="R75" s="11" t="str">
        <f aca="false">"Niv. "&amp;$P75&amp;IF($Q75&gt;0," · étage "&amp;$Q75&amp;" terminé","")</f>
        <v>Niv. 60</v>
      </c>
      <c r="S75" s="14" t="n">
        <f aca="false">IF(ISNUMBER($I75),$K75*IF($H75="Zone",Paramètres!$B$8,1)/MAX(1,$I75),0)</f>
        <v>1.6</v>
      </c>
      <c r="T75" s="16" t="n">
        <v>8</v>
      </c>
      <c r="U75" s="16" t="n">
        <v>1</v>
      </c>
    </row>
    <row r="76" customFormat="false" ht="15" hidden="false" customHeight="true" outlineLevel="0" collapsed="false">
      <c r="A76" s="9" t="s">
        <v>145</v>
      </c>
      <c r="B76" s="10" t="str">
        <f aca="false">INDEX(Bases!$B$5:$B$83,$T76)</f>
        <v>Guerrier</v>
      </c>
      <c r="C76" s="10" t="str">
        <f aca="false">INDEX(Bases!$E$5:$E$83,$T76)</f>
        <v>Attaque (arme 1)</v>
      </c>
      <c r="D76" s="10" t="str">
        <f aca="false">INDEX(Bases!$F$5:$F$83,$T76)</f>
        <v>Attaque</v>
      </c>
      <c r="E76" s="11" t="str">
        <f aca="false">INDEX(Bases!$C$5:$C$83,$T76)</f>
        <v>Onde de choc</v>
      </c>
      <c r="F76" s="10" t="str">
        <f aca="false">INDEX(Éléments!$A$5:$A$14,$U76)</f>
        <v>Terre</v>
      </c>
      <c r="G76" s="12" t="str">
        <f aca="false">IF(OR($F76="Neutre",$C76="Passif"),$E76,INDEX(Bases!$D$5:$D$83,$T76)&amp;" "&amp;INDEX(Éléments!$D$5:$D$14,$U76))</f>
        <v>Onde de choc de pierre</v>
      </c>
      <c r="H76" s="10" t="str">
        <f aca="false">INDEX(Bases!$G$5:$G$83,$T76)</f>
        <v>Zone</v>
      </c>
      <c r="I76" s="13" t="n">
        <f aca="false">INDEX(Bases!$H$5:$H$83,$T76)</f>
        <v>3</v>
      </c>
      <c r="J76" s="10" t="str">
        <f aca="false">INDEX(Bases!$I$5:$I$83,$T76)</f>
        <v>Oui</v>
      </c>
      <c r="K76" s="14" t="n">
        <f aca="false">INDEX(Bases!$J$5:$J$83,$T76)</f>
        <v>1.6</v>
      </c>
      <c r="L76" s="10" t="str">
        <f aca="false">INDEX(Bases!$K$5:$K$83,$T76)</f>
        <v>Force</v>
      </c>
      <c r="M76" s="11" t="str">
        <f aca="false">INDEX(Bases!$L$5:$L$83,$T76)</f>
        <v>Frappe toute la vague ; 20 % : Assommé.</v>
      </c>
      <c r="N76" s="11" t="str">
        <f aca="false">IF($C76="Passif","—",IF($C76="Attaque (arme 1)",INDEX(Éléments!$F$5:$F$14,$U76),INDEX(Éléments!$G$5:$G$14,$U76)))</f>
        <v>30 % : Garde brisée (−15 % Résistance, 2 tours).</v>
      </c>
      <c r="O76" s="10" t="str">
        <f aca="false">INDEX(Bases!$M$5:$M$83,$T76)</f>
        <v>Active</v>
      </c>
      <c r="P76" s="13" t="n">
        <f aca="false">INDEX(Bases!$N$5:$N$83,$T76)</f>
        <v>60</v>
      </c>
      <c r="Q76" s="15" t="n">
        <f aca="false">INDEX(Éléments!$C$5:$C$14,$U76)</f>
        <v>20</v>
      </c>
      <c r="R76" s="11" t="str">
        <f aca="false">"Niv. "&amp;$P76&amp;IF($Q76&gt;0," · étage "&amp;$Q76&amp;" terminé","")</f>
        <v>Niv. 60 · étage 20 terminé</v>
      </c>
      <c r="S76" s="14" t="n">
        <f aca="false">IF(ISNUMBER($I76),$K76*IF($H76="Zone",Paramètres!$B$8,1)/MAX(1,$I76),0)</f>
        <v>1.6</v>
      </c>
      <c r="T76" s="16" t="n">
        <v>8</v>
      </c>
      <c r="U76" s="16" t="n">
        <v>2</v>
      </c>
    </row>
    <row r="77" customFormat="false" ht="15" hidden="false" customHeight="true" outlineLevel="0" collapsed="false">
      <c r="A77" s="9" t="s">
        <v>146</v>
      </c>
      <c r="B77" s="10" t="str">
        <f aca="false">INDEX(Bases!$B$5:$B$83,$T77)</f>
        <v>Guerrier</v>
      </c>
      <c r="C77" s="10" t="str">
        <f aca="false">INDEX(Bases!$E$5:$E$83,$T77)</f>
        <v>Attaque (arme 1)</v>
      </c>
      <c r="D77" s="10" t="str">
        <f aca="false">INDEX(Bases!$F$5:$F$83,$T77)</f>
        <v>Attaque</v>
      </c>
      <c r="E77" s="11" t="str">
        <f aca="false">INDEX(Bases!$C$5:$C$83,$T77)</f>
        <v>Onde de choc</v>
      </c>
      <c r="F77" s="10" t="str">
        <f aca="false">INDEX(Éléments!$A$5:$A$14,$U77)</f>
        <v>Feu</v>
      </c>
      <c r="G77" s="12" t="str">
        <f aca="false">IF(OR($F77="Neutre",$C77="Passif"),$E77,INDEX(Bases!$D$5:$D$83,$T77)&amp;" "&amp;INDEX(Éléments!$D$5:$D$14,$U77))</f>
        <v>Onde de choc de feu</v>
      </c>
      <c r="H77" s="10" t="str">
        <f aca="false">INDEX(Bases!$G$5:$G$83,$T77)</f>
        <v>Zone</v>
      </c>
      <c r="I77" s="13" t="n">
        <f aca="false">INDEX(Bases!$H$5:$H$83,$T77)</f>
        <v>3</v>
      </c>
      <c r="J77" s="10" t="str">
        <f aca="false">INDEX(Bases!$I$5:$I$83,$T77)</f>
        <v>Oui</v>
      </c>
      <c r="K77" s="14" t="n">
        <f aca="false">INDEX(Bases!$J$5:$J$83,$T77)</f>
        <v>1.6</v>
      </c>
      <c r="L77" s="10" t="str">
        <f aca="false">INDEX(Bases!$K$5:$K$83,$T77)</f>
        <v>Force</v>
      </c>
      <c r="M77" s="11" t="str">
        <f aca="false">INDEX(Bases!$L$5:$L$83,$T77)</f>
        <v>Frappe toute la vague ; 20 % : Assommé.</v>
      </c>
      <c r="N77" s="11" t="str">
        <f aca="false">IF($C77="Passif","—",IF($C77="Attaque (arme 1)",INDEX(Éléments!$F$5:$F$14,$U77),INDEX(Éléments!$G$5:$G$14,$U77)))</f>
        <v>35 % : Brûlure (8 % de la stat d'attaque par tour, 3 tours, non cumulable).</v>
      </c>
      <c r="O77" s="10" t="str">
        <f aca="false">INDEX(Bases!$M$5:$M$83,$T77)</f>
        <v>Active</v>
      </c>
      <c r="P77" s="13" t="n">
        <f aca="false">INDEX(Bases!$N$5:$N$83,$T77)</f>
        <v>60</v>
      </c>
      <c r="Q77" s="15" t="n">
        <f aca="false">INDEX(Éléments!$C$5:$C$14,$U77)</f>
        <v>30</v>
      </c>
      <c r="R77" s="11" t="str">
        <f aca="false">"Niv. "&amp;$P77&amp;IF($Q77&gt;0," · étage "&amp;$Q77&amp;" terminé","")</f>
        <v>Niv. 60 · étage 30 terminé</v>
      </c>
      <c r="S77" s="14" t="n">
        <f aca="false">IF(ISNUMBER($I77),$K77*IF($H77="Zone",Paramètres!$B$8,1)/MAX(1,$I77),0)</f>
        <v>1.6</v>
      </c>
      <c r="T77" s="16" t="n">
        <v>8</v>
      </c>
      <c r="U77" s="16" t="n">
        <v>3</v>
      </c>
    </row>
    <row r="78" customFormat="false" ht="15" hidden="false" customHeight="true" outlineLevel="0" collapsed="false">
      <c r="A78" s="9" t="s">
        <v>147</v>
      </c>
      <c r="B78" s="10" t="str">
        <f aca="false">INDEX(Bases!$B$5:$B$83,$T78)</f>
        <v>Guerrier</v>
      </c>
      <c r="C78" s="10" t="str">
        <f aca="false">INDEX(Bases!$E$5:$E$83,$T78)</f>
        <v>Attaque (arme 1)</v>
      </c>
      <c r="D78" s="10" t="str">
        <f aca="false">INDEX(Bases!$F$5:$F$83,$T78)</f>
        <v>Attaque</v>
      </c>
      <c r="E78" s="11" t="str">
        <f aca="false">INDEX(Bases!$C$5:$C$83,$T78)</f>
        <v>Onde de choc</v>
      </c>
      <c r="F78" s="10" t="str">
        <f aca="false">INDEX(Éléments!$A$5:$A$14,$U78)</f>
        <v>Vent</v>
      </c>
      <c r="G78" s="12" t="str">
        <f aca="false">IF(OR($F78="Neutre",$C78="Passif"),$E78,INDEX(Bases!$D$5:$D$83,$T78)&amp;" "&amp;INDEX(Éléments!$D$5:$D$14,$U78))</f>
        <v>Onde de choc de vent</v>
      </c>
      <c r="H78" s="10" t="str">
        <f aca="false">INDEX(Bases!$G$5:$G$83,$T78)</f>
        <v>Zone</v>
      </c>
      <c r="I78" s="13" t="n">
        <f aca="false">INDEX(Bases!$H$5:$H$83,$T78)</f>
        <v>3</v>
      </c>
      <c r="J78" s="10" t="str">
        <f aca="false">INDEX(Bases!$I$5:$I$83,$T78)</f>
        <v>Oui</v>
      </c>
      <c r="K78" s="14" t="n">
        <f aca="false">INDEX(Bases!$J$5:$J$83,$T78)</f>
        <v>1.6</v>
      </c>
      <c r="L78" s="10" t="str">
        <f aca="false">INDEX(Bases!$K$5:$K$83,$T78)</f>
        <v>Force</v>
      </c>
      <c r="M78" s="11" t="str">
        <f aca="false">INDEX(Bases!$L$5:$L$83,$T78)</f>
        <v>Frappe toute la vague ; 20 % : Assommé.</v>
      </c>
      <c r="N78" s="11" t="str">
        <f aca="false">IF($C78="Passif","—",IF($C78="Attaque (arme 1)",INDEX(Éléments!$F$5:$F$14,$U78),INDEX(Éléments!$G$5:$G$14,$U78)))</f>
        <v>+10 % de chance de critique ; 30 % : Désorienté (−15 % Précision, 2 tours).</v>
      </c>
      <c r="O78" s="10" t="str">
        <f aca="false">INDEX(Bases!$M$5:$M$83,$T78)</f>
        <v>Active</v>
      </c>
      <c r="P78" s="13" t="n">
        <f aca="false">INDEX(Bases!$N$5:$N$83,$T78)</f>
        <v>60</v>
      </c>
      <c r="Q78" s="15" t="n">
        <f aca="false">INDEX(Éléments!$C$5:$C$14,$U78)</f>
        <v>40</v>
      </c>
      <c r="R78" s="11" t="str">
        <f aca="false">"Niv. "&amp;$P78&amp;IF($Q78&gt;0," · étage "&amp;$Q78&amp;" terminé","")</f>
        <v>Niv. 60 · étage 40 terminé</v>
      </c>
      <c r="S78" s="14" t="n">
        <f aca="false">IF(ISNUMBER($I78),$K78*IF($H78="Zone",Paramètres!$B$8,1)/MAX(1,$I78),0)</f>
        <v>1.6</v>
      </c>
      <c r="T78" s="16" t="n">
        <v>8</v>
      </c>
      <c r="U78" s="16" t="n">
        <v>4</v>
      </c>
    </row>
    <row r="79" customFormat="false" ht="15" hidden="false" customHeight="true" outlineLevel="0" collapsed="false">
      <c r="A79" s="9" t="s">
        <v>148</v>
      </c>
      <c r="B79" s="10" t="str">
        <f aca="false">INDEX(Bases!$B$5:$B$83,$T79)</f>
        <v>Guerrier</v>
      </c>
      <c r="C79" s="10" t="str">
        <f aca="false">INDEX(Bases!$E$5:$E$83,$T79)</f>
        <v>Attaque (arme 1)</v>
      </c>
      <c r="D79" s="10" t="str">
        <f aca="false">INDEX(Bases!$F$5:$F$83,$T79)</f>
        <v>Attaque</v>
      </c>
      <c r="E79" s="11" t="str">
        <f aca="false">INDEX(Bases!$C$5:$C$83,$T79)</f>
        <v>Onde de choc</v>
      </c>
      <c r="F79" s="10" t="str">
        <f aca="false">INDEX(Éléments!$A$5:$A$14,$U79)</f>
        <v>Acide</v>
      </c>
      <c r="G79" s="12" t="str">
        <f aca="false">IF(OR($F79="Neutre",$C79="Passif"),$E79,INDEX(Bases!$D$5:$D$83,$T79)&amp;" "&amp;INDEX(Éléments!$D$5:$D$14,$U79))</f>
        <v>Onde de choc d'acide</v>
      </c>
      <c r="H79" s="10" t="str">
        <f aca="false">INDEX(Bases!$G$5:$G$83,$T79)</f>
        <v>Zone</v>
      </c>
      <c r="I79" s="13" t="n">
        <f aca="false">INDEX(Bases!$H$5:$H$83,$T79)</f>
        <v>3</v>
      </c>
      <c r="J79" s="10" t="str">
        <f aca="false">INDEX(Bases!$I$5:$I$83,$T79)</f>
        <v>Oui</v>
      </c>
      <c r="K79" s="14" t="n">
        <f aca="false">INDEX(Bases!$J$5:$J$83,$T79)</f>
        <v>1.6</v>
      </c>
      <c r="L79" s="10" t="str">
        <f aca="false">INDEX(Bases!$K$5:$K$83,$T79)</f>
        <v>Force</v>
      </c>
      <c r="M79" s="11" t="str">
        <f aca="false">INDEX(Bases!$L$5:$L$83,$T79)</f>
        <v>Frappe toute la vague ; 20 % : Assommé.</v>
      </c>
      <c r="N79" s="11" t="str">
        <f aca="false">IF($C79="Passif","—",IF($C79="Attaque (arme 1)",INDEX(Éléments!$F$5:$F$14,$U79),INDEX(Éléments!$G$5:$G$14,$U79)))</f>
        <v>50 % : 1 pile de Corrosion (−5 % Armure par pile, 4 piles max, 3 tours).</v>
      </c>
      <c r="O79" s="10" t="str">
        <f aca="false">INDEX(Bases!$M$5:$M$83,$T79)</f>
        <v>Active</v>
      </c>
      <c r="P79" s="13" t="n">
        <f aca="false">INDEX(Bases!$N$5:$N$83,$T79)</f>
        <v>60</v>
      </c>
      <c r="Q79" s="15" t="n">
        <f aca="false">INDEX(Éléments!$C$5:$C$14,$U79)</f>
        <v>50</v>
      </c>
      <c r="R79" s="11" t="str">
        <f aca="false">"Niv. "&amp;$P79&amp;IF($Q79&gt;0," · étage "&amp;$Q79&amp;" terminé","")</f>
        <v>Niv. 60 · étage 50 terminé</v>
      </c>
      <c r="S79" s="14" t="n">
        <f aca="false">IF(ISNUMBER($I79),$K79*IF($H79="Zone",Paramètres!$B$8,1)/MAX(1,$I79),0)</f>
        <v>1.6</v>
      </c>
      <c r="T79" s="16" t="n">
        <v>8</v>
      </c>
      <c r="U79" s="16" t="n">
        <v>5</v>
      </c>
    </row>
    <row r="80" customFormat="false" ht="15" hidden="false" customHeight="true" outlineLevel="0" collapsed="false">
      <c r="A80" s="9" t="s">
        <v>149</v>
      </c>
      <c r="B80" s="10" t="str">
        <f aca="false">INDEX(Bases!$B$5:$B$83,$T80)</f>
        <v>Guerrier</v>
      </c>
      <c r="C80" s="10" t="str">
        <f aca="false">INDEX(Bases!$E$5:$E$83,$T80)</f>
        <v>Attaque (arme 1)</v>
      </c>
      <c r="D80" s="10" t="str">
        <f aca="false">INDEX(Bases!$F$5:$F$83,$T80)</f>
        <v>Attaque</v>
      </c>
      <c r="E80" s="11" t="str">
        <f aca="false">INDEX(Bases!$C$5:$C$83,$T80)</f>
        <v>Onde de choc</v>
      </c>
      <c r="F80" s="10" t="str">
        <f aca="false">INDEX(Éléments!$A$5:$A$14,$U80)</f>
        <v>Eau</v>
      </c>
      <c r="G80" s="12" t="str">
        <f aca="false">IF(OR($F80="Neutre",$C80="Passif"),$E80,INDEX(Bases!$D$5:$D$83,$T80)&amp;" "&amp;INDEX(Éléments!$D$5:$D$14,$U80))</f>
        <v>Onde de choc d'eau</v>
      </c>
      <c r="H80" s="10" t="str">
        <f aca="false">INDEX(Bases!$G$5:$G$83,$T80)</f>
        <v>Zone</v>
      </c>
      <c r="I80" s="13" t="n">
        <f aca="false">INDEX(Bases!$H$5:$H$83,$T80)</f>
        <v>3</v>
      </c>
      <c r="J80" s="10" t="str">
        <f aca="false">INDEX(Bases!$I$5:$I$83,$T80)</f>
        <v>Oui</v>
      </c>
      <c r="K80" s="14" t="n">
        <f aca="false">INDEX(Bases!$J$5:$J$83,$T80)</f>
        <v>1.6</v>
      </c>
      <c r="L80" s="10" t="str">
        <f aca="false">INDEX(Bases!$K$5:$K$83,$T80)</f>
        <v>Force</v>
      </c>
      <c r="M80" s="11" t="str">
        <f aca="false">INDEX(Bases!$L$5:$L$83,$T80)</f>
        <v>Frappe toute la vague ; 20 % : Assommé.</v>
      </c>
      <c r="N80" s="11" t="str">
        <f aca="false">IF($C80="Passif","—",IF($C80="Attaque (arme 1)",INDEX(Éléments!$F$5:$F$14,$U80),INDEX(Éléments!$G$5:$G$14,$U80)))</f>
        <v>50 % : Mouillé (+25 % de dégâts d'Électricité subis, retire Brûlure, 3 tours).</v>
      </c>
      <c r="O80" s="10" t="str">
        <f aca="false">INDEX(Bases!$M$5:$M$83,$T80)</f>
        <v>Active</v>
      </c>
      <c r="P80" s="13" t="n">
        <f aca="false">INDEX(Bases!$N$5:$N$83,$T80)</f>
        <v>60</v>
      </c>
      <c r="Q80" s="15" t="n">
        <f aca="false">INDEX(Éléments!$C$5:$C$14,$U80)</f>
        <v>60</v>
      </c>
      <c r="R80" s="11" t="str">
        <f aca="false">"Niv. "&amp;$P80&amp;IF($Q80&gt;0," · étage "&amp;$Q80&amp;" terminé","")</f>
        <v>Niv. 60 · étage 60 terminé</v>
      </c>
      <c r="S80" s="14" t="n">
        <f aca="false">IF(ISNUMBER($I80),$K80*IF($H80="Zone",Paramètres!$B$8,1)/MAX(1,$I80),0)</f>
        <v>1.6</v>
      </c>
      <c r="T80" s="16" t="n">
        <v>8</v>
      </c>
      <c r="U80" s="16" t="n">
        <v>6</v>
      </c>
    </row>
    <row r="81" customFormat="false" ht="15" hidden="false" customHeight="true" outlineLevel="0" collapsed="false">
      <c r="A81" s="9" t="s">
        <v>150</v>
      </c>
      <c r="B81" s="10" t="str">
        <f aca="false">INDEX(Bases!$B$5:$B$83,$T81)</f>
        <v>Guerrier</v>
      </c>
      <c r="C81" s="10" t="str">
        <f aca="false">INDEX(Bases!$E$5:$E$83,$T81)</f>
        <v>Attaque (arme 1)</v>
      </c>
      <c r="D81" s="10" t="str">
        <f aca="false">INDEX(Bases!$F$5:$F$83,$T81)</f>
        <v>Attaque</v>
      </c>
      <c r="E81" s="11" t="str">
        <f aca="false">INDEX(Bases!$C$5:$C$83,$T81)</f>
        <v>Onde de choc</v>
      </c>
      <c r="F81" s="10" t="str">
        <f aca="false">INDEX(Éléments!$A$5:$A$14,$U81)</f>
        <v>Glace</v>
      </c>
      <c r="G81" s="12" t="str">
        <f aca="false">IF(OR($F81="Neutre",$C81="Passif"),$E81,INDEX(Bases!$D$5:$D$83,$T81)&amp;" "&amp;INDEX(Éléments!$D$5:$D$14,$U81))</f>
        <v>Onde de choc de glace</v>
      </c>
      <c r="H81" s="10" t="str">
        <f aca="false">INDEX(Bases!$G$5:$G$83,$T81)</f>
        <v>Zone</v>
      </c>
      <c r="I81" s="13" t="n">
        <f aca="false">INDEX(Bases!$H$5:$H$83,$T81)</f>
        <v>3</v>
      </c>
      <c r="J81" s="10" t="str">
        <f aca="false">INDEX(Bases!$I$5:$I$83,$T81)</f>
        <v>Oui</v>
      </c>
      <c r="K81" s="14" t="n">
        <f aca="false">INDEX(Bases!$J$5:$J$83,$T81)</f>
        <v>1.6</v>
      </c>
      <c r="L81" s="10" t="str">
        <f aca="false">INDEX(Bases!$K$5:$K$83,$T81)</f>
        <v>Force</v>
      </c>
      <c r="M81" s="11" t="str">
        <f aca="false">INDEX(Bases!$L$5:$L$83,$T81)</f>
        <v>Frappe toute la vague ; 20 % : Assommé.</v>
      </c>
      <c r="N81" s="11" t="str">
        <f aca="false">IF($C81="Passif","—",IF($C81="Attaque (arme 1)",INDEX(Éléments!$F$5:$F$14,$U81),INDEX(Éléments!$G$5:$G$14,$U81)))</f>
        <v>40 % : 1 pile de Froid (−8 % Agilité ; à 3 piles : Gel, la cible perd 1 tour).</v>
      </c>
      <c r="O81" s="10" t="str">
        <f aca="false">INDEX(Bases!$M$5:$M$83,$T81)</f>
        <v>Active</v>
      </c>
      <c r="P81" s="13" t="n">
        <f aca="false">INDEX(Bases!$N$5:$N$83,$T81)</f>
        <v>60</v>
      </c>
      <c r="Q81" s="15" t="n">
        <f aca="false">INDEX(Éléments!$C$5:$C$14,$U81)</f>
        <v>70</v>
      </c>
      <c r="R81" s="11" t="str">
        <f aca="false">"Niv. "&amp;$P81&amp;IF($Q81&gt;0," · étage "&amp;$Q81&amp;" terminé","")</f>
        <v>Niv. 60 · étage 70 terminé</v>
      </c>
      <c r="S81" s="14" t="n">
        <f aca="false">IF(ISNUMBER($I81),$K81*IF($H81="Zone",Paramètres!$B$8,1)/MAX(1,$I81),0)</f>
        <v>1.6</v>
      </c>
      <c r="T81" s="16" t="n">
        <v>8</v>
      </c>
      <c r="U81" s="16" t="n">
        <v>7</v>
      </c>
    </row>
    <row r="82" customFormat="false" ht="15" hidden="false" customHeight="true" outlineLevel="0" collapsed="false">
      <c r="A82" s="9" t="s">
        <v>151</v>
      </c>
      <c r="B82" s="10" t="str">
        <f aca="false">INDEX(Bases!$B$5:$B$83,$T82)</f>
        <v>Guerrier</v>
      </c>
      <c r="C82" s="10" t="str">
        <f aca="false">INDEX(Bases!$E$5:$E$83,$T82)</f>
        <v>Attaque (arme 1)</v>
      </c>
      <c r="D82" s="10" t="str">
        <f aca="false">INDEX(Bases!$F$5:$F$83,$T82)</f>
        <v>Attaque</v>
      </c>
      <c r="E82" s="11" t="str">
        <f aca="false">INDEX(Bases!$C$5:$C$83,$T82)</f>
        <v>Onde de choc</v>
      </c>
      <c r="F82" s="10" t="str">
        <f aca="false">INDEX(Éléments!$A$5:$A$14,$U82)</f>
        <v>Électricité</v>
      </c>
      <c r="G82" s="12" t="str">
        <f aca="false">IF(OR($F82="Neutre",$C82="Passif"),$E82,INDEX(Bases!$D$5:$D$83,$T82)&amp;" "&amp;INDEX(Éléments!$D$5:$D$14,$U82))</f>
        <v>Onde de choc de foudre</v>
      </c>
      <c r="H82" s="10" t="str">
        <f aca="false">INDEX(Bases!$G$5:$G$83,$T82)</f>
        <v>Zone</v>
      </c>
      <c r="I82" s="13" t="n">
        <f aca="false">INDEX(Bases!$H$5:$H$83,$T82)</f>
        <v>3</v>
      </c>
      <c r="J82" s="10" t="str">
        <f aca="false">INDEX(Bases!$I$5:$I$83,$T82)</f>
        <v>Oui</v>
      </c>
      <c r="K82" s="14" t="n">
        <f aca="false">INDEX(Bases!$J$5:$J$83,$T82)</f>
        <v>1.6</v>
      </c>
      <c r="L82" s="10" t="str">
        <f aca="false">INDEX(Bases!$K$5:$K$83,$T82)</f>
        <v>Force</v>
      </c>
      <c r="M82" s="11" t="str">
        <f aca="false">INDEX(Bases!$L$5:$L$83,$T82)</f>
        <v>Frappe toute la vague ; 20 % : Assommé.</v>
      </c>
      <c r="N82" s="11" t="str">
        <f aca="false">IF($C82="Passif","—",IF($C82="Attaque (arme 1)",INDEX(Éléments!$F$5:$F$14,$U82),INDEX(Éléments!$G$5:$G$14,$U82)))</f>
        <v>Rebondit sur 1 autre ennemi (40 % des dégâts) ; 10 % : Étourdissement (1 tour).</v>
      </c>
      <c r="O82" s="10" t="str">
        <f aca="false">INDEX(Bases!$M$5:$M$83,$T82)</f>
        <v>Active</v>
      </c>
      <c r="P82" s="13" t="n">
        <f aca="false">INDEX(Bases!$N$5:$N$83,$T82)</f>
        <v>60</v>
      </c>
      <c r="Q82" s="15" t="n">
        <f aca="false">INDEX(Éléments!$C$5:$C$14,$U82)</f>
        <v>80</v>
      </c>
      <c r="R82" s="11" t="str">
        <f aca="false">"Niv. "&amp;$P82&amp;IF($Q82&gt;0," · étage "&amp;$Q82&amp;" terminé","")</f>
        <v>Niv. 60 · étage 80 terminé</v>
      </c>
      <c r="S82" s="14" t="n">
        <f aca="false">IF(ISNUMBER($I82),$K82*IF($H82="Zone",Paramètres!$B$8,1)/MAX(1,$I82),0)</f>
        <v>1.6</v>
      </c>
      <c r="T82" s="16" t="n">
        <v>8</v>
      </c>
      <c r="U82" s="16" t="n">
        <v>8</v>
      </c>
    </row>
    <row r="83" customFormat="false" ht="15" hidden="false" customHeight="true" outlineLevel="0" collapsed="false">
      <c r="A83" s="9" t="s">
        <v>152</v>
      </c>
      <c r="B83" s="10" t="str">
        <f aca="false">INDEX(Bases!$B$5:$B$83,$T83)</f>
        <v>Guerrier</v>
      </c>
      <c r="C83" s="10" t="str">
        <f aca="false">INDEX(Bases!$E$5:$E$83,$T83)</f>
        <v>Attaque (arme 1)</v>
      </c>
      <c r="D83" s="10" t="str">
        <f aca="false">INDEX(Bases!$F$5:$F$83,$T83)</f>
        <v>Attaque</v>
      </c>
      <c r="E83" s="11" t="str">
        <f aca="false">INDEX(Bases!$C$5:$C$83,$T83)</f>
        <v>Onde de choc</v>
      </c>
      <c r="F83" s="10" t="str">
        <f aca="false">INDEX(Éléments!$A$5:$A$14,$U83)</f>
        <v>Lumière</v>
      </c>
      <c r="G83" s="12" t="str">
        <f aca="false">IF(OR($F83="Neutre",$C83="Passif"),$E83,INDEX(Bases!$D$5:$D$83,$T83)&amp;" "&amp;INDEX(Éléments!$D$5:$D$14,$U83))</f>
        <v>Onde de choc de lumière</v>
      </c>
      <c r="H83" s="10" t="str">
        <f aca="false">INDEX(Bases!$G$5:$G$83,$T83)</f>
        <v>Zone</v>
      </c>
      <c r="I83" s="13" t="n">
        <f aca="false">INDEX(Bases!$H$5:$H$83,$T83)</f>
        <v>3</v>
      </c>
      <c r="J83" s="10" t="str">
        <f aca="false">INDEX(Bases!$I$5:$I$83,$T83)</f>
        <v>Oui</v>
      </c>
      <c r="K83" s="14" t="n">
        <f aca="false">INDEX(Bases!$J$5:$J$83,$T83)</f>
        <v>1.6</v>
      </c>
      <c r="L83" s="10" t="str">
        <f aca="false">INDEX(Bases!$K$5:$K$83,$T83)</f>
        <v>Force</v>
      </c>
      <c r="M83" s="11" t="str">
        <f aca="false">INDEX(Bases!$L$5:$L$83,$T83)</f>
        <v>Frappe toute la vague ; 20 % : Assommé.</v>
      </c>
      <c r="N83" s="11" t="str">
        <f aca="false">IF($C83="Passif","—",IF($C83="Attaque (arme 1)",INDEX(Éléments!$F$5:$F$14,$U83),INDEX(Éléments!$G$5:$G$14,$U83)))</f>
        <v>Soigne le lanceur de 5 % des dégâts infligés ; 25 % : Éblouissement (−20 % chance de critique, 2 tours).</v>
      </c>
      <c r="O83" s="10" t="str">
        <f aca="false">INDEX(Bases!$M$5:$M$83,$T83)</f>
        <v>Active</v>
      </c>
      <c r="P83" s="13" t="n">
        <f aca="false">INDEX(Bases!$N$5:$N$83,$T83)</f>
        <v>60</v>
      </c>
      <c r="Q83" s="15" t="n">
        <f aca="false">INDEX(Éléments!$C$5:$C$14,$U83)</f>
        <v>90</v>
      </c>
      <c r="R83" s="11" t="str">
        <f aca="false">"Niv. "&amp;$P83&amp;IF($Q83&gt;0," · étage "&amp;$Q83&amp;" terminé","")</f>
        <v>Niv. 60 · étage 90 terminé</v>
      </c>
      <c r="S83" s="14" t="n">
        <f aca="false">IF(ISNUMBER($I83),$K83*IF($H83="Zone",Paramètres!$B$8,1)/MAX(1,$I83),0)</f>
        <v>1.6</v>
      </c>
      <c r="T83" s="16" t="n">
        <v>8</v>
      </c>
      <c r="U83" s="16" t="n">
        <v>9</v>
      </c>
    </row>
    <row r="84" customFormat="false" ht="15" hidden="false" customHeight="true" outlineLevel="0" collapsed="false">
      <c r="A84" s="9" t="s">
        <v>153</v>
      </c>
      <c r="B84" s="10" t="str">
        <f aca="false">INDEX(Bases!$B$5:$B$83,$T84)</f>
        <v>Guerrier</v>
      </c>
      <c r="C84" s="10" t="str">
        <f aca="false">INDEX(Bases!$E$5:$E$83,$T84)</f>
        <v>Attaque (arme 1)</v>
      </c>
      <c r="D84" s="10" t="str">
        <f aca="false">INDEX(Bases!$F$5:$F$83,$T84)</f>
        <v>Attaque</v>
      </c>
      <c r="E84" s="11" t="str">
        <f aca="false">INDEX(Bases!$C$5:$C$83,$T84)</f>
        <v>Onde de choc</v>
      </c>
      <c r="F84" s="10" t="str">
        <f aca="false">INDEX(Éléments!$A$5:$A$14,$U84)</f>
        <v>Ombre</v>
      </c>
      <c r="G84" s="12" t="str">
        <f aca="false">IF(OR($F84="Neutre",$C84="Passif"),$E84,INDEX(Bases!$D$5:$D$83,$T84)&amp;" "&amp;INDEX(Éléments!$D$5:$D$14,$U84))</f>
        <v>Onde de choc d'ombre</v>
      </c>
      <c r="H84" s="10" t="str">
        <f aca="false">INDEX(Bases!$G$5:$G$83,$T84)</f>
        <v>Zone</v>
      </c>
      <c r="I84" s="13" t="n">
        <f aca="false">INDEX(Bases!$H$5:$H$83,$T84)</f>
        <v>3</v>
      </c>
      <c r="J84" s="10" t="str">
        <f aca="false">INDEX(Bases!$I$5:$I$83,$T84)</f>
        <v>Oui</v>
      </c>
      <c r="K84" s="14" t="n">
        <f aca="false">INDEX(Bases!$J$5:$J$83,$T84)</f>
        <v>1.6</v>
      </c>
      <c r="L84" s="10" t="str">
        <f aca="false">INDEX(Bases!$K$5:$K$83,$T84)</f>
        <v>Force</v>
      </c>
      <c r="M84" s="11" t="str">
        <f aca="false">INDEX(Bases!$L$5:$L$83,$T84)</f>
        <v>Frappe toute la vague ; 20 % : Assommé.</v>
      </c>
      <c r="N84" s="11" t="str">
        <f aca="false">IF($C84="Passif","—",IF($C84="Attaque (arme 1)",INDEX(Éléments!$F$5:$F$14,$U84),INDEX(Éléments!$G$5:$G$14,$U84)))</f>
        <v>Vol de vie 5 % ; 30 % : Corruption (+10 % de dégâts subis, 2 tours).</v>
      </c>
      <c r="O84" s="10" t="str">
        <f aca="false">INDEX(Bases!$M$5:$M$83,$T84)</f>
        <v>Active</v>
      </c>
      <c r="P84" s="13" t="n">
        <f aca="false">INDEX(Bases!$N$5:$N$83,$T84)</f>
        <v>60</v>
      </c>
      <c r="Q84" s="15" t="n">
        <f aca="false">INDEX(Éléments!$C$5:$C$14,$U84)</f>
        <v>100</v>
      </c>
      <c r="R84" s="11" t="str">
        <f aca="false">"Niv. "&amp;$P84&amp;IF($Q84&gt;0," · étage "&amp;$Q84&amp;" terminé","")</f>
        <v>Niv. 60 · étage 100 terminé</v>
      </c>
      <c r="S84" s="14" t="n">
        <f aca="false">IF(ISNUMBER($I84),$K84*IF($H84="Zone",Paramètres!$B$8,1)/MAX(1,$I84),0)</f>
        <v>1.6</v>
      </c>
      <c r="T84" s="16" t="n">
        <v>8</v>
      </c>
      <c r="U84" s="16" t="n">
        <v>10</v>
      </c>
    </row>
    <row r="85" customFormat="false" ht="15" hidden="false" customHeight="true" outlineLevel="0" collapsed="false">
      <c r="A85" s="9" t="s">
        <v>154</v>
      </c>
      <c r="B85" s="10" t="str">
        <f aca="false">INDEX(Bases!$B$5:$B$83,$T85)</f>
        <v>Guerrier</v>
      </c>
      <c r="C85" s="10" t="str">
        <f aca="false">INDEX(Bases!$E$5:$E$83,$T85)</f>
        <v>Soutien (arme 2)</v>
      </c>
      <c r="D85" s="10" t="str">
        <f aca="false">INDEX(Bases!$F$5:$F$83,$T85)</f>
        <v>Buff</v>
      </c>
      <c r="E85" s="11" t="str">
        <f aca="false">INDEX(Bases!$C$5:$C$83,$T85)</f>
        <v>Garde</v>
      </c>
      <c r="F85" s="10" t="str">
        <f aca="false">INDEX(Éléments!$A$5:$A$14,$U85)</f>
        <v>Neutre</v>
      </c>
      <c r="G85" s="12" t="str">
        <f aca="false">IF(OR($F85="Neutre",$C85="Passif"),$E85,INDEX(Bases!$D$5:$D$83,$T85)&amp;" "&amp;INDEX(Éléments!$D$5:$D$14,$U85))</f>
        <v>Garde</v>
      </c>
      <c r="H85" s="10" t="str">
        <f aca="false">INDEX(Bases!$G$5:$G$83,$T85)</f>
        <v>Soi</v>
      </c>
      <c r="I85" s="13" t="n">
        <f aca="false">INDEX(Bases!$H$5:$H$83,$T85)</f>
        <v>2</v>
      </c>
      <c r="J85" s="10" t="str">
        <f aca="false">INDEX(Bases!$I$5:$I$83,$T85)</f>
        <v>Non</v>
      </c>
      <c r="K85" s="14" t="n">
        <f aca="false">INDEX(Bases!$J$5:$J$83,$T85)</f>
        <v>0</v>
      </c>
      <c r="L85" s="10" t="str">
        <f aca="false">INDEX(Bases!$K$5:$K$83,$T85)</f>
        <v>Force</v>
      </c>
      <c r="M85" s="11" t="str">
        <f aca="false">INDEX(Bases!$L$5:$L$83,$T85)</f>
        <v>+30 % de Résistance pendant 2 tours.</v>
      </c>
      <c r="N85" s="11" t="str">
        <f aca="false">IF($C85="Passif","—",IF($C85="Attaque (arme 1)",INDEX(Éléments!$F$5:$F$14,$U85),INDEX(Éléments!$G$5:$G$14,$U85)))</f>
        <v>Aucun bonus élémentaire : effet de base seul.</v>
      </c>
      <c r="O85" s="10" t="str">
        <f aca="false">INDEX(Bases!$M$5:$M$83,$T85)</f>
        <v>Active</v>
      </c>
      <c r="P85" s="13" t="n">
        <f aca="false">INDEX(Bases!$N$5:$N$83,$T85)</f>
        <v>5</v>
      </c>
      <c r="Q85" s="15" t="n">
        <f aca="false">INDEX(Éléments!$C$5:$C$14,$U85)</f>
        <v>0</v>
      </c>
      <c r="R85" s="11" t="str">
        <f aca="false">"Niv. "&amp;$P85&amp;IF($Q85&gt;0," · étage "&amp;$Q85&amp;" terminé","")</f>
        <v>Niv. 5</v>
      </c>
      <c r="S85" s="14" t="n">
        <f aca="false">IF(ISNUMBER($I85),$K85*IF($H85="Zone",Paramètres!$B$8,1)/MAX(1,$I85),0)</f>
        <v>0</v>
      </c>
      <c r="T85" s="16" t="n">
        <v>9</v>
      </c>
      <c r="U85" s="16" t="n">
        <v>1</v>
      </c>
    </row>
    <row r="86" customFormat="false" ht="15" hidden="false" customHeight="true" outlineLevel="0" collapsed="false">
      <c r="A86" s="9" t="s">
        <v>155</v>
      </c>
      <c r="B86" s="10" t="str">
        <f aca="false">INDEX(Bases!$B$5:$B$83,$T86)</f>
        <v>Guerrier</v>
      </c>
      <c r="C86" s="10" t="str">
        <f aca="false">INDEX(Bases!$E$5:$E$83,$T86)</f>
        <v>Soutien (arme 2)</v>
      </c>
      <c r="D86" s="10" t="str">
        <f aca="false">INDEX(Bases!$F$5:$F$83,$T86)</f>
        <v>Buff</v>
      </c>
      <c r="E86" s="11" t="str">
        <f aca="false">INDEX(Bases!$C$5:$C$83,$T86)</f>
        <v>Garde</v>
      </c>
      <c r="F86" s="10" t="str">
        <f aca="false">INDEX(Éléments!$A$5:$A$14,$U86)</f>
        <v>Terre</v>
      </c>
      <c r="G86" s="12" t="str">
        <f aca="false">IF(OR($F86="Neutre",$C86="Passif"),$E86,INDEX(Bases!$D$5:$D$83,$T86)&amp;" "&amp;INDEX(Éléments!$D$5:$D$14,$U86))</f>
        <v>Garde de pierre</v>
      </c>
      <c r="H86" s="10" t="str">
        <f aca="false">INDEX(Bases!$G$5:$G$83,$T86)</f>
        <v>Soi</v>
      </c>
      <c r="I86" s="13" t="n">
        <f aca="false">INDEX(Bases!$H$5:$H$83,$T86)</f>
        <v>2</v>
      </c>
      <c r="J86" s="10" t="str">
        <f aca="false">INDEX(Bases!$I$5:$I$83,$T86)</f>
        <v>Non</v>
      </c>
      <c r="K86" s="14" t="n">
        <f aca="false">INDEX(Bases!$J$5:$J$83,$T86)</f>
        <v>0</v>
      </c>
      <c r="L86" s="10" t="str">
        <f aca="false">INDEX(Bases!$K$5:$K$83,$T86)</f>
        <v>Force</v>
      </c>
      <c r="M86" s="11" t="str">
        <f aca="false">INDEX(Bases!$L$5:$L$83,$T86)</f>
        <v>+30 % de Résistance pendant 2 tours.</v>
      </c>
      <c r="N86" s="11" t="str">
        <f aca="false">IF($C86="Passif","—",IF($C86="Attaque (arme 1)",INDEX(Éléments!$F$5:$F$14,$U86),INDEX(Éléments!$G$5:$G$14,$U86)))</f>
        <v>+15 % d'Armure pendant la durée de l'effet.</v>
      </c>
      <c r="O86" s="10" t="str">
        <f aca="false">INDEX(Bases!$M$5:$M$83,$T86)</f>
        <v>Active</v>
      </c>
      <c r="P86" s="13" t="n">
        <f aca="false">INDEX(Bases!$N$5:$N$83,$T86)</f>
        <v>5</v>
      </c>
      <c r="Q86" s="15" t="n">
        <f aca="false">INDEX(Éléments!$C$5:$C$14,$U86)</f>
        <v>20</v>
      </c>
      <c r="R86" s="11" t="str">
        <f aca="false">"Niv. "&amp;$P86&amp;IF($Q86&gt;0," · étage "&amp;$Q86&amp;" terminé","")</f>
        <v>Niv. 5 · étage 20 terminé</v>
      </c>
      <c r="S86" s="14" t="n">
        <f aca="false">IF(ISNUMBER($I86),$K86*IF($H86="Zone",Paramètres!$B$8,1)/MAX(1,$I86),0)</f>
        <v>0</v>
      </c>
      <c r="T86" s="16" t="n">
        <v>9</v>
      </c>
      <c r="U86" s="16" t="n">
        <v>2</v>
      </c>
    </row>
    <row r="87" customFormat="false" ht="15" hidden="false" customHeight="true" outlineLevel="0" collapsed="false">
      <c r="A87" s="9" t="s">
        <v>156</v>
      </c>
      <c r="B87" s="10" t="str">
        <f aca="false">INDEX(Bases!$B$5:$B$83,$T87)</f>
        <v>Guerrier</v>
      </c>
      <c r="C87" s="10" t="str">
        <f aca="false">INDEX(Bases!$E$5:$E$83,$T87)</f>
        <v>Soutien (arme 2)</v>
      </c>
      <c r="D87" s="10" t="str">
        <f aca="false">INDEX(Bases!$F$5:$F$83,$T87)</f>
        <v>Buff</v>
      </c>
      <c r="E87" s="11" t="str">
        <f aca="false">INDEX(Bases!$C$5:$C$83,$T87)</f>
        <v>Garde</v>
      </c>
      <c r="F87" s="10" t="str">
        <f aca="false">INDEX(Éléments!$A$5:$A$14,$U87)</f>
        <v>Feu</v>
      </c>
      <c r="G87" s="12" t="str">
        <f aca="false">IF(OR($F87="Neutre",$C87="Passif"),$E87,INDEX(Bases!$D$5:$D$83,$T87)&amp;" "&amp;INDEX(Éléments!$D$5:$D$14,$U87))</f>
        <v>Garde de feu</v>
      </c>
      <c r="H87" s="10" t="str">
        <f aca="false">INDEX(Bases!$G$5:$G$83,$T87)</f>
        <v>Soi</v>
      </c>
      <c r="I87" s="13" t="n">
        <f aca="false">INDEX(Bases!$H$5:$H$83,$T87)</f>
        <v>2</v>
      </c>
      <c r="J87" s="10" t="str">
        <f aca="false">INDEX(Bases!$I$5:$I$83,$T87)</f>
        <v>Non</v>
      </c>
      <c r="K87" s="14" t="n">
        <f aca="false">INDEX(Bases!$J$5:$J$83,$T87)</f>
        <v>0</v>
      </c>
      <c r="L87" s="10" t="str">
        <f aca="false">INDEX(Bases!$K$5:$K$83,$T87)</f>
        <v>Force</v>
      </c>
      <c r="M87" s="11" t="str">
        <f aca="false">INDEX(Bases!$L$5:$L$83,$T87)</f>
        <v>+30 % de Résistance pendant 2 tours.</v>
      </c>
      <c r="N87" s="11" t="str">
        <f aca="false">IF($C87="Passif","—",IF($C87="Attaque (arme 1)",INDEX(Éléments!$F$5:$F$14,$U87),INDEX(Éléments!$G$5:$G$14,$U87)))</f>
        <v>Les ennemis qui frappent le lanceur ont 40 % de subir Brûlure (pendant la durée).</v>
      </c>
      <c r="O87" s="10" t="str">
        <f aca="false">INDEX(Bases!$M$5:$M$83,$T87)</f>
        <v>Active</v>
      </c>
      <c r="P87" s="13" t="n">
        <f aca="false">INDEX(Bases!$N$5:$N$83,$T87)</f>
        <v>5</v>
      </c>
      <c r="Q87" s="15" t="n">
        <f aca="false">INDEX(Éléments!$C$5:$C$14,$U87)</f>
        <v>30</v>
      </c>
      <c r="R87" s="11" t="str">
        <f aca="false">"Niv. "&amp;$P87&amp;IF($Q87&gt;0," · étage "&amp;$Q87&amp;" terminé","")</f>
        <v>Niv. 5 · étage 30 terminé</v>
      </c>
      <c r="S87" s="14" t="n">
        <f aca="false">IF(ISNUMBER($I87),$K87*IF($H87="Zone",Paramètres!$B$8,1)/MAX(1,$I87),0)</f>
        <v>0</v>
      </c>
      <c r="T87" s="16" t="n">
        <v>9</v>
      </c>
      <c r="U87" s="16" t="n">
        <v>3</v>
      </c>
    </row>
    <row r="88" customFormat="false" ht="15" hidden="false" customHeight="true" outlineLevel="0" collapsed="false">
      <c r="A88" s="9" t="s">
        <v>157</v>
      </c>
      <c r="B88" s="10" t="str">
        <f aca="false">INDEX(Bases!$B$5:$B$83,$T88)</f>
        <v>Guerrier</v>
      </c>
      <c r="C88" s="10" t="str">
        <f aca="false">INDEX(Bases!$E$5:$E$83,$T88)</f>
        <v>Soutien (arme 2)</v>
      </c>
      <c r="D88" s="10" t="str">
        <f aca="false">INDEX(Bases!$F$5:$F$83,$T88)</f>
        <v>Buff</v>
      </c>
      <c r="E88" s="11" t="str">
        <f aca="false">INDEX(Bases!$C$5:$C$83,$T88)</f>
        <v>Garde</v>
      </c>
      <c r="F88" s="10" t="str">
        <f aca="false">INDEX(Éléments!$A$5:$A$14,$U88)</f>
        <v>Vent</v>
      </c>
      <c r="G88" s="12" t="str">
        <f aca="false">IF(OR($F88="Neutre",$C88="Passif"),$E88,INDEX(Bases!$D$5:$D$83,$T88)&amp;" "&amp;INDEX(Éléments!$D$5:$D$14,$U88))</f>
        <v>Garde de vent</v>
      </c>
      <c r="H88" s="10" t="str">
        <f aca="false">INDEX(Bases!$G$5:$G$83,$T88)</f>
        <v>Soi</v>
      </c>
      <c r="I88" s="13" t="n">
        <f aca="false">INDEX(Bases!$H$5:$H$83,$T88)</f>
        <v>2</v>
      </c>
      <c r="J88" s="10" t="str">
        <f aca="false">INDEX(Bases!$I$5:$I$83,$T88)</f>
        <v>Non</v>
      </c>
      <c r="K88" s="14" t="n">
        <f aca="false">INDEX(Bases!$J$5:$J$83,$T88)</f>
        <v>0</v>
      </c>
      <c r="L88" s="10" t="str">
        <f aca="false">INDEX(Bases!$K$5:$K$83,$T88)</f>
        <v>Force</v>
      </c>
      <c r="M88" s="11" t="str">
        <f aca="false">INDEX(Bases!$L$5:$L$83,$T88)</f>
        <v>+30 % de Résistance pendant 2 tours.</v>
      </c>
      <c r="N88" s="11" t="str">
        <f aca="false">IF($C88="Passif","—",IF($C88="Attaque (arme 1)",INDEX(Éléments!$F$5:$F$14,$U88),INDEX(Éléments!$G$5:$G$14,$U88)))</f>
        <v>+10 % d'Agilité (esquive) pendant la durée de l'effet.</v>
      </c>
      <c r="O88" s="10" t="str">
        <f aca="false">INDEX(Bases!$M$5:$M$83,$T88)</f>
        <v>Active</v>
      </c>
      <c r="P88" s="13" t="n">
        <f aca="false">INDEX(Bases!$N$5:$N$83,$T88)</f>
        <v>5</v>
      </c>
      <c r="Q88" s="15" t="n">
        <f aca="false">INDEX(Éléments!$C$5:$C$14,$U88)</f>
        <v>40</v>
      </c>
      <c r="R88" s="11" t="str">
        <f aca="false">"Niv. "&amp;$P88&amp;IF($Q88&gt;0," · étage "&amp;$Q88&amp;" terminé","")</f>
        <v>Niv. 5 · étage 40 terminé</v>
      </c>
      <c r="S88" s="14" t="n">
        <f aca="false">IF(ISNUMBER($I88),$K88*IF($H88="Zone",Paramètres!$B$8,1)/MAX(1,$I88),0)</f>
        <v>0</v>
      </c>
      <c r="T88" s="16" t="n">
        <v>9</v>
      </c>
      <c r="U88" s="16" t="n">
        <v>4</v>
      </c>
    </row>
    <row r="89" customFormat="false" ht="15" hidden="false" customHeight="true" outlineLevel="0" collapsed="false">
      <c r="A89" s="9" t="s">
        <v>158</v>
      </c>
      <c r="B89" s="10" t="str">
        <f aca="false">INDEX(Bases!$B$5:$B$83,$T89)</f>
        <v>Guerrier</v>
      </c>
      <c r="C89" s="10" t="str">
        <f aca="false">INDEX(Bases!$E$5:$E$83,$T89)</f>
        <v>Soutien (arme 2)</v>
      </c>
      <c r="D89" s="10" t="str">
        <f aca="false">INDEX(Bases!$F$5:$F$83,$T89)</f>
        <v>Buff</v>
      </c>
      <c r="E89" s="11" t="str">
        <f aca="false">INDEX(Bases!$C$5:$C$83,$T89)</f>
        <v>Garde</v>
      </c>
      <c r="F89" s="10" t="str">
        <f aca="false">INDEX(Éléments!$A$5:$A$14,$U89)</f>
        <v>Acide</v>
      </c>
      <c r="G89" s="12" t="str">
        <f aca="false">IF(OR($F89="Neutre",$C89="Passif"),$E89,INDEX(Bases!$D$5:$D$83,$T89)&amp;" "&amp;INDEX(Éléments!$D$5:$D$14,$U89))</f>
        <v>Garde d'acide</v>
      </c>
      <c r="H89" s="10" t="str">
        <f aca="false">INDEX(Bases!$G$5:$G$83,$T89)</f>
        <v>Soi</v>
      </c>
      <c r="I89" s="13" t="n">
        <f aca="false">INDEX(Bases!$H$5:$H$83,$T89)</f>
        <v>2</v>
      </c>
      <c r="J89" s="10" t="str">
        <f aca="false">INDEX(Bases!$I$5:$I$83,$T89)</f>
        <v>Non</v>
      </c>
      <c r="K89" s="14" t="n">
        <f aca="false">INDEX(Bases!$J$5:$J$83,$T89)</f>
        <v>0</v>
      </c>
      <c r="L89" s="10" t="str">
        <f aca="false">INDEX(Bases!$K$5:$K$83,$T89)</f>
        <v>Force</v>
      </c>
      <c r="M89" s="11" t="str">
        <f aca="false">INDEX(Bases!$L$5:$L$83,$T89)</f>
        <v>+30 % de Résistance pendant 2 tours.</v>
      </c>
      <c r="N89" s="11" t="str">
        <f aca="false">IF($C89="Passif","—",IF($C89="Attaque (arme 1)",INDEX(Éléments!$F$5:$F$14,$U89),INDEX(Éléments!$G$5:$G$14,$U89)))</f>
        <v>Les ennemis qui frappent le lanceur prennent 1 pile de Corrosion (40 %).</v>
      </c>
      <c r="O89" s="10" t="str">
        <f aca="false">INDEX(Bases!$M$5:$M$83,$T89)</f>
        <v>Active</v>
      </c>
      <c r="P89" s="13" t="n">
        <f aca="false">INDEX(Bases!$N$5:$N$83,$T89)</f>
        <v>5</v>
      </c>
      <c r="Q89" s="15" t="n">
        <f aca="false">INDEX(Éléments!$C$5:$C$14,$U89)</f>
        <v>50</v>
      </c>
      <c r="R89" s="11" t="str">
        <f aca="false">"Niv. "&amp;$P89&amp;IF($Q89&gt;0," · étage "&amp;$Q89&amp;" terminé","")</f>
        <v>Niv. 5 · étage 50 terminé</v>
      </c>
      <c r="S89" s="14" t="n">
        <f aca="false">IF(ISNUMBER($I89),$K89*IF($H89="Zone",Paramètres!$B$8,1)/MAX(1,$I89),0)</f>
        <v>0</v>
      </c>
      <c r="T89" s="16" t="n">
        <v>9</v>
      </c>
      <c r="U89" s="16" t="n">
        <v>5</v>
      </c>
    </row>
    <row r="90" customFormat="false" ht="15" hidden="false" customHeight="true" outlineLevel="0" collapsed="false">
      <c r="A90" s="9" t="s">
        <v>159</v>
      </c>
      <c r="B90" s="10" t="str">
        <f aca="false">INDEX(Bases!$B$5:$B$83,$T90)</f>
        <v>Guerrier</v>
      </c>
      <c r="C90" s="10" t="str">
        <f aca="false">INDEX(Bases!$E$5:$E$83,$T90)</f>
        <v>Soutien (arme 2)</v>
      </c>
      <c r="D90" s="10" t="str">
        <f aca="false">INDEX(Bases!$F$5:$F$83,$T90)</f>
        <v>Buff</v>
      </c>
      <c r="E90" s="11" t="str">
        <f aca="false">INDEX(Bases!$C$5:$C$83,$T90)</f>
        <v>Garde</v>
      </c>
      <c r="F90" s="10" t="str">
        <f aca="false">INDEX(Éléments!$A$5:$A$14,$U90)</f>
        <v>Eau</v>
      </c>
      <c r="G90" s="12" t="str">
        <f aca="false">IF(OR($F90="Neutre",$C90="Passif"),$E90,INDEX(Bases!$D$5:$D$83,$T90)&amp;" "&amp;INDEX(Éléments!$D$5:$D$14,$U90))</f>
        <v>Garde d'eau</v>
      </c>
      <c r="H90" s="10" t="str">
        <f aca="false">INDEX(Bases!$G$5:$G$83,$T90)</f>
        <v>Soi</v>
      </c>
      <c r="I90" s="13" t="n">
        <f aca="false">INDEX(Bases!$H$5:$H$83,$T90)</f>
        <v>2</v>
      </c>
      <c r="J90" s="10" t="str">
        <f aca="false">INDEX(Bases!$I$5:$I$83,$T90)</f>
        <v>Non</v>
      </c>
      <c r="K90" s="14" t="n">
        <f aca="false">INDEX(Bases!$J$5:$J$83,$T90)</f>
        <v>0</v>
      </c>
      <c r="L90" s="10" t="str">
        <f aca="false">INDEX(Bases!$K$5:$K$83,$T90)</f>
        <v>Force</v>
      </c>
      <c r="M90" s="11" t="str">
        <f aca="false">INDEX(Bases!$L$5:$L$83,$T90)</f>
        <v>+30 % de Résistance pendant 2 tours.</v>
      </c>
      <c r="N90" s="11" t="str">
        <f aca="false">IF($C90="Passif","—",IF($C90="Attaque (arme 1)",INDEX(Éléments!$F$5:$F$14,$U90),INDEX(Éléments!$G$5:$G$14,$U90)))</f>
        <v>Soin supplémentaire de 4 % des PV max ; retire Brûlure du lanceur.</v>
      </c>
      <c r="O90" s="10" t="str">
        <f aca="false">INDEX(Bases!$M$5:$M$83,$T90)</f>
        <v>Active</v>
      </c>
      <c r="P90" s="13" t="n">
        <f aca="false">INDEX(Bases!$N$5:$N$83,$T90)</f>
        <v>5</v>
      </c>
      <c r="Q90" s="15" t="n">
        <f aca="false">INDEX(Éléments!$C$5:$C$14,$U90)</f>
        <v>60</v>
      </c>
      <c r="R90" s="11" t="str">
        <f aca="false">"Niv. "&amp;$P90&amp;IF($Q90&gt;0," · étage "&amp;$Q90&amp;" terminé","")</f>
        <v>Niv. 5 · étage 60 terminé</v>
      </c>
      <c r="S90" s="14" t="n">
        <f aca="false">IF(ISNUMBER($I90),$K90*IF($H90="Zone",Paramètres!$B$8,1)/MAX(1,$I90),0)</f>
        <v>0</v>
      </c>
      <c r="T90" s="16" t="n">
        <v>9</v>
      </c>
      <c r="U90" s="16" t="n">
        <v>6</v>
      </c>
    </row>
    <row r="91" customFormat="false" ht="15" hidden="false" customHeight="true" outlineLevel="0" collapsed="false">
      <c r="A91" s="9" t="s">
        <v>160</v>
      </c>
      <c r="B91" s="10" t="str">
        <f aca="false">INDEX(Bases!$B$5:$B$83,$T91)</f>
        <v>Guerrier</v>
      </c>
      <c r="C91" s="10" t="str">
        <f aca="false">INDEX(Bases!$E$5:$E$83,$T91)</f>
        <v>Soutien (arme 2)</v>
      </c>
      <c r="D91" s="10" t="str">
        <f aca="false">INDEX(Bases!$F$5:$F$83,$T91)</f>
        <v>Buff</v>
      </c>
      <c r="E91" s="11" t="str">
        <f aca="false">INDEX(Bases!$C$5:$C$83,$T91)</f>
        <v>Garde</v>
      </c>
      <c r="F91" s="10" t="str">
        <f aca="false">INDEX(Éléments!$A$5:$A$14,$U91)</f>
        <v>Glace</v>
      </c>
      <c r="G91" s="12" t="str">
        <f aca="false">IF(OR($F91="Neutre",$C91="Passif"),$E91,INDEX(Bases!$D$5:$D$83,$T91)&amp;" "&amp;INDEX(Éléments!$D$5:$D$14,$U91))</f>
        <v>Garde de glace</v>
      </c>
      <c r="H91" s="10" t="str">
        <f aca="false">INDEX(Bases!$G$5:$G$83,$T91)</f>
        <v>Soi</v>
      </c>
      <c r="I91" s="13" t="n">
        <f aca="false">INDEX(Bases!$H$5:$H$83,$T91)</f>
        <v>2</v>
      </c>
      <c r="J91" s="10" t="str">
        <f aca="false">INDEX(Bases!$I$5:$I$83,$T91)</f>
        <v>Non</v>
      </c>
      <c r="K91" s="14" t="n">
        <f aca="false">INDEX(Bases!$J$5:$J$83,$T91)</f>
        <v>0</v>
      </c>
      <c r="L91" s="10" t="str">
        <f aca="false">INDEX(Bases!$K$5:$K$83,$T91)</f>
        <v>Force</v>
      </c>
      <c r="M91" s="11" t="str">
        <f aca="false">INDEX(Bases!$L$5:$L$83,$T91)</f>
        <v>+30 % de Résistance pendant 2 tours.</v>
      </c>
      <c r="N91" s="11" t="str">
        <f aca="false">IF($C91="Passif","—",IF($C91="Attaque (arme 1)",INDEX(Éléments!$F$5:$F$14,$U91),INDEX(Éléments!$G$5:$G$14,$U91)))</f>
        <v>Les ennemis qui frappent le lanceur prennent 1 pile de Froid (40 %).</v>
      </c>
      <c r="O91" s="10" t="str">
        <f aca="false">INDEX(Bases!$M$5:$M$83,$T91)</f>
        <v>Active</v>
      </c>
      <c r="P91" s="13" t="n">
        <f aca="false">INDEX(Bases!$N$5:$N$83,$T91)</f>
        <v>5</v>
      </c>
      <c r="Q91" s="15" t="n">
        <f aca="false">INDEX(Éléments!$C$5:$C$14,$U91)</f>
        <v>70</v>
      </c>
      <c r="R91" s="11" t="str">
        <f aca="false">"Niv. "&amp;$P91&amp;IF($Q91&gt;0," · étage "&amp;$Q91&amp;" terminé","")</f>
        <v>Niv. 5 · étage 70 terminé</v>
      </c>
      <c r="S91" s="14" t="n">
        <f aca="false">IF(ISNUMBER($I91),$K91*IF($H91="Zone",Paramètres!$B$8,1)/MAX(1,$I91),0)</f>
        <v>0</v>
      </c>
      <c r="T91" s="16" t="n">
        <v>9</v>
      </c>
      <c r="U91" s="16" t="n">
        <v>7</v>
      </c>
    </row>
    <row r="92" customFormat="false" ht="15" hidden="false" customHeight="true" outlineLevel="0" collapsed="false">
      <c r="A92" s="9" t="s">
        <v>161</v>
      </c>
      <c r="B92" s="10" t="str">
        <f aca="false">INDEX(Bases!$B$5:$B$83,$T92)</f>
        <v>Guerrier</v>
      </c>
      <c r="C92" s="10" t="str">
        <f aca="false">INDEX(Bases!$E$5:$E$83,$T92)</f>
        <v>Soutien (arme 2)</v>
      </c>
      <c r="D92" s="10" t="str">
        <f aca="false">INDEX(Bases!$F$5:$F$83,$T92)</f>
        <v>Buff</v>
      </c>
      <c r="E92" s="11" t="str">
        <f aca="false">INDEX(Bases!$C$5:$C$83,$T92)</f>
        <v>Garde</v>
      </c>
      <c r="F92" s="10" t="str">
        <f aca="false">INDEX(Éléments!$A$5:$A$14,$U92)</f>
        <v>Électricité</v>
      </c>
      <c r="G92" s="12" t="str">
        <f aca="false">IF(OR($F92="Neutre",$C92="Passif"),$E92,INDEX(Bases!$D$5:$D$83,$T92)&amp;" "&amp;INDEX(Éléments!$D$5:$D$14,$U92))</f>
        <v>Garde de foudre</v>
      </c>
      <c r="H92" s="10" t="str">
        <f aca="false">INDEX(Bases!$G$5:$G$83,$T92)</f>
        <v>Soi</v>
      </c>
      <c r="I92" s="13" t="n">
        <f aca="false">INDEX(Bases!$H$5:$H$83,$T92)</f>
        <v>2</v>
      </c>
      <c r="J92" s="10" t="str">
        <f aca="false">INDEX(Bases!$I$5:$I$83,$T92)</f>
        <v>Non</v>
      </c>
      <c r="K92" s="14" t="n">
        <f aca="false">INDEX(Bases!$J$5:$J$83,$T92)</f>
        <v>0</v>
      </c>
      <c r="L92" s="10" t="str">
        <f aca="false">INDEX(Bases!$K$5:$K$83,$T92)</f>
        <v>Force</v>
      </c>
      <c r="M92" s="11" t="str">
        <f aca="false">INDEX(Bases!$L$5:$L$83,$T92)</f>
        <v>+30 % de Résistance pendant 2 tours.</v>
      </c>
      <c r="N92" s="11" t="str">
        <f aca="false">IF($C92="Passif","—",IF($C92="Attaque (arme 1)",INDEX(Éléments!$F$5:$F$14,$U92),INDEX(Éléments!$G$5:$G$14,$U92)))</f>
        <v>La prochaine attaque du lanceur inflige +15 % de dégâts.</v>
      </c>
      <c r="O92" s="10" t="str">
        <f aca="false">INDEX(Bases!$M$5:$M$83,$T92)</f>
        <v>Active</v>
      </c>
      <c r="P92" s="13" t="n">
        <f aca="false">INDEX(Bases!$N$5:$N$83,$T92)</f>
        <v>5</v>
      </c>
      <c r="Q92" s="15" t="n">
        <f aca="false">INDEX(Éléments!$C$5:$C$14,$U92)</f>
        <v>80</v>
      </c>
      <c r="R92" s="11" t="str">
        <f aca="false">"Niv. "&amp;$P92&amp;IF($Q92&gt;0," · étage "&amp;$Q92&amp;" terminé","")</f>
        <v>Niv. 5 · étage 80 terminé</v>
      </c>
      <c r="S92" s="14" t="n">
        <f aca="false">IF(ISNUMBER($I92),$K92*IF($H92="Zone",Paramètres!$B$8,1)/MAX(1,$I92),0)</f>
        <v>0</v>
      </c>
      <c r="T92" s="16" t="n">
        <v>9</v>
      </c>
      <c r="U92" s="16" t="n">
        <v>8</v>
      </c>
    </row>
    <row r="93" customFormat="false" ht="15" hidden="false" customHeight="true" outlineLevel="0" collapsed="false">
      <c r="A93" s="9" t="s">
        <v>162</v>
      </c>
      <c r="B93" s="10" t="str">
        <f aca="false">INDEX(Bases!$B$5:$B$83,$T93)</f>
        <v>Guerrier</v>
      </c>
      <c r="C93" s="10" t="str">
        <f aca="false">INDEX(Bases!$E$5:$E$83,$T93)</f>
        <v>Soutien (arme 2)</v>
      </c>
      <c r="D93" s="10" t="str">
        <f aca="false">INDEX(Bases!$F$5:$F$83,$T93)</f>
        <v>Buff</v>
      </c>
      <c r="E93" s="11" t="str">
        <f aca="false">INDEX(Bases!$C$5:$C$83,$T93)</f>
        <v>Garde</v>
      </c>
      <c r="F93" s="10" t="str">
        <f aca="false">INDEX(Éléments!$A$5:$A$14,$U93)</f>
        <v>Lumière</v>
      </c>
      <c r="G93" s="12" t="str">
        <f aca="false">IF(OR($F93="Neutre",$C93="Passif"),$E93,INDEX(Bases!$D$5:$D$83,$T93)&amp;" "&amp;INDEX(Éléments!$D$5:$D$14,$U93))</f>
        <v>Garde de lumière</v>
      </c>
      <c r="H93" s="10" t="str">
        <f aca="false">INDEX(Bases!$G$5:$G$83,$T93)</f>
        <v>Soi</v>
      </c>
      <c r="I93" s="13" t="n">
        <f aca="false">INDEX(Bases!$H$5:$H$83,$T93)</f>
        <v>2</v>
      </c>
      <c r="J93" s="10" t="str">
        <f aca="false">INDEX(Bases!$I$5:$I$83,$T93)</f>
        <v>Non</v>
      </c>
      <c r="K93" s="14" t="n">
        <f aca="false">INDEX(Bases!$J$5:$J$83,$T93)</f>
        <v>0</v>
      </c>
      <c r="L93" s="10" t="str">
        <f aca="false">INDEX(Bases!$K$5:$K$83,$T93)</f>
        <v>Force</v>
      </c>
      <c r="M93" s="11" t="str">
        <f aca="false">INDEX(Bases!$L$5:$L$83,$T93)</f>
        <v>+30 % de Résistance pendant 2 tours.</v>
      </c>
      <c r="N93" s="11" t="str">
        <f aca="false">IF($C93="Passif","—",IF($C93="Attaque (arme 1)",INDEX(Éléments!$F$5:$F$14,$U93),INDEX(Éléments!$G$5:$G$14,$U93)))</f>
        <v>+20 % sur les soins et boucliers de la compétence.</v>
      </c>
      <c r="O93" s="10" t="str">
        <f aca="false">INDEX(Bases!$M$5:$M$83,$T93)</f>
        <v>Active</v>
      </c>
      <c r="P93" s="13" t="n">
        <f aca="false">INDEX(Bases!$N$5:$N$83,$T93)</f>
        <v>5</v>
      </c>
      <c r="Q93" s="15" t="n">
        <f aca="false">INDEX(Éléments!$C$5:$C$14,$U93)</f>
        <v>90</v>
      </c>
      <c r="R93" s="11" t="str">
        <f aca="false">"Niv. "&amp;$P93&amp;IF($Q93&gt;0," · étage "&amp;$Q93&amp;" terminé","")</f>
        <v>Niv. 5 · étage 90 terminé</v>
      </c>
      <c r="S93" s="14" t="n">
        <f aca="false">IF(ISNUMBER($I93),$K93*IF($H93="Zone",Paramètres!$B$8,1)/MAX(1,$I93),0)</f>
        <v>0</v>
      </c>
      <c r="T93" s="16" t="n">
        <v>9</v>
      </c>
      <c r="U93" s="16" t="n">
        <v>9</v>
      </c>
    </row>
    <row r="94" customFormat="false" ht="15" hidden="false" customHeight="true" outlineLevel="0" collapsed="false">
      <c r="A94" s="9" t="s">
        <v>163</v>
      </c>
      <c r="B94" s="10" t="str">
        <f aca="false">INDEX(Bases!$B$5:$B$83,$T94)</f>
        <v>Guerrier</v>
      </c>
      <c r="C94" s="10" t="str">
        <f aca="false">INDEX(Bases!$E$5:$E$83,$T94)</f>
        <v>Soutien (arme 2)</v>
      </c>
      <c r="D94" s="10" t="str">
        <f aca="false">INDEX(Bases!$F$5:$F$83,$T94)</f>
        <v>Buff</v>
      </c>
      <c r="E94" s="11" t="str">
        <f aca="false">INDEX(Bases!$C$5:$C$83,$T94)</f>
        <v>Garde</v>
      </c>
      <c r="F94" s="10" t="str">
        <f aca="false">INDEX(Éléments!$A$5:$A$14,$U94)</f>
        <v>Ombre</v>
      </c>
      <c r="G94" s="12" t="str">
        <f aca="false">IF(OR($F94="Neutre",$C94="Passif"),$E94,INDEX(Bases!$D$5:$D$83,$T94)&amp;" "&amp;INDEX(Éléments!$D$5:$D$14,$U94))</f>
        <v>Garde d'ombre</v>
      </c>
      <c r="H94" s="10" t="str">
        <f aca="false">INDEX(Bases!$G$5:$G$83,$T94)</f>
        <v>Soi</v>
      </c>
      <c r="I94" s="13" t="n">
        <f aca="false">INDEX(Bases!$H$5:$H$83,$T94)</f>
        <v>2</v>
      </c>
      <c r="J94" s="10" t="str">
        <f aca="false">INDEX(Bases!$I$5:$I$83,$T94)</f>
        <v>Non</v>
      </c>
      <c r="K94" s="14" t="n">
        <f aca="false">INDEX(Bases!$J$5:$J$83,$T94)</f>
        <v>0</v>
      </c>
      <c r="L94" s="10" t="str">
        <f aca="false">INDEX(Bases!$K$5:$K$83,$T94)</f>
        <v>Force</v>
      </c>
      <c r="M94" s="11" t="str">
        <f aca="false">INDEX(Bases!$L$5:$L$83,$T94)</f>
        <v>+30 % de Résistance pendant 2 tours.</v>
      </c>
      <c r="N94" s="11" t="str">
        <f aca="false">IF($C94="Passif","—",IF($C94="Attaque (arme 1)",INDEX(Éléments!$F$5:$F$14,$U94),INDEX(Éléments!$G$5:$G$14,$U94)))</f>
        <v>Les ennemis qui frappent le lanceur subissent Corruption (25 %).</v>
      </c>
      <c r="O94" s="10" t="str">
        <f aca="false">INDEX(Bases!$M$5:$M$83,$T94)</f>
        <v>Active</v>
      </c>
      <c r="P94" s="13" t="n">
        <f aca="false">INDEX(Bases!$N$5:$N$83,$T94)</f>
        <v>5</v>
      </c>
      <c r="Q94" s="15" t="n">
        <f aca="false">INDEX(Éléments!$C$5:$C$14,$U94)</f>
        <v>100</v>
      </c>
      <c r="R94" s="11" t="str">
        <f aca="false">"Niv. "&amp;$P94&amp;IF($Q94&gt;0," · étage "&amp;$Q94&amp;" terminé","")</f>
        <v>Niv. 5 · étage 100 terminé</v>
      </c>
      <c r="S94" s="14" t="n">
        <f aca="false">IF(ISNUMBER($I94),$K94*IF($H94="Zone",Paramètres!$B$8,1)/MAX(1,$I94),0)</f>
        <v>0</v>
      </c>
      <c r="T94" s="16" t="n">
        <v>9</v>
      </c>
      <c r="U94" s="16" t="n">
        <v>10</v>
      </c>
    </row>
    <row r="95" customFormat="false" ht="15" hidden="false" customHeight="true" outlineLevel="0" collapsed="false">
      <c r="A95" s="9" t="s">
        <v>164</v>
      </c>
      <c r="B95" s="10" t="str">
        <f aca="false">INDEX(Bases!$B$5:$B$83,$T95)</f>
        <v>Guerrier</v>
      </c>
      <c r="C95" s="10" t="str">
        <f aca="false">INDEX(Bases!$E$5:$E$83,$T95)</f>
        <v>Soutien (arme 2)</v>
      </c>
      <c r="D95" s="10" t="str">
        <f aca="false">INDEX(Bases!$F$5:$F$83,$T95)</f>
        <v>Debuff</v>
      </c>
      <c r="E95" s="11" t="str">
        <f aca="false">INDEX(Bases!$C$5:$C$83,$T95)</f>
        <v>Coup de bouclier</v>
      </c>
      <c r="F95" s="10" t="str">
        <f aca="false">INDEX(Éléments!$A$5:$A$14,$U95)</f>
        <v>Neutre</v>
      </c>
      <c r="G95" s="12" t="str">
        <f aca="false">IF(OR($F95="Neutre",$C95="Passif"),$E95,INDEX(Bases!$D$5:$D$83,$T95)&amp;" "&amp;INDEX(Éléments!$D$5:$D$14,$U95))</f>
        <v>Coup de bouclier</v>
      </c>
      <c r="H95" s="10" t="str">
        <f aca="false">INDEX(Bases!$G$5:$G$83,$T95)</f>
        <v>Mono</v>
      </c>
      <c r="I95" s="13" t="n">
        <f aca="false">INDEX(Bases!$H$5:$H$83,$T95)</f>
        <v>2</v>
      </c>
      <c r="J95" s="10" t="str">
        <f aca="false">INDEX(Bases!$I$5:$I$83,$T95)</f>
        <v>Non</v>
      </c>
      <c r="K95" s="14" t="n">
        <f aca="false">INDEX(Bases!$J$5:$J$83,$T95)</f>
        <v>0.6</v>
      </c>
      <c r="L95" s="10" t="str">
        <f aca="false">INDEX(Bases!$K$5:$K$83,$T95)</f>
        <v>Force</v>
      </c>
      <c r="M95" s="11" t="str">
        <f aca="false">INDEX(Bases!$L$5:$L$83,$T95)</f>
        <v>25 % : Assommé (1 tour).</v>
      </c>
      <c r="N95" s="11" t="str">
        <f aca="false">IF($C95="Passif","—",IF($C95="Attaque (arme 1)",INDEX(Éléments!$F$5:$F$14,$U95),INDEX(Éléments!$G$5:$G$14,$U95)))</f>
        <v>Aucun bonus élémentaire : effet de base seul.</v>
      </c>
      <c r="O95" s="10" t="str">
        <f aca="false">INDEX(Bases!$M$5:$M$83,$T95)</f>
        <v>Active</v>
      </c>
      <c r="P95" s="13" t="n">
        <f aca="false">INDEX(Bases!$N$5:$N$83,$T95)</f>
        <v>10</v>
      </c>
      <c r="Q95" s="15" t="n">
        <f aca="false">INDEX(Éléments!$C$5:$C$14,$U95)</f>
        <v>0</v>
      </c>
      <c r="R95" s="11" t="str">
        <f aca="false">"Niv. "&amp;$P95&amp;IF($Q95&gt;0," · étage "&amp;$Q95&amp;" terminé","")</f>
        <v>Niv. 10</v>
      </c>
      <c r="S95" s="14" t="n">
        <f aca="false">IF(ISNUMBER($I95),$K95*IF($H95="Zone",Paramètres!$B$8,1)/MAX(1,$I95),0)</f>
        <v>0.3</v>
      </c>
      <c r="T95" s="16" t="n">
        <v>10</v>
      </c>
      <c r="U95" s="16" t="n">
        <v>1</v>
      </c>
    </row>
    <row r="96" customFormat="false" ht="15" hidden="false" customHeight="true" outlineLevel="0" collapsed="false">
      <c r="A96" s="9" t="s">
        <v>165</v>
      </c>
      <c r="B96" s="10" t="str">
        <f aca="false">INDEX(Bases!$B$5:$B$83,$T96)</f>
        <v>Guerrier</v>
      </c>
      <c r="C96" s="10" t="str">
        <f aca="false">INDEX(Bases!$E$5:$E$83,$T96)</f>
        <v>Soutien (arme 2)</v>
      </c>
      <c r="D96" s="10" t="str">
        <f aca="false">INDEX(Bases!$F$5:$F$83,$T96)</f>
        <v>Debuff</v>
      </c>
      <c r="E96" s="11" t="str">
        <f aca="false">INDEX(Bases!$C$5:$C$83,$T96)</f>
        <v>Coup de bouclier</v>
      </c>
      <c r="F96" s="10" t="str">
        <f aca="false">INDEX(Éléments!$A$5:$A$14,$U96)</f>
        <v>Terre</v>
      </c>
      <c r="G96" s="12" t="str">
        <f aca="false">IF(OR($F96="Neutre",$C96="Passif"),$E96,INDEX(Bases!$D$5:$D$83,$T96)&amp;" "&amp;INDEX(Éléments!$D$5:$D$14,$U96))</f>
        <v>Coup de bouclier de pierre</v>
      </c>
      <c r="H96" s="10" t="str">
        <f aca="false">INDEX(Bases!$G$5:$G$83,$T96)</f>
        <v>Mono</v>
      </c>
      <c r="I96" s="13" t="n">
        <f aca="false">INDEX(Bases!$H$5:$H$83,$T96)</f>
        <v>2</v>
      </c>
      <c r="J96" s="10" t="str">
        <f aca="false">INDEX(Bases!$I$5:$I$83,$T96)</f>
        <v>Non</v>
      </c>
      <c r="K96" s="14" t="n">
        <f aca="false">INDEX(Bases!$J$5:$J$83,$T96)</f>
        <v>0.6</v>
      </c>
      <c r="L96" s="10" t="str">
        <f aca="false">INDEX(Bases!$K$5:$K$83,$T96)</f>
        <v>Force</v>
      </c>
      <c r="M96" s="11" t="str">
        <f aca="false">INDEX(Bases!$L$5:$L$83,$T96)</f>
        <v>25 % : Assommé (1 tour).</v>
      </c>
      <c r="N96" s="11" t="str">
        <f aca="false">IF($C96="Passif","—",IF($C96="Attaque (arme 1)",INDEX(Éléments!$F$5:$F$14,$U96),INDEX(Éléments!$G$5:$G$14,$U96)))</f>
        <v>+15 % d'Armure pendant la durée de l'effet.</v>
      </c>
      <c r="O96" s="10" t="str">
        <f aca="false">INDEX(Bases!$M$5:$M$83,$T96)</f>
        <v>Active</v>
      </c>
      <c r="P96" s="13" t="n">
        <f aca="false">INDEX(Bases!$N$5:$N$83,$T96)</f>
        <v>10</v>
      </c>
      <c r="Q96" s="15" t="n">
        <f aca="false">INDEX(Éléments!$C$5:$C$14,$U96)</f>
        <v>20</v>
      </c>
      <c r="R96" s="11" t="str">
        <f aca="false">"Niv. "&amp;$P96&amp;IF($Q96&gt;0," · étage "&amp;$Q96&amp;" terminé","")</f>
        <v>Niv. 10 · étage 20 terminé</v>
      </c>
      <c r="S96" s="14" t="n">
        <f aca="false">IF(ISNUMBER($I96),$K96*IF($H96="Zone",Paramètres!$B$8,1)/MAX(1,$I96),0)</f>
        <v>0.3</v>
      </c>
      <c r="T96" s="16" t="n">
        <v>10</v>
      </c>
      <c r="U96" s="16" t="n">
        <v>2</v>
      </c>
    </row>
    <row r="97" customFormat="false" ht="15" hidden="false" customHeight="true" outlineLevel="0" collapsed="false">
      <c r="A97" s="9" t="s">
        <v>166</v>
      </c>
      <c r="B97" s="10" t="str">
        <f aca="false">INDEX(Bases!$B$5:$B$83,$T97)</f>
        <v>Guerrier</v>
      </c>
      <c r="C97" s="10" t="str">
        <f aca="false">INDEX(Bases!$E$5:$E$83,$T97)</f>
        <v>Soutien (arme 2)</v>
      </c>
      <c r="D97" s="10" t="str">
        <f aca="false">INDEX(Bases!$F$5:$F$83,$T97)</f>
        <v>Debuff</v>
      </c>
      <c r="E97" s="11" t="str">
        <f aca="false">INDEX(Bases!$C$5:$C$83,$T97)</f>
        <v>Coup de bouclier</v>
      </c>
      <c r="F97" s="10" t="str">
        <f aca="false">INDEX(Éléments!$A$5:$A$14,$U97)</f>
        <v>Feu</v>
      </c>
      <c r="G97" s="12" t="str">
        <f aca="false">IF(OR($F97="Neutre",$C97="Passif"),$E97,INDEX(Bases!$D$5:$D$83,$T97)&amp;" "&amp;INDEX(Éléments!$D$5:$D$14,$U97))</f>
        <v>Coup de bouclier de feu</v>
      </c>
      <c r="H97" s="10" t="str">
        <f aca="false">INDEX(Bases!$G$5:$G$83,$T97)</f>
        <v>Mono</v>
      </c>
      <c r="I97" s="13" t="n">
        <f aca="false">INDEX(Bases!$H$5:$H$83,$T97)</f>
        <v>2</v>
      </c>
      <c r="J97" s="10" t="str">
        <f aca="false">INDEX(Bases!$I$5:$I$83,$T97)</f>
        <v>Non</v>
      </c>
      <c r="K97" s="14" t="n">
        <f aca="false">INDEX(Bases!$J$5:$J$83,$T97)</f>
        <v>0.6</v>
      </c>
      <c r="L97" s="10" t="str">
        <f aca="false">INDEX(Bases!$K$5:$K$83,$T97)</f>
        <v>Force</v>
      </c>
      <c r="M97" s="11" t="str">
        <f aca="false">INDEX(Bases!$L$5:$L$83,$T97)</f>
        <v>25 % : Assommé (1 tour).</v>
      </c>
      <c r="N97" s="11" t="str">
        <f aca="false">IF($C97="Passif","—",IF($C97="Attaque (arme 1)",INDEX(Éléments!$F$5:$F$14,$U97),INDEX(Éléments!$G$5:$G$14,$U97)))</f>
        <v>Les ennemis qui frappent le lanceur ont 40 % de subir Brûlure (pendant la durée).</v>
      </c>
      <c r="O97" s="10" t="str">
        <f aca="false">INDEX(Bases!$M$5:$M$83,$T97)</f>
        <v>Active</v>
      </c>
      <c r="P97" s="13" t="n">
        <f aca="false">INDEX(Bases!$N$5:$N$83,$T97)</f>
        <v>10</v>
      </c>
      <c r="Q97" s="15" t="n">
        <f aca="false">INDEX(Éléments!$C$5:$C$14,$U97)</f>
        <v>30</v>
      </c>
      <c r="R97" s="11" t="str">
        <f aca="false">"Niv. "&amp;$P97&amp;IF($Q97&gt;0," · étage "&amp;$Q97&amp;" terminé","")</f>
        <v>Niv. 10 · étage 30 terminé</v>
      </c>
      <c r="S97" s="14" t="n">
        <f aca="false">IF(ISNUMBER($I97),$K97*IF($H97="Zone",Paramètres!$B$8,1)/MAX(1,$I97),0)</f>
        <v>0.3</v>
      </c>
      <c r="T97" s="16" t="n">
        <v>10</v>
      </c>
      <c r="U97" s="16" t="n">
        <v>3</v>
      </c>
    </row>
    <row r="98" customFormat="false" ht="15" hidden="false" customHeight="true" outlineLevel="0" collapsed="false">
      <c r="A98" s="9" t="s">
        <v>167</v>
      </c>
      <c r="B98" s="10" t="str">
        <f aca="false">INDEX(Bases!$B$5:$B$83,$T98)</f>
        <v>Guerrier</v>
      </c>
      <c r="C98" s="10" t="str">
        <f aca="false">INDEX(Bases!$E$5:$E$83,$T98)</f>
        <v>Soutien (arme 2)</v>
      </c>
      <c r="D98" s="10" t="str">
        <f aca="false">INDEX(Bases!$F$5:$F$83,$T98)</f>
        <v>Debuff</v>
      </c>
      <c r="E98" s="11" t="str">
        <f aca="false">INDEX(Bases!$C$5:$C$83,$T98)</f>
        <v>Coup de bouclier</v>
      </c>
      <c r="F98" s="10" t="str">
        <f aca="false">INDEX(Éléments!$A$5:$A$14,$U98)</f>
        <v>Vent</v>
      </c>
      <c r="G98" s="12" t="str">
        <f aca="false">IF(OR($F98="Neutre",$C98="Passif"),$E98,INDEX(Bases!$D$5:$D$83,$T98)&amp;" "&amp;INDEX(Éléments!$D$5:$D$14,$U98))</f>
        <v>Coup de bouclier de vent</v>
      </c>
      <c r="H98" s="10" t="str">
        <f aca="false">INDEX(Bases!$G$5:$G$83,$T98)</f>
        <v>Mono</v>
      </c>
      <c r="I98" s="13" t="n">
        <f aca="false">INDEX(Bases!$H$5:$H$83,$T98)</f>
        <v>2</v>
      </c>
      <c r="J98" s="10" t="str">
        <f aca="false">INDEX(Bases!$I$5:$I$83,$T98)</f>
        <v>Non</v>
      </c>
      <c r="K98" s="14" t="n">
        <f aca="false">INDEX(Bases!$J$5:$J$83,$T98)</f>
        <v>0.6</v>
      </c>
      <c r="L98" s="10" t="str">
        <f aca="false">INDEX(Bases!$K$5:$K$83,$T98)</f>
        <v>Force</v>
      </c>
      <c r="M98" s="11" t="str">
        <f aca="false">INDEX(Bases!$L$5:$L$83,$T98)</f>
        <v>25 % : Assommé (1 tour).</v>
      </c>
      <c r="N98" s="11" t="str">
        <f aca="false">IF($C98="Passif","—",IF($C98="Attaque (arme 1)",INDEX(Éléments!$F$5:$F$14,$U98),INDEX(Éléments!$G$5:$G$14,$U98)))</f>
        <v>+10 % d'Agilité (esquive) pendant la durée de l'effet.</v>
      </c>
      <c r="O98" s="10" t="str">
        <f aca="false">INDEX(Bases!$M$5:$M$83,$T98)</f>
        <v>Active</v>
      </c>
      <c r="P98" s="13" t="n">
        <f aca="false">INDEX(Bases!$N$5:$N$83,$T98)</f>
        <v>10</v>
      </c>
      <c r="Q98" s="15" t="n">
        <f aca="false">INDEX(Éléments!$C$5:$C$14,$U98)</f>
        <v>40</v>
      </c>
      <c r="R98" s="11" t="str">
        <f aca="false">"Niv. "&amp;$P98&amp;IF($Q98&gt;0," · étage "&amp;$Q98&amp;" terminé","")</f>
        <v>Niv. 10 · étage 40 terminé</v>
      </c>
      <c r="S98" s="14" t="n">
        <f aca="false">IF(ISNUMBER($I98),$K98*IF($H98="Zone",Paramètres!$B$8,1)/MAX(1,$I98),0)</f>
        <v>0.3</v>
      </c>
      <c r="T98" s="16" t="n">
        <v>10</v>
      </c>
      <c r="U98" s="16" t="n">
        <v>4</v>
      </c>
    </row>
    <row r="99" customFormat="false" ht="15" hidden="false" customHeight="true" outlineLevel="0" collapsed="false">
      <c r="A99" s="9" t="s">
        <v>168</v>
      </c>
      <c r="B99" s="10" t="str">
        <f aca="false">INDEX(Bases!$B$5:$B$83,$T99)</f>
        <v>Guerrier</v>
      </c>
      <c r="C99" s="10" t="str">
        <f aca="false">INDEX(Bases!$E$5:$E$83,$T99)</f>
        <v>Soutien (arme 2)</v>
      </c>
      <c r="D99" s="10" t="str">
        <f aca="false">INDEX(Bases!$F$5:$F$83,$T99)</f>
        <v>Debuff</v>
      </c>
      <c r="E99" s="11" t="str">
        <f aca="false">INDEX(Bases!$C$5:$C$83,$T99)</f>
        <v>Coup de bouclier</v>
      </c>
      <c r="F99" s="10" t="str">
        <f aca="false">INDEX(Éléments!$A$5:$A$14,$U99)</f>
        <v>Acide</v>
      </c>
      <c r="G99" s="12" t="str">
        <f aca="false">IF(OR($F99="Neutre",$C99="Passif"),$E99,INDEX(Bases!$D$5:$D$83,$T99)&amp;" "&amp;INDEX(Éléments!$D$5:$D$14,$U99))</f>
        <v>Coup de bouclier d'acide</v>
      </c>
      <c r="H99" s="10" t="str">
        <f aca="false">INDEX(Bases!$G$5:$G$83,$T99)</f>
        <v>Mono</v>
      </c>
      <c r="I99" s="13" t="n">
        <f aca="false">INDEX(Bases!$H$5:$H$83,$T99)</f>
        <v>2</v>
      </c>
      <c r="J99" s="10" t="str">
        <f aca="false">INDEX(Bases!$I$5:$I$83,$T99)</f>
        <v>Non</v>
      </c>
      <c r="K99" s="14" t="n">
        <f aca="false">INDEX(Bases!$J$5:$J$83,$T99)</f>
        <v>0.6</v>
      </c>
      <c r="L99" s="10" t="str">
        <f aca="false">INDEX(Bases!$K$5:$K$83,$T99)</f>
        <v>Force</v>
      </c>
      <c r="M99" s="11" t="str">
        <f aca="false">INDEX(Bases!$L$5:$L$83,$T99)</f>
        <v>25 % : Assommé (1 tour).</v>
      </c>
      <c r="N99" s="11" t="str">
        <f aca="false">IF($C99="Passif","—",IF($C99="Attaque (arme 1)",INDEX(Éléments!$F$5:$F$14,$U99),INDEX(Éléments!$G$5:$G$14,$U99)))</f>
        <v>Les ennemis qui frappent le lanceur prennent 1 pile de Corrosion (40 %).</v>
      </c>
      <c r="O99" s="10" t="str">
        <f aca="false">INDEX(Bases!$M$5:$M$83,$T99)</f>
        <v>Active</v>
      </c>
      <c r="P99" s="13" t="n">
        <f aca="false">INDEX(Bases!$N$5:$N$83,$T99)</f>
        <v>10</v>
      </c>
      <c r="Q99" s="15" t="n">
        <f aca="false">INDEX(Éléments!$C$5:$C$14,$U99)</f>
        <v>50</v>
      </c>
      <c r="R99" s="11" t="str">
        <f aca="false">"Niv. "&amp;$P99&amp;IF($Q99&gt;0," · étage "&amp;$Q99&amp;" terminé","")</f>
        <v>Niv. 10 · étage 50 terminé</v>
      </c>
      <c r="S99" s="14" t="n">
        <f aca="false">IF(ISNUMBER($I99),$K99*IF($H99="Zone",Paramètres!$B$8,1)/MAX(1,$I99),0)</f>
        <v>0.3</v>
      </c>
      <c r="T99" s="16" t="n">
        <v>10</v>
      </c>
      <c r="U99" s="16" t="n">
        <v>5</v>
      </c>
    </row>
    <row r="100" customFormat="false" ht="15" hidden="false" customHeight="true" outlineLevel="0" collapsed="false">
      <c r="A100" s="9" t="s">
        <v>169</v>
      </c>
      <c r="B100" s="10" t="str">
        <f aca="false">INDEX(Bases!$B$5:$B$83,$T100)</f>
        <v>Guerrier</v>
      </c>
      <c r="C100" s="10" t="str">
        <f aca="false">INDEX(Bases!$E$5:$E$83,$T100)</f>
        <v>Soutien (arme 2)</v>
      </c>
      <c r="D100" s="10" t="str">
        <f aca="false">INDEX(Bases!$F$5:$F$83,$T100)</f>
        <v>Debuff</v>
      </c>
      <c r="E100" s="11" t="str">
        <f aca="false">INDEX(Bases!$C$5:$C$83,$T100)</f>
        <v>Coup de bouclier</v>
      </c>
      <c r="F100" s="10" t="str">
        <f aca="false">INDEX(Éléments!$A$5:$A$14,$U100)</f>
        <v>Eau</v>
      </c>
      <c r="G100" s="12" t="str">
        <f aca="false">IF(OR($F100="Neutre",$C100="Passif"),$E100,INDEX(Bases!$D$5:$D$83,$T100)&amp;" "&amp;INDEX(Éléments!$D$5:$D$14,$U100))</f>
        <v>Coup de bouclier d'eau</v>
      </c>
      <c r="H100" s="10" t="str">
        <f aca="false">INDEX(Bases!$G$5:$G$83,$T100)</f>
        <v>Mono</v>
      </c>
      <c r="I100" s="13" t="n">
        <f aca="false">INDEX(Bases!$H$5:$H$83,$T100)</f>
        <v>2</v>
      </c>
      <c r="J100" s="10" t="str">
        <f aca="false">INDEX(Bases!$I$5:$I$83,$T100)</f>
        <v>Non</v>
      </c>
      <c r="K100" s="14" t="n">
        <f aca="false">INDEX(Bases!$J$5:$J$83,$T100)</f>
        <v>0.6</v>
      </c>
      <c r="L100" s="10" t="str">
        <f aca="false">INDEX(Bases!$K$5:$K$83,$T100)</f>
        <v>Force</v>
      </c>
      <c r="M100" s="11" t="str">
        <f aca="false">INDEX(Bases!$L$5:$L$83,$T100)</f>
        <v>25 % : Assommé (1 tour).</v>
      </c>
      <c r="N100" s="11" t="str">
        <f aca="false">IF($C100="Passif","—",IF($C100="Attaque (arme 1)",INDEX(Éléments!$F$5:$F$14,$U100),INDEX(Éléments!$G$5:$G$14,$U100)))</f>
        <v>Soin supplémentaire de 4 % des PV max ; retire Brûlure du lanceur.</v>
      </c>
      <c r="O100" s="10" t="str">
        <f aca="false">INDEX(Bases!$M$5:$M$83,$T100)</f>
        <v>Active</v>
      </c>
      <c r="P100" s="13" t="n">
        <f aca="false">INDEX(Bases!$N$5:$N$83,$T100)</f>
        <v>10</v>
      </c>
      <c r="Q100" s="15" t="n">
        <f aca="false">INDEX(Éléments!$C$5:$C$14,$U100)</f>
        <v>60</v>
      </c>
      <c r="R100" s="11" t="str">
        <f aca="false">"Niv. "&amp;$P100&amp;IF($Q100&gt;0," · étage "&amp;$Q100&amp;" terminé","")</f>
        <v>Niv. 10 · étage 60 terminé</v>
      </c>
      <c r="S100" s="14" t="n">
        <f aca="false">IF(ISNUMBER($I100),$K100*IF($H100="Zone",Paramètres!$B$8,1)/MAX(1,$I100),0)</f>
        <v>0.3</v>
      </c>
      <c r="T100" s="16" t="n">
        <v>10</v>
      </c>
      <c r="U100" s="16" t="n">
        <v>6</v>
      </c>
    </row>
    <row r="101" customFormat="false" ht="15" hidden="false" customHeight="true" outlineLevel="0" collapsed="false">
      <c r="A101" s="9" t="s">
        <v>170</v>
      </c>
      <c r="B101" s="10" t="str">
        <f aca="false">INDEX(Bases!$B$5:$B$83,$T101)</f>
        <v>Guerrier</v>
      </c>
      <c r="C101" s="10" t="str">
        <f aca="false">INDEX(Bases!$E$5:$E$83,$T101)</f>
        <v>Soutien (arme 2)</v>
      </c>
      <c r="D101" s="10" t="str">
        <f aca="false">INDEX(Bases!$F$5:$F$83,$T101)</f>
        <v>Debuff</v>
      </c>
      <c r="E101" s="11" t="str">
        <f aca="false">INDEX(Bases!$C$5:$C$83,$T101)</f>
        <v>Coup de bouclier</v>
      </c>
      <c r="F101" s="10" t="str">
        <f aca="false">INDEX(Éléments!$A$5:$A$14,$U101)</f>
        <v>Glace</v>
      </c>
      <c r="G101" s="12" t="str">
        <f aca="false">IF(OR($F101="Neutre",$C101="Passif"),$E101,INDEX(Bases!$D$5:$D$83,$T101)&amp;" "&amp;INDEX(Éléments!$D$5:$D$14,$U101))</f>
        <v>Coup de bouclier de glace</v>
      </c>
      <c r="H101" s="10" t="str">
        <f aca="false">INDEX(Bases!$G$5:$G$83,$T101)</f>
        <v>Mono</v>
      </c>
      <c r="I101" s="13" t="n">
        <f aca="false">INDEX(Bases!$H$5:$H$83,$T101)</f>
        <v>2</v>
      </c>
      <c r="J101" s="10" t="str">
        <f aca="false">INDEX(Bases!$I$5:$I$83,$T101)</f>
        <v>Non</v>
      </c>
      <c r="K101" s="14" t="n">
        <f aca="false">INDEX(Bases!$J$5:$J$83,$T101)</f>
        <v>0.6</v>
      </c>
      <c r="L101" s="10" t="str">
        <f aca="false">INDEX(Bases!$K$5:$K$83,$T101)</f>
        <v>Force</v>
      </c>
      <c r="M101" s="11" t="str">
        <f aca="false">INDEX(Bases!$L$5:$L$83,$T101)</f>
        <v>25 % : Assommé (1 tour).</v>
      </c>
      <c r="N101" s="11" t="str">
        <f aca="false">IF($C101="Passif","—",IF($C101="Attaque (arme 1)",INDEX(Éléments!$F$5:$F$14,$U101),INDEX(Éléments!$G$5:$G$14,$U101)))</f>
        <v>Les ennemis qui frappent le lanceur prennent 1 pile de Froid (40 %).</v>
      </c>
      <c r="O101" s="10" t="str">
        <f aca="false">INDEX(Bases!$M$5:$M$83,$T101)</f>
        <v>Active</v>
      </c>
      <c r="P101" s="13" t="n">
        <f aca="false">INDEX(Bases!$N$5:$N$83,$T101)</f>
        <v>10</v>
      </c>
      <c r="Q101" s="15" t="n">
        <f aca="false">INDEX(Éléments!$C$5:$C$14,$U101)</f>
        <v>70</v>
      </c>
      <c r="R101" s="11" t="str">
        <f aca="false">"Niv. "&amp;$P101&amp;IF($Q101&gt;0," · étage "&amp;$Q101&amp;" terminé","")</f>
        <v>Niv. 10 · étage 70 terminé</v>
      </c>
      <c r="S101" s="14" t="n">
        <f aca="false">IF(ISNUMBER($I101),$K101*IF($H101="Zone",Paramètres!$B$8,1)/MAX(1,$I101),0)</f>
        <v>0.3</v>
      </c>
      <c r="T101" s="16" t="n">
        <v>10</v>
      </c>
      <c r="U101" s="16" t="n">
        <v>7</v>
      </c>
    </row>
    <row r="102" customFormat="false" ht="15" hidden="false" customHeight="true" outlineLevel="0" collapsed="false">
      <c r="A102" s="9" t="s">
        <v>171</v>
      </c>
      <c r="B102" s="10" t="str">
        <f aca="false">INDEX(Bases!$B$5:$B$83,$T102)</f>
        <v>Guerrier</v>
      </c>
      <c r="C102" s="10" t="str">
        <f aca="false">INDEX(Bases!$E$5:$E$83,$T102)</f>
        <v>Soutien (arme 2)</v>
      </c>
      <c r="D102" s="10" t="str">
        <f aca="false">INDEX(Bases!$F$5:$F$83,$T102)</f>
        <v>Debuff</v>
      </c>
      <c r="E102" s="11" t="str">
        <f aca="false">INDEX(Bases!$C$5:$C$83,$T102)</f>
        <v>Coup de bouclier</v>
      </c>
      <c r="F102" s="10" t="str">
        <f aca="false">INDEX(Éléments!$A$5:$A$14,$U102)</f>
        <v>Électricité</v>
      </c>
      <c r="G102" s="12" t="str">
        <f aca="false">IF(OR($F102="Neutre",$C102="Passif"),$E102,INDEX(Bases!$D$5:$D$83,$T102)&amp;" "&amp;INDEX(Éléments!$D$5:$D$14,$U102))</f>
        <v>Coup de bouclier de foudre</v>
      </c>
      <c r="H102" s="10" t="str">
        <f aca="false">INDEX(Bases!$G$5:$G$83,$T102)</f>
        <v>Mono</v>
      </c>
      <c r="I102" s="13" t="n">
        <f aca="false">INDEX(Bases!$H$5:$H$83,$T102)</f>
        <v>2</v>
      </c>
      <c r="J102" s="10" t="str">
        <f aca="false">INDEX(Bases!$I$5:$I$83,$T102)</f>
        <v>Non</v>
      </c>
      <c r="K102" s="14" t="n">
        <f aca="false">INDEX(Bases!$J$5:$J$83,$T102)</f>
        <v>0.6</v>
      </c>
      <c r="L102" s="10" t="str">
        <f aca="false">INDEX(Bases!$K$5:$K$83,$T102)</f>
        <v>Force</v>
      </c>
      <c r="M102" s="11" t="str">
        <f aca="false">INDEX(Bases!$L$5:$L$83,$T102)</f>
        <v>25 % : Assommé (1 tour).</v>
      </c>
      <c r="N102" s="11" t="str">
        <f aca="false">IF($C102="Passif","—",IF($C102="Attaque (arme 1)",INDEX(Éléments!$F$5:$F$14,$U102),INDEX(Éléments!$G$5:$G$14,$U102)))</f>
        <v>La prochaine attaque du lanceur inflige +15 % de dégâts.</v>
      </c>
      <c r="O102" s="10" t="str">
        <f aca="false">INDEX(Bases!$M$5:$M$83,$T102)</f>
        <v>Active</v>
      </c>
      <c r="P102" s="13" t="n">
        <f aca="false">INDEX(Bases!$N$5:$N$83,$T102)</f>
        <v>10</v>
      </c>
      <c r="Q102" s="15" t="n">
        <f aca="false">INDEX(Éléments!$C$5:$C$14,$U102)</f>
        <v>80</v>
      </c>
      <c r="R102" s="11" t="str">
        <f aca="false">"Niv. "&amp;$P102&amp;IF($Q102&gt;0," · étage "&amp;$Q102&amp;" terminé","")</f>
        <v>Niv. 10 · étage 80 terminé</v>
      </c>
      <c r="S102" s="14" t="n">
        <f aca="false">IF(ISNUMBER($I102),$K102*IF($H102="Zone",Paramètres!$B$8,1)/MAX(1,$I102),0)</f>
        <v>0.3</v>
      </c>
      <c r="T102" s="16" t="n">
        <v>10</v>
      </c>
      <c r="U102" s="16" t="n">
        <v>8</v>
      </c>
    </row>
    <row r="103" customFormat="false" ht="15" hidden="false" customHeight="true" outlineLevel="0" collapsed="false">
      <c r="A103" s="9" t="s">
        <v>172</v>
      </c>
      <c r="B103" s="10" t="str">
        <f aca="false">INDEX(Bases!$B$5:$B$83,$T103)</f>
        <v>Guerrier</v>
      </c>
      <c r="C103" s="10" t="str">
        <f aca="false">INDEX(Bases!$E$5:$E$83,$T103)</f>
        <v>Soutien (arme 2)</v>
      </c>
      <c r="D103" s="10" t="str">
        <f aca="false">INDEX(Bases!$F$5:$F$83,$T103)</f>
        <v>Debuff</v>
      </c>
      <c r="E103" s="11" t="str">
        <f aca="false">INDEX(Bases!$C$5:$C$83,$T103)</f>
        <v>Coup de bouclier</v>
      </c>
      <c r="F103" s="10" t="str">
        <f aca="false">INDEX(Éléments!$A$5:$A$14,$U103)</f>
        <v>Lumière</v>
      </c>
      <c r="G103" s="12" t="str">
        <f aca="false">IF(OR($F103="Neutre",$C103="Passif"),$E103,INDEX(Bases!$D$5:$D$83,$T103)&amp;" "&amp;INDEX(Éléments!$D$5:$D$14,$U103))</f>
        <v>Coup de bouclier de lumière</v>
      </c>
      <c r="H103" s="10" t="str">
        <f aca="false">INDEX(Bases!$G$5:$G$83,$T103)</f>
        <v>Mono</v>
      </c>
      <c r="I103" s="13" t="n">
        <f aca="false">INDEX(Bases!$H$5:$H$83,$T103)</f>
        <v>2</v>
      </c>
      <c r="J103" s="10" t="str">
        <f aca="false">INDEX(Bases!$I$5:$I$83,$T103)</f>
        <v>Non</v>
      </c>
      <c r="K103" s="14" t="n">
        <f aca="false">INDEX(Bases!$J$5:$J$83,$T103)</f>
        <v>0.6</v>
      </c>
      <c r="L103" s="10" t="str">
        <f aca="false">INDEX(Bases!$K$5:$K$83,$T103)</f>
        <v>Force</v>
      </c>
      <c r="M103" s="11" t="str">
        <f aca="false">INDEX(Bases!$L$5:$L$83,$T103)</f>
        <v>25 % : Assommé (1 tour).</v>
      </c>
      <c r="N103" s="11" t="str">
        <f aca="false">IF($C103="Passif","—",IF($C103="Attaque (arme 1)",INDEX(Éléments!$F$5:$F$14,$U103),INDEX(Éléments!$G$5:$G$14,$U103)))</f>
        <v>+20 % sur les soins et boucliers de la compétence.</v>
      </c>
      <c r="O103" s="10" t="str">
        <f aca="false">INDEX(Bases!$M$5:$M$83,$T103)</f>
        <v>Active</v>
      </c>
      <c r="P103" s="13" t="n">
        <f aca="false">INDEX(Bases!$N$5:$N$83,$T103)</f>
        <v>10</v>
      </c>
      <c r="Q103" s="15" t="n">
        <f aca="false">INDEX(Éléments!$C$5:$C$14,$U103)</f>
        <v>90</v>
      </c>
      <c r="R103" s="11" t="str">
        <f aca="false">"Niv. "&amp;$P103&amp;IF($Q103&gt;0," · étage "&amp;$Q103&amp;" terminé","")</f>
        <v>Niv. 10 · étage 90 terminé</v>
      </c>
      <c r="S103" s="14" t="n">
        <f aca="false">IF(ISNUMBER($I103),$K103*IF($H103="Zone",Paramètres!$B$8,1)/MAX(1,$I103),0)</f>
        <v>0.3</v>
      </c>
      <c r="T103" s="16" t="n">
        <v>10</v>
      </c>
      <c r="U103" s="16" t="n">
        <v>9</v>
      </c>
    </row>
    <row r="104" customFormat="false" ht="15" hidden="false" customHeight="true" outlineLevel="0" collapsed="false">
      <c r="A104" s="9" t="s">
        <v>173</v>
      </c>
      <c r="B104" s="10" t="str">
        <f aca="false">INDEX(Bases!$B$5:$B$83,$T104)</f>
        <v>Guerrier</v>
      </c>
      <c r="C104" s="10" t="str">
        <f aca="false">INDEX(Bases!$E$5:$E$83,$T104)</f>
        <v>Soutien (arme 2)</v>
      </c>
      <c r="D104" s="10" t="str">
        <f aca="false">INDEX(Bases!$F$5:$F$83,$T104)</f>
        <v>Debuff</v>
      </c>
      <c r="E104" s="11" t="str">
        <f aca="false">INDEX(Bases!$C$5:$C$83,$T104)</f>
        <v>Coup de bouclier</v>
      </c>
      <c r="F104" s="10" t="str">
        <f aca="false">INDEX(Éléments!$A$5:$A$14,$U104)</f>
        <v>Ombre</v>
      </c>
      <c r="G104" s="12" t="str">
        <f aca="false">IF(OR($F104="Neutre",$C104="Passif"),$E104,INDEX(Bases!$D$5:$D$83,$T104)&amp;" "&amp;INDEX(Éléments!$D$5:$D$14,$U104))</f>
        <v>Coup de bouclier d'ombre</v>
      </c>
      <c r="H104" s="10" t="str">
        <f aca="false">INDEX(Bases!$G$5:$G$83,$T104)</f>
        <v>Mono</v>
      </c>
      <c r="I104" s="13" t="n">
        <f aca="false">INDEX(Bases!$H$5:$H$83,$T104)</f>
        <v>2</v>
      </c>
      <c r="J104" s="10" t="str">
        <f aca="false">INDEX(Bases!$I$5:$I$83,$T104)</f>
        <v>Non</v>
      </c>
      <c r="K104" s="14" t="n">
        <f aca="false">INDEX(Bases!$J$5:$J$83,$T104)</f>
        <v>0.6</v>
      </c>
      <c r="L104" s="10" t="str">
        <f aca="false">INDEX(Bases!$K$5:$K$83,$T104)</f>
        <v>Force</v>
      </c>
      <c r="M104" s="11" t="str">
        <f aca="false">INDEX(Bases!$L$5:$L$83,$T104)</f>
        <v>25 % : Assommé (1 tour).</v>
      </c>
      <c r="N104" s="11" t="str">
        <f aca="false">IF($C104="Passif","—",IF($C104="Attaque (arme 1)",INDEX(Éléments!$F$5:$F$14,$U104),INDEX(Éléments!$G$5:$G$14,$U104)))</f>
        <v>Les ennemis qui frappent le lanceur subissent Corruption (25 %).</v>
      </c>
      <c r="O104" s="10" t="str">
        <f aca="false">INDEX(Bases!$M$5:$M$83,$T104)</f>
        <v>Active</v>
      </c>
      <c r="P104" s="13" t="n">
        <f aca="false">INDEX(Bases!$N$5:$N$83,$T104)</f>
        <v>10</v>
      </c>
      <c r="Q104" s="15" t="n">
        <f aca="false">INDEX(Éléments!$C$5:$C$14,$U104)</f>
        <v>100</v>
      </c>
      <c r="R104" s="11" t="str">
        <f aca="false">"Niv. "&amp;$P104&amp;IF($Q104&gt;0," · étage "&amp;$Q104&amp;" terminé","")</f>
        <v>Niv. 10 · étage 100 terminé</v>
      </c>
      <c r="S104" s="14" t="n">
        <f aca="false">IF(ISNUMBER($I104),$K104*IF($H104="Zone",Paramètres!$B$8,1)/MAX(1,$I104),0)</f>
        <v>0.3</v>
      </c>
      <c r="T104" s="16" t="n">
        <v>10</v>
      </c>
      <c r="U104" s="16" t="n">
        <v>10</v>
      </c>
    </row>
    <row r="105" customFormat="false" ht="15" hidden="false" customHeight="true" outlineLevel="0" collapsed="false">
      <c r="A105" s="9" t="s">
        <v>174</v>
      </c>
      <c r="B105" s="10" t="str">
        <f aca="false">INDEX(Bases!$B$5:$B$83,$T105)</f>
        <v>Guerrier</v>
      </c>
      <c r="C105" s="10" t="str">
        <f aca="false">INDEX(Bases!$E$5:$E$83,$T105)</f>
        <v>Soutien (arme 2)</v>
      </c>
      <c r="D105" s="10" t="str">
        <f aca="false">INDEX(Bases!$F$5:$F$83,$T105)</f>
        <v>Buff</v>
      </c>
      <c r="E105" s="11" t="str">
        <f aca="false">INDEX(Bases!$C$5:$C$83,$T105)</f>
        <v>Cri de guerre</v>
      </c>
      <c r="F105" s="10" t="str">
        <f aca="false">INDEX(Éléments!$A$5:$A$14,$U105)</f>
        <v>Neutre</v>
      </c>
      <c r="G105" s="12" t="str">
        <f aca="false">IF(OR($F105="Neutre",$C105="Passif"),$E105,INDEX(Bases!$D$5:$D$83,$T105)&amp;" "&amp;INDEX(Éléments!$D$5:$D$14,$U105))</f>
        <v>Cri de guerre</v>
      </c>
      <c r="H105" s="10" t="str">
        <f aca="false">INDEX(Bases!$G$5:$G$83,$T105)</f>
        <v>Soi</v>
      </c>
      <c r="I105" s="13" t="n">
        <f aca="false">INDEX(Bases!$H$5:$H$83,$T105)</f>
        <v>2</v>
      </c>
      <c r="J105" s="10" t="str">
        <f aca="false">INDEX(Bases!$I$5:$I$83,$T105)</f>
        <v>Non</v>
      </c>
      <c r="K105" s="14" t="n">
        <f aca="false">INDEX(Bases!$J$5:$J$83,$T105)</f>
        <v>0</v>
      </c>
      <c r="L105" s="10" t="str">
        <f aca="false">INDEX(Bases!$K$5:$K$83,$T105)</f>
        <v>Force</v>
      </c>
      <c r="M105" s="11" t="str">
        <f aca="false">INDEX(Bases!$L$5:$L$83,$T105)</f>
        <v>+20 % de Force pendant 2 tours.</v>
      </c>
      <c r="N105" s="11" t="str">
        <f aca="false">IF($C105="Passif","—",IF($C105="Attaque (arme 1)",INDEX(Éléments!$F$5:$F$14,$U105),INDEX(Éléments!$G$5:$G$14,$U105)))</f>
        <v>Aucun bonus élémentaire : effet de base seul.</v>
      </c>
      <c r="O105" s="10" t="str">
        <f aca="false">INDEX(Bases!$M$5:$M$83,$T105)</f>
        <v>Active</v>
      </c>
      <c r="P105" s="13" t="n">
        <f aca="false">INDEX(Bases!$N$5:$N$83,$T105)</f>
        <v>15</v>
      </c>
      <c r="Q105" s="15" t="n">
        <f aca="false">INDEX(Éléments!$C$5:$C$14,$U105)</f>
        <v>0</v>
      </c>
      <c r="R105" s="11" t="str">
        <f aca="false">"Niv. "&amp;$P105&amp;IF($Q105&gt;0," · étage "&amp;$Q105&amp;" terminé","")</f>
        <v>Niv. 15</v>
      </c>
      <c r="S105" s="14" t="n">
        <f aca="false">IF(ISNUMBER($I105),$K105*IF($H105="Zone",Paramètres!$B$8,1)/MAX(1,$I105),0)</f>
        <v>0</v>
      </c>
      <c r="T105" s="16" t="n">
        <v>11</v>
      </c>
      <c r="U105" s="16" t="n">
        <v>1</v>
      </c>
    </row>
    <row r="106" customFormat="false" ht="15" hidden="false" customHeight="true" outlineLevel="0" collapsed="false">
      <c r="A106" s="9" t="s">
        <v>175</v>
      </c>
      <c r="B106" s="10" t="str">
        <f aca="false">INDEX(Bases!$B$5:$B$83,$T106)</f>
        <v>Guerrier</v>
      </c>
      <c r="C106" s="10" t="str">
        <f aca="false">INDEX(Bases!$E$5:$E$83,$T106)</f>
        <v>Soutien (arme 2)</v>
      </c>
      <c r="D106" s="10" t="str">
        <f aca="false">INDEX(Bases!$F$5:$F$83,$T106)</f>
        <v>Buff</v>
      </c>
      <c r="E106" s="11" t="str">
        <f aca="false">INDEX(Bases!$C$5:$C$83,$T106)</f>
        <v>Cri de guerre</v>
      </c>
      <c r="F106" s="10" t="str">
        <f aca="false">INDEX(Éléments!$A$5:$A$14,$U106)</f>
        <v>Terre</v>
      </c>
      <c r="G106" s="12" t="str">
        <f aca="false">IF(OR($F106="Neutre",$C106="Passif"),$E106,INDEX(Bases!$D$5:$D$83,$T106)&amp;" "&amp;INDEX(Éléments!$D$5:$D$14,$U106))</f>
        <v>Cri de pierre</v>
      </c>
      <c r="H106" s="10" t="str">
        <f aca="false">INDEX(Bases!$G$5:$G$83,$T106)</f>
        <v>Soi</v>
      </c>
      <c r="I106" s="13" t="n">
        <f aca="false">INDEX(Bases!$H$5:$H$83,$T106)</f>
        <v>2</v>
      </c>
      <c r="J106" s="10" t="str">
        <f aca="false">INDEX(Bases!$I$5:$I$83,$T106)</f>
        <v>Non</v>
      </c>
      <c r="K106" s="14" t="n">
        <f aca="false">INDEX(Bases!$J$5:$J$83,$T106)</f>
        <v>0</v>
      </c>
      <c r="L106" s="10" t="str">
        <f aca="false">INDEX(Bases!$K$5:$K$83,$T106)</f>
        <v>Force</v>
      </c>
      <c r="M106" s="11" t="str">
        <f aca="false">INDEX(Bases!$L$5:$L$83,$T106)</f>
        <v>+20 % de Force pendant 2 tours.</v>
      </c>
      <c r="N106" s="11" t="str">
        <f aca="false">IF($C106="Passif","—",IF($C106="Attaque (arme 1)",INDEX(Éléments!$F$5:$F$14,$U106),INDEX(Éléments!$G$5:$G$14,$U106)))</f>
        <v>+15 % d'Armure pendant la durée de l'effet.</v>
      </c>
      <c r="O106" s="10" t="str">
        <f aca="false">INDEX(Bases!$M$5:$M$83,$T106)</f>
        <v>Active</v>
      </c>
      <c r="P106" s="13" t="n">
        <f aca="false">INDEX(Bases!$N$5:$N$83,$T106)</f>
        <v>15</v>
      </c>
      <c r="Q106" s="15" t="n">
        <f aca="false">INDEX(Éléments!$C$5:$C$14,$U106)</f>
        <v>20</v>
      </c>
      <c r="R106" s="11" t="str">
        <f aca="false">"Niv. "&amp;$P106&amp;IF($Q106&gt;0," · étage "&amp;$Q106&amp;" terminé","")</f>
        <v>Niv. 15 · étage 20 terminé</v>
      </c>
      <c r="S106" s="14" t="n">
        <f aca="false">IF(ISNUMBER($I106),$K106*IF($H106="Zone",Paramètres!$B$8,1)/MAX(1,$I106),0)</f>
        <v>0</v>
      </c>
      <c r="T106" s="16" t="n">
        <v>11</v>
      </c>
      <c r="U106" s="16" t="n">
        <v>2</v>
      </c>
    </row>
    <row r="107" customFormat="false" ht="15" hidden="false" customHeight="true" outlineLevel="0" collapsed="false">
      <c r="A107" s="9" t="s">
        <v>176</v>
      </c>
      <c r="B107" s="10" t="str">
        <f aca="false">INDEX(Bases!$B$5:$B$83,$T107)</f>
        <v>Guerrier</v>
      </c>
      <c r="C107" s="10" t="str">
        <f aca="false">INDEX(Bases!$E$5:$E$83,$T107)</f>
        <v>Soutien (arme 2)</v>
      </c>
      <c r="D107" s="10" t="str">
        <f aca="false">INDEX(Bases!$F$5:$F$83,$T107)</f>
        <v>Buff</v>
      </c>
      <c r="E107" s="11" t="str">
        <f aca="false">INDEX(Bases!$C$5:$C$83,$T107)</f>
        <v>Cri de guerre</v>
      </c>
      <c r="F107" s="10" t="str">
        <f aca="false">INDEX(Éléments!$A$5:$A$14,$U107)</f>
        <v>Feu</v>
      </c>
      <c r="G107" s="12" t="str">
        <f aca="false">IF(OR($F107="Neutre",$C107="Passif"),$E107,INDEX(Bases!$D$5:$D$83,$T107)&amp;" "&amp;INDEX(Éléments!$D$5:$D$14,$U107))</f>
        <v>Cri de feu</v>
      </c>
      <c r="H107" s="10" t="str">
        <f aca="false">INDEX(Bases!$G$5:$G$83,$T107)</f>
        <v>Soi</v>
      </c>
      <c r="I107" s="13" t="n">
        <f aca="false">INDEX(Bases!$H$5:$H$83,$T107)</f>
        <v>2</v>
      </c>
      <c r="J107" s="10" t="str">
        <f aca="false">INDEX(Bases!$I$5:$I$83,$T107)</f>
        <v>Non</v>
      </c>
      <c r="K107" s="14" t="n">
        <f aca="false">INDEX(Bases!$J$5:$J$83,$T107)</f>
        <v>0</v>
      </c>
      <c r="L107" s="10" t="str">
        <f aca="false">INDEX(Bases!$K$5:$K$83,$T107)</f>
        <v>Force</v>
      </c>
      <c r="M107" s="11" t="str">
        <f aca="false">INDEX(Bases!$L$5:$L$83,$T107)</f>
        <v>+20 % de Force pendant 2 tours.</v>
      </c>
      <c r="N107" s="11" t="str">
        <f aca="false">IF($C107="Passif","—",IF($C107="Attaque (arme 1)",INDEX(Éléments!$F$5:$F$14,$U107),INDEX(Éléments!$G$5:$G$14,$U107)))</f>
        <v>Les ennemis qui frappent le lanceur ont 40 % de subir Brûlure (pendant la durée).</v>
      </c>
      <c r="O107" s="10" t="str">
        <f aca="false">INDEX(Bases!$M$5:$M$83,$T107)</f>
        <v>Active</v>
      </c>
      <c r="P107" s="13" t="n">
        <f aca="false">INDEX(Bases!$N$5:$N$83,$T107)</f>
        <v>15</v>
      </c>
      <c r="Q107" s="15" t="n">
        <f aca="false">INDEX(Éléments!$C$5:$C$14,$U107)</f>
        <v>30</v>
      </c>
      <c r="R107" s="11" t="str">
        <f aca="false">"Niv. "&amp;$P107&amp;IF($Q107&gt;0," · étage "&amp;$Q107&amp;" terminé","")</f>
        <v>Niv. 15 · étage 30 terminé</v>
      </c>
      <c r="S107" s="14" t="n">
        <f aca="false">IF(ISNUMBER($I107),$K107*IF($H107="Zone",Paramètres!$B$8,1)/MAX(1,$I107),0)</f>
        <v>0</v>
      </c>
      <c r="T107" s="16" t="n">
        <v>11</v>
      </c>
      <c r="U107" s="16" t="n">
        <v>3</v>
      </c>
    </row>
    <row r="108" customFormat="false" ht="15" hidden="false" customHeight="true" outlineLevel="0" collapsed="false">
      <c r="A108" s="9" t="s">
        <v>177</v>
      </c>
      <c r="B108" s="10" t="str">
        <f aca="false">INDEX(Bases!$B$5:$B$83,$T108)</f>
        <v>Guerrier</v>
      </c>
      <c r="C108" s="10" t="str">
        <f aca="false">INDEX(Bases!$E$5:$E$83,$T108)</f>
        <v>Soutien (arme 2)</v>
      </c>
      <c r="D108" s="10" t="str">
        <f aca="false">INDEX(Bases!$F$5:$F$83,$T108)</f>
        <v>Buff</v>
      </c>
      <c r="E108" s="11" t="str">
        <f aca="false">INDEX(Bases!$C$5:$C$83,$T108)</f>
        <v>Cri de guerre</v>
      </c>
      <c r="F108" s="10" t="str">
        <f aca="false">INDEX(Éléments!$A$5:$A$14,$U108)</f>
        <v>Vent</v>
      </c>
      <c r="G108" s="12" t="str">
        <f aca="false">IF(OR($F108="Neutre",$C108="Passif"),$E108,INDEX(Bases!$D$5:$D$83,$T108)&amp;" "&amp;INDEX(Éléments!$D$5:$D$14,$U108))</f>
        <v>Cri de vent</v>
      </c>
      <c r="H108" s="10" t="str">
        <f aca="false">INDEX(Bases!$G$5:$G$83,$T108)</f>
        <v>Soi</v>
      </c>
      <c r="I108" s="13" t="n">
        <f aca="false">INDEX(Bases!$H$5:$H$83,$T108)</f>
        <v>2</v>
      </c>
      <c r="J108" s="10" t="str">
        <f aca="false">INDEX(Bases!$I$5:$I$83,$T108)</f>
        <v>Non</v>
      </c>
      <c r="K108" s="14" t="n">
        <f aca="false">INDEX(Bases!$J$5:$J$83,$T108)</f>
        <v>0</v>
      </c>
      <c r="L108" s="10" t="str">
        <f aca="false">INDEX(Bases!$K$5:$K$83,$T108)</f>
        <v>Force</v>
      </c>
      <c r="M108" s="11" t="str">
        <f aca="false">INDEX(Bases!$L$5:$L$83,$T108)</f>
        <v>+20 % de Force pendant 2 tours.</v>
      </c>
      <c r="N108" s="11" t="str">
        <f aca="false">IF($C108="Passif","—",IF($C108="Attaque (arme 1)",INDEX(Éléments!$F$5:$F$14,$U108),INDEX(Éléments!$G$5:$G$14,$U108)))</f>
        <v>+10 % d'Agilité (esquive) pendant la durée de l'effet.</v>
      </c>
      <c r="O108" s="10" t="str">
        <f aca="false">INDEX(Bases!$M$5:$M$83,$T108)</f>
        <v>Active</v>
      </c>
      <c r="P108" s="13" t="n">
        <f aca="false">INDEX(Bases!$N$5:$N$83,$T108)</f>
        <v>15</v>
      </c>
      <c r="Q108" s="15" t="n">
        <f aca="false">INDEX(Éléments!$C$5:$C$14,$U108)</f>
        <v>40</v>
      </c>
      <c r="R108" s="11" t="str">
        <f aca="false">"Niv. "&amp;$P108&amp;IF($Q108&gt;0," · étage "&amp;$Q108&amp;" terminé","")</f>
        <v>Niv. 15 · étage 40 terminé</v>
      </c>
      <c r="S108" s="14" t="n">
        <f aca="false">IF(ISNUMBER($I108),$K108*IF($H108="Zone",Paramètres!$B$8,1)/MAX(1,$I108),0)</f>
        <v>0</v>
      </c>
      <c r="T108" s="16" t="n">
        <v>11</v>
      </c>
      <c r="U108" s="16" t="n">
        <v>4</v>
      </c>
    </row>
    <row r="109" customFormat="false" ht="15" hidden="false" customHeight="true" outlineLevel="0" collapsed="false">
      <c r="A109" s="9" t="s">
        <v>178</v>
      </c>
      <c r="B109" s="10" t="str">
        <f aca="false">INDEX(Bases!$B$5:$B$83,$T109)</f>
        <v>Guerrier</v>
      </c>
      <c r="C109" s="10" t="str">
        <f aca="false">INDEX(Bases!$E$5:$E$83,$T109)</f>
        <v>Soutien (arme 2)</v>
      </c>
      <c r="D109" s="10" t="str">
        <f aca="false">INDEX(Bases!$F$5:$F$83,$T109)</f>
        <v>Buff</v>
      </c>
      <c r="E109" s="11" t="str">
        <f aca="false">INDEX(Bases!$C$5:$C$83,$T109)</f>
        <v>Cri de guerre</v>
      </c>
      <c r="F109" s="10" t="str">
        <f aca="false">INDEX(Éléments!$A$5:$A$14,$U109)</f>
        <v>Acide</v>
      </c>
      <c r="G109" s="12" t="str">
        <f aca="false">IF(OR($F109="Neutre",$C109="Passif"),$E109,INDEX(Bases!$D$5:$D$83,$T109)&amp;" "&amp;INDEX(Éléments!$D$5:$D$14,$U109))</f>
        <v>Cri d'acide</v>
      </c>
      <c r="H109" s="10" t="str">
        <f aca="false">INDEX(Bases!$G$5:$G$83,$T109)</f>
        <v>Soi</v>
      </c>
      <c r="I109" s="13" t="n">
        <f aca="false">INDEX(Bases!$H$5:$H$83,$T109)</f>
        <v>2</v>
      </c>
      <c r="J109" s="10" t="str">
        <f aca="false">INDEX(Bases!$I$5:$I$83,$T109)</f>
        <v>Non</v>
      </c>
      <c r="K109" s="14" t="n">
        <f aca="false">INDEX(Bases!$J$5:$J$83,$T109)</f>
        <v>0</v>
      </c>
      <c r="L109" s="10" t="str">
        <f aca="false">INDEX(Bases!$K$5:$K$83,$T109)</f>
        <v>Force</v>
      </c>
      <c r="M109" s="11" t="str">
        <f aca="false">INDEX(Bases!$L$5:$L$83,$T109)</f>
        <v>+20 % de Force pendant 2 tours.</v>
      </c>
      <c r="N109" s="11" t="str">
        <f aca="false">IF($C109="Passif","—",IF($C109="Attaque (arme 1)",INDEX(Éléments!$F$5:$F$14,$U109),INDEX(Éléments!$G$5:$G$14,$U109)))</f>
        <v>Les ennemis qui frappent le lanceur prennent 1 pile de Corrosion (40 %).</v>
      </c>
      <c r="O109" s="10" t="str">
        <f aca="false">INDEX(Bases!$M$5:$M$83,$T109)</f>
        <v>Active</v>
      </c>
      <c r="P109" s="13" t="n">
        <f aca="false">INDEX(Bases!$N$5:$N$83,$T109)</f>
        <v>15</v>
      </c>
      <c r="Q109" s="15" t="n">
        <f aca="false">INDEX(Éléments!$C$5:$C$14,$U109)</f>
        <v>50</v>
      </c>
      <c r="R109" s="11" t="str">
        <f aca="false">"Niv. "&amp;$P109&amp;IF($Q109&gt;0," · étage "&amp;$Q109&amp;" terminé","")</f>
        <v>Niv. 15 · étage 50 terminé</v>
      </c>
      <c r="S109" s="14" t="n">
        <f aca="false">IF(ISNUMBER($I109),$K109*IF($H109="Zone",Paramètres!$B$8,1)/MAX(1,$I109),0)</f>
        <v>0</v>
      </c>
      <c r="T109" s="16" t="n">
        <v>11</v>
      </c>
      <c r="U109" s="16" t="n">
        <v>5</v>
      </c>
    </row>
    <row r="110" customFormat="false" ht="15" hidden="false" customHeight="true" outlineLevel="0" collapsed="false">
      <c r="A110" s="9" t="s">
        <v>179</v>
      </c>
      <c r="B110" s="10" t="str">
        <f aca="false">INDEX(Bases!$B$5:$B$83,$T110)</f>
        <v>Guerrier</v>
      </c>
      <c r="C110" s="10" t="str">
        <f aca="false">INDEX(Bases!$E$5:$E$83,$T110)</f>
        <v>Soutien (arme 2)</v>
      </c>
      <c r="D110" s="10" t="str">
        <f aca="false">INDEX(Bases!$F$5:$F$83,$T110)</f>
        <v>Buff</v>
      </c>
      <c r="E110" s="11" t="str">
        <f aca="false">INDEX(Bases!$C$5:$C$83,$T110)</f>
        <v>Cri de guerre</v>
      </c>
      <c r="F110" s="10" t="str">
        <f aca="false">INDEX(Éléments!$A$5:$A$14,$U110)</f>
        <v>Eau</v>
      </c>
      <c r="G110" s="12" t="str">
        <f aca="false">IF(OR($F110="Neutre",$C110="Passif"),$E110,INDEX(Bases!$D$5:$D$83,$T110)&amp;" "&amp;INDEX(Éléments!$D$5:$D$14,$U110))</f>
        <v>Cri d'eau</v>
      </c>
      <c r="H110" s="10" t="str">
        <f aca="false">INDEX(Bases!$G$5:$G$83,$T110)</f>
        <v>Soi</v>
      </c>
      <c r="I110" s="13" t="n">
        <f aca="false">INDEX(Bases!$H$5:$H$83,$T110)</f>
        <v>2</v>
      </c>
      <c r="J110" s="10" t="str">
        <f aca="false">INDEX(Bases!$I$5:$I$83,$T110)</f>
        <v>Non</v>
      </c>
      <c r="K110" s="14" t="n">
        <f aca="false">INDEX(Bases!$J$5:$J$83,$T110)</f>
        <v>0</v>
      </c>
      <c r="L110" s="10" t="str">
        <f aca="false">INDEX(Bases!$K$5:$K$83,$T110)</f>
        <v>Force</v>
      </c>
      <c r="M110" s="11" t="str">
        <f aca="false">INDEX(Bases!$L$5:$L$83,$T110)</f>
        <v>+20 % de Force pendant 2 tours.</v>
      </c>
      <c r="N110" s="11" t="str">
        <f aca="false">IF($C110="Passif","—",IF($C110="Attaque (arme 1)",INDEX(Éléments!$F$5:$F$14,$U110),INDEX(Éléments!$G$5:$G$14,$U110)))</f>
        <v>Soin supplémentaire de 4 % des PV max ; retire Brûlure du lanceur.</v>
      </c>
      <c r="O110" s="10" t="str">
        <f aca="false">INDEX(Bases!$M$5:$M$83,$T110)</f>
        <v>Active</v>
      </c>
      <c r="P110" s="13" t="n">
        <f aca="false">INDEX(Bases!$N$5:$N$83,$T110)</f>
        <v>15</v>
      </c>
      <c r="Q110" s="15" t="n">
        <f aca="false">INDEX(Éléments!$C$5:$C$14,$U110)</f>
        <v>60</v>
      </c>
      <c r="R110" s="11" t="str">
        <f aca="false">"Niv. "&amp;$P110&amp;IF($Q110&gt;0," · étage "&amp;$Q110&amp;" terminé","")</f>
        <v>Niv. 15 · étage 60 terminé</v>
      </c>
      <c r="S110" s="14" t="n">
        <f aca="false">IF(ISNUMBER($I110),$K110*IF($H110="Zone",Paramètres!$B$8,1)/MAX(1,$I110),0)</f>
        <v>0</v>
      </c>
      <c r="T110" s="16" t="n">
        <v>11</v>
      </c>
      <c r="U110" s="16" t="n">
        <v>6</v>
      </c>
    </row>
    <row r="111" customFormat="false" ht="15" hidden="false" customHeight="true" outlineLevel="0" collapsed="false">
      <c r="A111" s="9" t="s">
        <v>180</v>
      </c>
      <c r="B111" s="10" t="str">
        <f aca="false">INDEX(Bases!$B$5:$B$83,$T111)</f>
        <v>Guerrier</v>
      </c>
      <c r="C111" s="10" t="str">
        <f aca="false">INDEX(Bases!$E$5:$E$83,$T111)</f>
        <v>Soutien (arme 2)</v>
      </c>
      <c r="D111" s="10" t="str">
        <f aca="false">INDEX(Bases!$F$5:$F$83,$T111)</f>
        <v>Buff</v>
      </c>
      <c r="E111" s="11" t="str">
        <f aca="false">INDEX(Bases!$C$5:$C$83,$T111)</f>
        <v>Cri de guerre</v>
      </c>
      <c r="F111" s="10" t="str">
        <f aca="false">INDEX(Éléments!$A$5:$A$14,$U111)</f>
        <v>Glace</v>
      </c>
      <c r="G111" s="12" t="str">
        <f aca="false">IF(OR($F111="Neutre",$C111="Passif"),$E111,INDEX(Bases!$D$5:$D$83,$T111)&amp;" "&amp;INDEX(Éléments!$D$5:$D$14,$U111))</f>
        <v>Cri de glace</v>
      </c>
      <c r="H111" s="10" t="str">
        <f aca="false">INDEX(Bases!$G$5:$G$83,$T111)</f>
        <v>Soi</v>
      </c>
      <c r="I111" s="13" t="n">
        <f aca="false">INDEX(Bases!$H$5:$H$83,$T111)</f>
        <v>2</v>
      </c>
      <c r="J111" s="10" t="str">
        <f aca="false">INDEX(Bases!$I$5:$I$83,$T111)</f>
        <v>Non</v>
      </c>
      <c r="K111" s="14" t="n">
        <f aca="false">INDEX(Bases!$J$5:$J$83,$T111)</f>
        <v>0</v>
      </c>
      <c r="L111" s="10" t="str">
        <f aca="false">INDEX(Bases!$K$5:$K$83,$T111)</f>
        <v>Force</v>
      </c>
      <c r="M111" s="11" t="str">
        <f aca="false">INDEX(Bases!$L$5:$L$83,$T111)</f>
        <v>+20 % de Force pendant 2 tours.</v>
      </c>
      <c r="N111" s="11" t="str">
        <f aca="false">IF($C111="Passif","—",IF($C111="Attaque (arme 1)",INDEX(Éléments!$F$5:$F$14,$U111),INDEX(Éléments!$G$5:$G$14,$U111)))</f>
        <v>Les ennemis qui frappent le lanceur prennent 1 pile de Froid (40 %).</v>
      </c>
      <c r="O111" s="10" t="str">
        <f aca="false">INDEX(Bases!$M$5:$M$83,$T111)</f>
        <v>Active</v>
      </c>
      <c r="P111" s="13" t="n">
        <f aca="false">INDEX(Bases!$N$5:$N$83,$T111)</f>
        <v>15</v>
      </c>
      <c r="Q111" s="15" t="n">
        <f aca="false">INDEX(Éléments!$C$5:$C$14,$U111)</f>
        <v>70</v>
      </c>
      <c r="R111" s="11" t="str">
        <f aca="false">"Niv. "&amp;$P111&amp;IF($Q111&gt;0," · étage "&amp;$Q111&amp;" terminé","")</f>
        <v>Niv. 15 · étage 70 terminé</v>
      </c>
      <c r="S111" s="14" t="n">
        <f aca="false">IF(ISNUMBER($I111),$K111*IF($H111="Zone",Paramètres!$B$8,1)/MAX(1,$I111),0)</f>
        <v>0</v>
      </c>
      <c r="T111" s="16" t="n">
        <v>11</v>
      </c>
      <c r="U111" s="16" t="n">
        <v>7</v>
      </c>
    </row>
    <row r="112" customFormat="false" ht="15" hidden="false" customHeight="true" outlineLevel="0" collapsed="false">
      <c r="A112" s="9" t="s">
        <v>181</v>
      </c>
      <c r="B112" s="10" t="str">
        <f aca="false">INDEX(Bases!$B$5:$B$83,$T112)</f>
        <v>Guerrier</v>
      </c>
      <c r="C112" s="10" t="str">
        <f aca="false">INDEX(Bases!$E$5:$E$83,$T112)</f>
        <v>Soutien (arme 2)</v>
      </c>
      <c r="D112" s="10" t="str">
        <f aca="false">INDEX(Bases!$F$5:$F$83,$T112)</f>
        <v>Buff</v>
      </c>
      <c r="E112" s="11" t="str">
        <f aca="false">INDEX(Bases!$C$5:$C$83,$T112)</f>
        <v>Cri de guerre</v>
      </c>
      <c r="F112" s="10" t="str">
        <f aca="false">INDEX(Éléments!$A$5:$A$14,$U112)</f>
        <v>Électricité</v>
      </c>
      <c r="G112" s="12" t="str">
        <f aca="false">IF(OR($F112="Neutre",$C112="Passif"),$E112,INDEX(Bases!$D$5:$D$83,$T112)&amp;" "&amp;INDEX(Éléments!$D$5:$D$14,$U112))</f>
        <v>Cri de foudre</v>
      </c>
      <c r="H112" s="10" t="str">
        <f aca="false">INDEX(Bases!$G$5:$G$83,$T112)</f>
        <v>Soi</v>
      </c>
      <c r="I112" s="13" t="n">
        <f aca="false">INDEX(Bases!$H$5:$H$83,$T112)</f>
        <v>2</v>
      </c>
      <c r="J112" s="10" t="str">
        <f aca="false">INDEX(Bases!$I$5:$I$83,$T112)</f>
        <v>Non</v>
      </c>
      <c r="K112" s="14" t="n">
        <f aca="false">INDEX(Bases!$J$5:$J$83,$T112)</f>
        <v>0</v>
      </c>
      <c r="L112" s="10" t="str">
        <f aca="false">INDEX(Bases!$K$5:$K$83,$T112)</f>
        <v>Force</v>
      </c>
      <c r="M112" s="11" t="str">
        <f aca="false">INDEX(Bases!$L$5:$L$83,$T112)</f>
        <v>+20 % de Force pendant 2 tours.</v>
      </c>
      <c r="N112" s="11" t="str">
        <f aca="false">IF($C112="Passif","—",IF($C112="Attaque (arme 1)",INDEX(Éléments!$F$5:$F$14,$U112),INDEX(Éléments!$G$5:$G$14,$U112)))</f>
        <v>La prochaine attaque du lanceur inflige +15 % de dégâts.</v>
      </c>
      <c r="O112" s="10" t="str">
        <f aca="false">INDEX(Bases!$M$5:$M$83,$T112)</f>
        <v>Active</v>
      </c>
      <c r="P112" s="13" t="n">
        <f aca="false">INDEX(Bases!$N$5:$N$83,$T112)</f>
        <v>15</v>
      </c>
      <c r="Q112" s="15" t="n">
        <f aca="false">INDEX(Éléments!$C$5:$C$14,$U112)</f>
        <v>80</v>
      </c>
      <c r="R112" s="11" t="str">
        <f aca="false">"Niv. "&amp;$P112&amp;IF($Q112&gt;0," · étage "&amp;$Q112&amp;" terminé","")</f>
        <v>Niv. 15 · étage 80 terminé</v>
      </c>
      <c r="S112" s="14" t="n">
        <f aca="false">IF(ISNUMBER($I112),$K112*IF($H112="Zone",Paramètres!$B$8,1)/MAX(1,$I112),0)</f>
        <v>0</v>
      </c>
      <c r="T112" s="16" t="n">
        <v>11</v>
      </c>
      <c r="U112" s="16" t="n">
        <v>8</v>
      </c>
    </row>
    <row r="113" customFormat="false" ht="15" hidden="false" customHeight="true" outlineLevel="0" collapsed="false">
      <c r="A113" s="9" t="s">
        <v>182</v>
      </c>
      <c r="B113" s="10" t="str">
        <f aca="false">INDEX(Bases!$B$5:$B$83,$T113)</f>
        <v>Guerrier</v>
      </c>
      <c r="C113" s="10" t="str">
        <f aca="false">INDEX(Bases!$E$5:$E$83,$T113)</f>
        <v>Soutien (arme 2)</v>
      </c>
      <c r="D113" s="10" t="str">
        <f aca="false">INDEX(Bases!$F$5:$F$83,$T113)</f>
        <v>Buff</v>
      </c>
      <c r="E113" s="11" t="str">
        <f aca="false">INDEX(Bases!$C$5:$C$83,$T113)</f>
        <v>Cri de guerre</v>
      </c>
      <c r="F113" s="10" t="str">
        <f aca="false">INDEX(Éléments!$A$5:$A$14,$U113)</f>
        <v>Lumière</v>
      </c>
      <c r="G113" s="12" t="str">
        <f aca="false">IF(OR($F113="Neutre",$C113="Passif"),$E113,INDEX(Bases!$D$5:$D$83,$T113)&amp;" "&amp;INDEX(Éléments!$D$5:$D$14,$U113))</f>
        <v>Cri de lumière</v>
      </c>
      <c r="H113" s="10" t="str">
        <f aca="false">INDEX(Bases!$G$5:$G$83,$T113)</f>
        <v>Soi</v>
      </c>
      <c r="I113" s="13" t="n">
        <f aca="false">INDEX(Bases!$H$5:$H$83,$T113)</f>
        <v>2</v>
      </c>
      <c r="J113" s="10" t="str">
        <f aca="false">INDEX(Bases!$I$5:$I$83,$T113)</f>
        <v>Non</v>
      </c>
      <c r="K113" s="14" t="n">
        <f aca="false">INDEX(Bases!$J$5:$J$83,$T113)</f>
        <v>0</v>
      </c>
      <c r="L113" s="10" t="str">
        <f aca="false">INDEX(Bases!$K$5:$K$83,$T113)</f>
        <v>Force</v>
      </c>
      <c r="M113" s="11" t="str">
        <f aca="false">INDEX(Bases!$L$5:$L$83,$T113)</f>
        <v>+20 % de Force pendant 2 tours.</v>
      </c>
      <c r="N113" s="11" t="str">
        <f aca="false">IF($C113="Passif","—",IF($C113="Attaque (arme 1)",INDEX(Éléments!$F$5:$F$14,$U113),INDEX(Éléments!$G$5:$G$14,$U113)))</f>
        <v>+20 % sur les soins et boucliers de la compétence.</v>
      </c>
      <c r="O113" s="10" t="str">
        <f aca="false">INDEX(Bases!$M$5:$M$83,$T113)</f>
        <v>Active</v>
      </c>
      <c r="P113" s="13" t="n">
        <f aca="false">INDEX(Bases!$N$5:$N$83,$T113)</f>
        <v>15</v>
      </c>
      <c r="Q113" s="15" t="n">
        <f aca="false">INDEX(Éléments!$C$5:$C$14,$U113)</f>
        <v>90</v>
      </c>
      <c r="R113" s="11" t="str">
        <f aca="false">"Niv. "&amp;$P113&amp;IF($Q113&gt;0," · étage "&amp;$Q113&amp;" terminé","")</f>
        <v>Niv. 15 · étage 90 terminé</v>
      </c>
      <c r="S113" s="14" t="n">
        <f aca="false">IF(ISNUMBER($I113),$K113*IF($H113="Zone",Paramètres!$B$8,1)/MAX(1,$I113),0)</f>
        <v>0</v>
      </c>
      <c r="T113" s="16" t="n">
        <v>11</v>
      </c>
      <c r="U113" s="16" t="n">
        <v>9</v>
      </c>
    </row>
    <row r="114" customFormat="false" ht="15" hidden="false" customHeight="true" outlineLevel="0" collapsed="false">
      <c r="A114" s="9" t="s">
        <v>183</v>
      </c>
      <c r="B114" s="10" t="str">
        <f aca="false">INDEX(Bases!$B$5:$B$83,$T114)</f>
        <v>Guerrier</v>
      </c>
      <c r="C114" s="10" t="str">
        <f aca="false">INDEX(Bases!$E$5:$E$83,$T114)</f>
        <v>Soutien (arme 2)</v>
      </c>
      <c r="D114" s="10" t="str">
        <f aca="false">INDEX(Bases!$F$5:$F$83,$T114)</f>
        <v>Buff</v>
      </c>
      <c r="E114" s="11" t="str">
        <f aca="false">INDEX(Bases!$C$5:$C$83,$T114)</f>
        <v>Cri de guerre</v>
      </c>
      <c r="F114" s="10" t="str">
        <f aca="false">INDEX(Éléments!$A$5:$A$14,$U114)</f>
        <v>Ombre</v>
      </c>
      <c r="G114" s="12" t="str">
        <f aca="false">IF(OR($F114="Neutre",$C114="Passif"),$E114,INDEX(Bases!$D$5:$D$83,$T114)&amp;" "&amp;INDEX(Éléments!$D$5:$D$14,$U114))</f>
        <v>Cri d'ombre</v>
      </c>
      <c r="H114" s="10" t="str">
        <f aca="false">INDEX(Bases!$G$5:$G$83,$T114)</f>
        <v>Soi</v>
      </c>
      <c r="I114" s="13" t="n">
        <f aca="false">INDEX(Bases!$H$5:$H$83,$T114)</f>
        <v>2</v>
      </c>
      <c r="J114" s="10" t="str">
        <f aca="false">INDEX(Bases!$I$5:$I$83,$T114)</f>
        <v>Non</v>
      </c>
      <c r="K114" s="14" t="n">
        <f aca="false">INDEX(Bases!$J$5:$J$83,$T114)</f>
        <v>0</v>
      </c>
      <c r="L114" s="10" t="str">
        <f aca="false">INDEX(Bases!$K$5:$K$83,$T114)</f>
        <v>Force</v>
      </c>
      <c r="M114" s="11" t="str">
        <f aca="false">INDEX(Bases!$L$5:$L$83,$T114)</f>
        <v>+20 % de Force pendant 2 tours.</v>
      </c>
      <c r="N114" s="11" t="str">
        <f aca="false">IF($C114="Passif","—",IF($C114="Attaque (arme 1)",INDEX(Éléments!$F$5:$F$14,$U114),INDEX(Éléments!$G$5:$G$14,$U114)))</f>
        <v>Les ennemis qui frappent le lanceur subissent Corruption (25 %).</v>
      </c>
      <c r="O114" s="10" t="str">
        <f aca="false">INDEX(Bases!$M$5:$M$83,$T114)</f>
        <v>Active</v>
      </c>
      <c r="P114" s="13" t="n">
        <f aca="false">INDEX(Bases!$N$5:$N$83,$T114)</f>
        <v>15</v>
      </c>
      <c r="Q114" s="15" t="n">
        <f aca="false">INDEX(Éléments!$C$5:$C$14,$U114)</f>
        <v>100</v>
      </c>
      <c r="R114" s="11" t="str">
        <f aca="false">"Niv. "&amp;$P114&amp;IF($Q114&gt;0," · étage "&amp;$Q114&amp;" terminé","")</f>
        <v>Niv. 15 · étage 100 terminé</v>
      </c>
      <c r="S114" s="14" t="n">
        <f aca="false">IF(ISNUMBER($I114),$K114*IF($H114="Zone",Paramètres!$B$8,1)/MAX(1,$I114),0)</f>
        <v>0</v>
      </c>
      <c r="T114" s="16" t="n">
        <v>11</v>
      </c>
      <c r="U114" s="16" t="n">
        <v>10</v>
      </c>
    </row>
    <row r="115" customFormat="false" ht="15" hidden="false" customHeight="true" outlineLevel="0" collapsed="false">
      <c r="A115" s="9" t="s">
        <v>184</v>
      </c>
      <c r="B115" s="10" t="str">
        <f aca="false">INDEX(Bases!$B$5:$B$83,$T115)</f>
        <v>Guerrier</v>
      </c>
      <c r="C115" s="10" t="str">
        <f aca="false">INDEX(Bases!$E$5:$E$83,$T115)</f>
        <v>Soutien (arme 2)</v>
      </c>
      <c r="D115" s="10" t="str">
        <f aca="false">INDEX(Bases!$F$5:$F$83,$T115)</f>
        <v>Bouclier</v>
      </c>
      <c r="E115" s="11" t="str">
        <f aca="false">INDEX(Bases!$C$5:$C$83,$T115)</f>
        <v>Mur de boucliers</v>
      </c>
      <c r="F115" s="10" t="str">
        <f aca="false">INDEX(Éléments!$A$5:$A$14,$U115)</f>
        <v>Neutre</v>
      </c>
      <c r="G115" s="12" t="str">
        <f aca="false">IF(OR($F115="Neutre",$C115="Passif"),$E115,INDEX(Bases!$D$5:$D$83,$T115)&amp;" "&amp;INDEX(Éléments!$D$5:$D$14,$U115))</f>
        <v>Mur de boucliers</v>
      </c>
      <c r="H115" s="10" t="str">
        <f aca="false">INDEX(Bases!$G$5:$G$83,$T115)</f>
        <v>Soi</v>
      </c>
      <c r="I115" s="13" t="n">
        <f aca="false">INDEX(Bases!$H$5:$H$83,$T115)</f>
        <v>2</v>
      </c>
      <c r="J115" s="10" t="str">
        <f aca="false">INDEX(Bases!$I$5:$I$83,$T115)</f>
        <v>Non</v>
      </c>
      <c r="K115" s="14" t="n">
        <f aca="false">INDEX(Bases!$J$5:$J$83,$T115)</f>
        <v>0</v>
      </c>
      <c r="L115" s="10" t="str">
        <f aca="false">INDEX(Bases!$K$5:$K$83,$T115)</f>
        <v>Force</v>
      </c>
      <c r="M115" s="11" t="str">
        <f aca="false">INDEX(Bases!$L$5:$L$83,$T115)</f>
        <v>Bouclier = 15 % des PV max pendant 2 tours, en plus des PV (Vitalité).</v>
      </c>
      <c r="N115" s="11" t="str">
        <f aca="false">IF($C115="Passif","—",IF($C115="Attaque (arme 1)",INDEX(Éléments!$F$5:$F$14,$U115),INDEX(Éléments!$G$5:$G$14,$U115)))</f>
        <v>Aucun bonus élémentaire : effet de base seul.</v>
      </c>
      <c r="O115" s="10" t="str">
        <f aca="false">INDEX(Bases!$M$5:$M$83,$T115)</f>
        <v>Active</v>
      </c>
      <c r="P115" s="13" t="n">
        <f aca="false">INDEX(Bases!$N$5:$N$83,$T115)</f>
        <v>20</v>
      </c>
      <c r="Q115" s="15" t="n">
        <f aca="false">INDEX(Éléments!$C$5:$C$14,$U115)</f>
        <v>0</v>
      </c>
      <c r="R115" s="11" t="str">
        <f aca="false">"Niv. "&amp;$P115&amp;IF($Q115&gt;0," · étage "&amp;$Q115&amp;" terminé","")</f>
        <v>Niv. 20</v>
      </c>
      <c r="S115" s="14" t="n">
        <f aca="false">IF(ISNUMBER($I115),$K115*IF($H115="Zone",Paramètres!$B$8,1)/MAX(1,$I115),0)</f>
        <v>0</v>
      </c>
      <c r="T115" s="16" t="n">
        <v>12</v>
      </c>
      <c r="U115" s="16" t="n">
        <v>1</v>
      </c>
    </row>
    <row r="116" customFormat="false" ht="15" hidden="false" customHeight="true" outlineLevel="0" collapsed="false">
      <c r="A116" s="9" t="s">
        <v>185</v>
      </c>
      <c r="B116" s="10" t="str">
        <f aca="false">INDEX(Bases!$B$5:$B$83,$T116)</f>
        <v>Guerrier</v>
      </c>
      <c r="C116" s="10" t="str">
        <f aca="false">INDEX(Bases!$E$5:$E$83,$T116)</f>
        <v>Soutien (arme 2)</v>
      </c>
      <c r="D116" s="10" t="str">
        <f aca="false">INDEX(Bases!$F$5:$F$83,$T116)</f>
        <v>Bouclier</v>
      </c>
      <c r="E116" s="11" t="str">
        <f aca="false">INDEX(Bases!$C$5:$C$83,$T116)</f>
        <v>Mur de boucliers</v>
      </c>
      <c r="F116" s="10" t="str">
        <f aca="false">INDEX(Éléments!$A$5:$A$14,$U116)</f>
        <v>Terre</v>
      </c>
      <c r="G116" s="12" t="str">
        <f aca="false">IF(OR($F116="Neutre",$C116="Passif"),$E116,INDEX(Bases!$D$5:$D$83,$T116)&amp;" "&amp;INDEX(Éléments!$D$5:$D$14,$U116))</f>
        <v>Rempart de pierre</v>
      </c>
      <c r="H116" s="10" t="str">
        <f aca="false">INDEX(Bases!$G$5:$G$83,$T116)</f>
        <v>Soi</v>
      </c>
      <c r="I116" s="13" t="n">
        <f aca="false">INDEX(Bases!$H$5:$H$83,$T116)</f>
        <v>2</v>
      </c>
      <c r="J116" s="10" t="str">
        <f aca="false">INDEX(Bases!$I$5:$I$83,$T116)</f>
        <v>Non</v>
      </c>
      <c r="K116" s="14" t="n">
        <f aca="false">INDEX(Bases!$J$5:$J$83,$T116)</f>
        <v>0</v>
      </c>
      <c r="L116" s="10" t="str">
        <f aca="false">INDEX(Bases!$K$5:$K$83,$T116)</f>
        <v>Force</v>
      </c>
      <c r="M116" s="11" t="str">
        <f aca="false">INDEX(Bases!$L$5:$L$83,$T116)</f>
        <v>Bouclier = 15 % des PV max pendant 2 tours, en plus des PV (Vitalité).</v>
      </c>
      <c r="N116" s="11" t="str">
        <f aca="false">IF($C116="Passif","—",IF($C116="Attaque (arme 1)",INDEX(Éléments!$F$5:$F$14,$U116),INDEX(Éléments!$G$5:$G$14,$U116)))</f>
        <v>+15 % d'Armure pendant la durée de l'effet.</v>
      </c>
      <c r="O116" s="10" t="str">
        <f aca="false">INDEX(Bases!$M$5:$M$83,$T116)</f>
        <v>Active</v>
      </c>
      <c r="P116" s="13" t="n">
        <f aca="false">INDEX(Bases!$N$5:$N$83,$T116)</f>
        <v>20</v>
      </c>
      <c r="Q116" s="15" t="n">
        <f aca="false">INDEX(Éléments!$C$5:$C$14,$U116)</f>
        <v>20</v>
      </c>
      <c r="R116" s="11" t="str">
        <f aca="false">"Niv. "&amp;$P116&amp;IF($Q116&gt;0," · étage "&amp;$Q116&amp;" terminé","")</f>
        <v>Niv. 20 · étage 20 terminé</v>
      </c>
      <c r="S116" s="14" t="n">
        <f aca="false">IF(ISNUMBER($I116),$K116*IF($H116="Zone",Paramètres!$B$8,1)/MAX(1,$I116),0)</f>
        <v>0</v>
      </c>
      <c r="T116" s="16" t="n">
        <v>12</v>
      </c>
      <c r="U116" s="16" t="n">
        <v>2</v>
      </c>
    </row>
    <row r="117" customFormat="false" ht="15" hidden="false" customHeight="true" outlineLevel="0" collapsed="false">
      <c r="A117" s="9" t="s">
        <v>186</v>
      </c>
      <c r="B117" s="10" t="str">
        <f aca="false">INDEX(Bases!$B$5:$B$83,$T117)</f>
        <v>Guerrier</v>
      </c>
      <c r="C117" s="10" t="str">
        <f aca="false">INDEX(Bases!$E$5:$E$83,$T117)</f>
        <v>Soutien (arme 2)</v>
      </c>
      <c r="D117" s="10" t="str">
        <f aca="false">INDEX(Bases!$F$5:$F$83,$T117)</f>
        <v>Bouclier</v>
      </c>
      <c r="E117" s="11" t="str">
        <f aca="false">INDEX(Bases!$C$5:$C$83,$T117)</f>
        <v>Mur de boucliers</v>
      </c>
      <c r="F117" s="10" t="str">
        <f aca="false">INDEX(Éléments!$A$5:$A$14,$U117)</f>
        <v>Feu</v>
      </c>
      <c r="G117" s="12" t="str">
        <f aca="false">IF(OR($F117="Neutre",$C117="Passif"),$E117,INDEX(Bases!$D$5:$D$83,$T117)&amp;" "&amp;INDEX(Éléments!$D$5:$D$14,$U117))</f>
        <v>Rempart de feu</v>
      </c>
      <c r="H117" s="10" t="str">
        <f aca="false">INDEX(Bases!$G$5:$G$83,$T117)</f>
        <v>Soi</v>
      </c>
      <c r="I117" s="13" t="n">
        <f aca="false">INDEX(Bases!$H$5:$H$83,$T117)</f>
        <v>2</v>
      </c>
      <c r="J117" s="10" t="str">
        <f aca="false">INDEX(Bases!$I$5:$I$83,$T117)</f>
        <v>Non</v>
      </c>
      <c r="K117" s="14" t="n">
        <f aca="false">INDEX(Bases!$J$5:$J$83,$T117)</f>
        <v>0</v>
      </c>
      <c r="L117" s="10" t="str">
        <f aca="false">INDEX(Bases!$K$5:$K$83,$T117)</f>
        <v>Force</v>
      </c>
      <c r="M117" s="11" t="str">
        <f aca="false">INDEX(Bases!$L$5:$L$83,$T117)</f>
        <v>Bouclier = 15 % des PV max pendant 2 tours, en plus des PV (Vitalité).</v>
      </c>
      <c r="N117" s="11" t="str">
        <f aca="false">IF($C117="Passif","—",IF($C117="Attaque (arme 1)",INDEX(Éléments!$F$5:$F$14,$U117),INDEX(Éléments!$G$5:$G$14,$U117)))</f>
        <v>Les ennemis qui frappent le lanceur ont 40 % de subir Brûlure (pendant la durée).</v>
      </c>
      <c r="O117" s="10" t="str">
        <f aca="false">INDEX(Bases!$M$5:$M$83,$T117)</f>
        <v>Active</v>
      </c>
      <c r="P117" s="13" t="n">
        <f aca="false">INDEX(Bases!$N$5:$N$83,$T117)</f>
        <v>20</v>
      </c>
      <c r="Q117" s="15" t="n">
        <f aca="false">INDEX(Éléments!$C$5:$C$14,$U117)</f>
        <v>30</v>
      </c>
      <c r="R117" s="11" t="str">
        <f aca="false">"Niv. "&amp;$P117&amp;IF($Q117&gt;0," · étage "&amp;$Q117&amp;" terminé","")</f>
        <v>Niv. 20 · étage 30 terminé</v>
      </c>
      <c r="S117" s="14" t="n">
        <f aca="false">IF(ISNUMBER($I117),$K117*IF($H117="Zone",Paramètres!$B$8,1)/MAX(1,$I117),0)</f>
        <v>0</v>
      </c>
      <c r="T117" s="16" t="n">
        <v>12</v>
      </c>
      <c r="U117" s="16" t="n">
        <v>3</v>
      </c>
    </row>
    <row r="118" customFormat="false" ht="15" hidden="false" customHeight="true" outlineLevel="0" collapsed="false">
      <c r="A118" s="9" t="s">
        <v>187</v>
      </c>
      <c r="B118" s="10" t="str">
        <f aca="false">INDEX(Bases!$B$5:$B$83,$T118)</f>
        <v>Guerrier</v>
      </c>
      <c r="C118" s="10" t="str">
        <f aca="false">INDEX(Bases!$E$5:$E$83,$T118)</f>
        <v>Soutien (arme 2)</v>
      </c>
      <c r="D118" s="10" t="str">
        <f aca="false">INDEX(Bases!$F$5:$F$83,$T118)</f>
        <v>Bouclier</v>
      </c>
      <c r="E118" s="11" t="str">
        <f aca="false">INDEX(Bases!$C$5:$C$83,$T118)</f>
        <v>Mur de boucliers</v>
      </c>
      <c r="F118" s="10" t="str">
        <f aca="false">INDEX(Éléments!$A$5:$A$14,$U118)</f>
        <v>Vent</v>
      </c>
      <c r="G118" s="12" t="str">
        <f aca="false">IF(OR($F118="Neutre",$C118="Passif"),$E118,INDEX(Bases!$D$5:$D$83,$T118)&amp;" "&amp;INDEX(Éléments!$D$5:$D$14,$U118))</f>
        <v>Rempart de vent</v>
      </c>
      <c r="H118" s="10" t="str">
        <f aca="false">INDEX(Bases!$G$5:$G$83,$T118)</f>
        <v>Soi</v>
      </c>
      <c r="I118" s="13" t="n">
        <f aca="false">INDEX(Bases!$H$5:$H$83,$T118)</f>
        <v>2</v>
      </c>
      <c r="J118" s="10" t="str">
        <f aca="false">INDEX(Bases!$I$5:$I$83,$T118)</f>
        <v>Non</v>
      </c>
      <c r="K118" s="14" t="n">
        <f aca="false">INDEX(Bases!$J$5:$J$83,$T118)</f>
        <v>0</v>
      </c>
      <c r="L118" s="10" t="str">
        <f aca="false">INDEX(Bases!$K$5:$K$83,$T118)</f>
        <v>Force</v>
      </c>
      <c r="M118" s="11" t="str">
        <f aca="false">INDEX(Bases!$L$5:$L$83,$T118)</f>
        <v>Bouclier = 15 % des PV max pendant 2 tours, en plus des PV (Vitalité).</v>
      </c>
      <c r="N118" s="11" t="str">
        <f aca="false">IF($C118="Passif","—",IF($C118="Attaque (arme 1)",INDEX(Éléments!$F$5:$F$14,$U118),INDEX(Éléments!$G$5:$G$14,$U118)))</f>
        <v>+10 % d'Agilité (esquive) pendant la durée de l'effet.</v>
      </c>
      <c r="O118" s="10" t="str">
        <f aca="false">INDEX(Bases!$M$5:$M$83,$T118)</f>
        <v>Active</v>
      </c>
      <c r="P118" s="13" t="n">
        <f aca="false">INDEX(Bases!$N$5:$N$83,$T118)</f>
        <v>20</v>
      </c>
      <c r="Q118" s="15" t="n">
        <f aca="false">INDEX(Éléments!$C$5:$C$14,$U118)</f>
        <v>40</v>
      </c>
      <c r="R118" s="11" t="str">
        <f aca="false">"Niv. "&amp;$P118&amp;IF($Q118&gt;0," · étage "&amp;$Q118&amp;" terminé","")</f>
        <v>Niv. 20 · étage 40 terminé</v>
      </c>
      <c r="S118" s="14" t="n">
        <f aca="false">IF(ISNUMBER($I118),$K118*IF($H118="Zone",Paramètres!$B$8,1)/MAX(1,$I118),0)</f>
        <v>0</v>
      </c>
      <c r="T118" s="16" t="n">
        <v>12</v>
      </c>
      <c r="U118" s="16" t="n">
        <v>4</v>
      </c>
    </row>
    <row r="119" customFormat="false" ht="15" hidden="false" customHeight="true" outlineLevel="0" collapsed="false">
      <c r="A119" s="9" t="s">
        <v>188</v>
      </c>
      <c r="B119" s="10" t="str">
        <f aca="false">INDEX(Bases!$B$5:$B$83,$T119)</f>
        <v>Guerrier</v>
      </c>
      <c r="C119" s="10" t="str">
        <f aca="false">INDEX(Bases!$E$5:$E$83,$T119)</f>
        <v>Soutien (arme 2)</v>
      </c>
      <c r="D119" s="10" t="str">
        <f aca="false">INDEX(Bases!$F$5:$F$83,$T119)</f>
        <v>Bouclier</v>
      </c>
      <c r="E119" s="11" t="str">
        <f aca="false">INDEX(Bases!$C$5:$C$83,$T119)</f>
        <v>Mur de boucliers</v>
      </c>
      <c r="F119" s="10" t="str">
        <f aca="false">INDEX(Éléments!$A$5:$A$14,$U119)</f>
        <v>Acide</v>
      </c>
      <c r="G119" s="12" t="str">
        <f aca="false">IF(OR($F119="Neutre",$C119="Passif"),$E119,INDEX(Bases!$D$5:$D$83,$T119)&amp;" "&amp;INDEX(Éléments!$D$5:$D$14,$U119))</f>
        <v>Rempart d'acide</v>
      </c>
      <c r="H119" s="10" t="str">
        <f aca="false">INDEX(Bases!$G$5:$G$83,$T119)</f>
        <v>Soi</v>
      </c>
      <c r="I119" s="13" t="n">
        <f aca="false">INDEX(Bases!$H$5:$H$83,$T119)</f>
        <v>2</v>
      </c>
      <c r="J119" s="10" t="str">
        <f aca="false">INDEX(Bases!$I$5:$I$83,$T119)</f>
        <v>Non</v>
      </c>
      <c r="K119" s="14" t="n">
        <f aca="false">INDEX(Bases!$J$5:$J$83,$T119)</f>
        <v>0</v>
      </c>
      <c r="L119" s="10" t="str">
        <f aca="false">INDEX(Bases!$K$5:$K$83,$T119)</f>
        <v>Force</v>
      </c>
      <c r="M119" s="11" t="str">
        <f aca="false">INDEX(Bases!$L$5:$L$83,$T119)</f>
        <v>Bouclier = 15 % des PV max pendant 2 tours, en plus des PV (Vitalité).</v>
      </c>
      <c r="N119" s="11" t="str">
        <f aca="false">IF($C119="Passif","—",IF($C119="Attaque (arme 1)",INDEX(Éléments!$F$5:$F$14,$U119),INDEX(Éléments!$G$5:$G$14,$U119)))</f>
        <v>Les ennemis qui frappent le lanceur prennent 1 pile de Corrosion (40 %).</v>
      </c>
      <c r="O119" s="10" t="str">
        <f aca="false">INDEX(Bases!$M$5:$M$83,$T119)</f>
        <v>Active</v>
      </c>
      <c r="P119" s="13" t="n">
        <f aca="false">INDEX(Bases!$N$5:$N$83,$T119)</f>
        <v>20</v>
      </c>
      <c r="Q119" s="15" t="n">
        <f aca="false">INDEX(Éléments!$C$5:$C$14,$U119)</f>
        <v>50</v>
      </c>
      <c r="R119" s="11" t="str">
        <f aca="false">"Niv. "&amp;$P119&amp;IF($Q119&gt;0," · étage "&amp;$Q119&amp;" terminé","")</f>
        <v>Niv. 20 · étage 50 terminé</v>
      </c>
      <c r="S119" s="14" t="n">
        <f aca="false">IF(ISNUMBER($I119),$K119*IF($H119="Zone",Paramètres!$B$8,1)/MAX(1,$I119),0)</f>
        <v>0</v>
      </c>
      <c r="T119" s="16" t="n">
        <v>12</v>
      </c>
      <c r="U119" s="16" t="n">
        <v>5</v>
      </c>
    </row>
    <row r="120" customFormat="false" ht="15" hidden="false" customHeight="true" outlineLevel="0" collapsed="false">
      <c r="A120" s="9" t="s">
        <v>189</v>
      </c>
      <c r="B120" s="10" t="str">
        <f aca="false">INDEX(Bases!$B$5:$B$83,$T120)</f>
        <v>Guerrier</v>
      </c>
      <c r="C120" s="10" t="str">
        <f aca="false">INDEX(Bases!$E$5:$E$83,$T120)</f>
        <v>Soutien (arme 2)</v>
      </c>
      <c r="D120" s="10" t="str">
        <f aca="false">INDEX(Bases!$F$5:$F$83,$T120)</f>
        <v>Bouclier</v>
      </c>
      <c r="E120" s="11" t="str">
        <f aca="false">INDEX(Bases!$C$5:$C$83,$T120)</f>
        <v>Mur de boucliers</v>
      </c>
      <c r="F120" s="10" t="str">
        <f aca="false">INDEX(Éléments!$A$5:$A$14,$U120)</f>
        <v>Eau</v>
      </c>
      <c r="G120" s="12" t="str">
        <f aca="false">IF(OR($F120="Neutre",$C120="Passif"),$E120,INDEX(Bases!$D$5:$D$83,$T120)&amp;" "&amp;INDEX(Éléments!$D$5:$D$14,$U120))</f>
        <v>Rempart d'eau</v>
      </c>
      <c r="H120" s="10" t="str">
        <f aca="false">INDEX(Bases!$G$5:$G$83,$T120)</f>
        <v>Soi</v>
      </c>
      <c r="I120" s="13" t="n">
        <f aca="false">INDEX(Bases!$H$5:$H$83,$T120)</f>
        <v>2</v>
      </c>
      <c r="J120" s="10" t="str">
        <f aca="false">INDEX(Bases!$I$5:$I$83,$T120)</f>
        <v>Non</v>
      </c>
      <c r="K120" s="14" t="n">
        <f aca="false">INDEX(Bases!$J$5:$J$83,$T120)</f>
        <v>0</v>
      </c>
      <c r="L120" s="10" t="str">
        <f aca="false">INDEX(Bases!$K$5:$K$83,$T120)</f>
        <v>Force</v>
      </c>
      <c r="M120" s="11" t="str">
        <f aca="false">INDEX(Bases!$L$5:$L$83,$T120)</f>
        <v>Bouclier = 15 % des PV max pendant 2 tours, en plus des PV (Vitalité).</v>
      </c>
      <c r="N120" s="11" t="str">
        <f aca="false">IF($C120="Passif","—",IF($C120="Attaque (arme 1)",INDEX(Éléments!$F$5:$F$14,$U120),INDEX(Éléments!$G$5:$G$14,$U120)))</f>
        <v>Soin supplémentaire de 4 % des PV max ; retire Brûlure du lanceur.</v>
      </c>
      <c r="O120" s="10" t="str">
        <f aca="false">INDEX(Bases!$M$5:$M$83,$T120)</f>
        <v>Active</v>
      </c>
      <c r="P120" s="13" t="n">
        <f aca="false">INDEX(Bases!$N$5:$N$83,$T120)</f>
        <v>20</v>
      </c>
      <c r="Q120" s="15" t="n">
        <f aca="false">INDEX(Éléments!$C$5:$C$14,$U120)</f>
        <v>60</v>
      </c>
      <c r="R120" s="11" t="str">
        <f aca="false">"Niv. "&amp;$P120&amp;IF($Q120&gt;0," · étage "&amp;$Q120&amp;" terminé","")</f>
        <v>Niv. 20 · étage 60 terminé</v>
      </c>
      <c r="S120" s="14" t="n">
        <f aca="false">IF(ISNUMBER($I120),$K120*IF($H120="Zone",Paramètres!$B$8,1)/MAX(1,$I120),0)</f>
        <v>0</v>
      </c>
      <c r="T120" s="16" t="n">
        <v>12</v>
      </c>
      <c r="U120" s="16" t="n">
        <v>6</v>
      </c>
    </row>
    <row r="121" customFormat="false" ht="15" hidden="false" customHeight="true" outlineLevel="0" collapsed="false">
      <c r="A121" s="9" t="s">
        <v>190</v>
      </c>
      <c r="B121" s="10" t="str">
        <f aca="false">INDEX(Bases!$B$5:$B$83,$T121)</f>
        <v>Guerrier</v>
      </c>
      <c r="C121" s="10" t="str">
        <f aca="false">INDEX(Bases!$E$5:$E$83,$T121)</f>
        <v>Soutien (arme 2)</v>
      </c>
      <c r="D121" s="10" t="str">
        <f aca="false">INDEX(Bases!$F$5:$F$83,$T121)</f>
        <v>Bouclier</v>
      </c>
      <c r="E121" s="11" t="str">
        <f aca="false">INDEX(Bases!$C$5:$C$83,$T121)</f>
        <v>Mur de boucliers</v>
      </c>
      <c r="F121" s="10" t="str">
        <f aca="false">INDEX(Éléments!$A$5:$A$14,$U121)</f>
        <v>Glace</v>
      </c>
      <c r="G121" s="12" t="str">
        <f aca="false">IF(OR($F121="Neutre",$C121="Passif"),$E121,INDEX(Bases!$D$5:$D$83,$T121)&amp;" "&amp;INDEX(Éléments!$D$5:$D$14,$U121))</f>
        <v>Rempart de glace</v>
      </c>
      <c r="H121" s="10" t="str">
        <f aca="false">INDEX(Bases!$G$5:$G$83,$T121)</f>
        <v>Soi</v>
      </c>
      <c r="I121" s="13" t="n">
        <f aca="false">INDEX(Bases!$H$5:$H$83,$T121)</f>
        <v>2</v>
      </c>
      <c r="J121" s="10" t="str">
        <f aca="false">INDEX(Bases!$I$5:$I$83,$T121)</f>
        <v>Non</v>
      </c>
      <c r="K121" s="14" t="n">
        <f aca="false">INDEX(Bases!$J$5:$J$83,$T121)</f>
        <v>0</v>
      </c>
      <c r="L121" s="10" t="str">
        <f aca="false">INDEX(Bases!$K$5:$K$83,$T121)</f>
        <v>Force</v>
      </c>
      <c r="M121" s="11" t="str">
        <f aca="false">INDEX(Bases!$L$5:$L$83,$T121)</f>
        <v>Bouclier = 15 % des PV max pendant 2 tours, en plus des PV (Vitalité).</v>
      </c>
      <c r="N121" s="11" t="str">
        <f aca="false">IF($C121="Passif","—",IF($C121="Attaque (arme 1)",INDEX(Éléments!$F$5:$F$14,$U121),INDEX(Éléments!$G$5:$G$14,$U121)))</f>
        <v>Les ennemis qui frappent le lanceur prennent 1 pile de Froid (40 %).</v>
      </c>
      <c r="O121" s="10" t="str">
        <f aca="false">INDEX(Bases!$M$5:$M$83,$T121)</f>
        <v>Active</v>
      </c>
      <c r="P121" s="13" t="n">
        <f aca="false">INDEX(Bases!$N$5:$N$83,$T121)</f>
        <v>20</v>
      </c>
      <c r="Q121" s="15" t="n">
        <f aca="false">INDEX(Éléments!$C$5:$C$14,$U121)</f>
        <v>70</v>
      </c>
      <c r="R121" s="11" t="str">
        <f aca="false">"Niv. "&amp;$P121&amp;IF($Q121&gt;0," · étage "&amp;$Q121&amp;" terminé","")</f>
        <v>Niv. 20 · étage 70 terminé</v>
      </c>
      <c r="S121" s="14" t="n">
        <f aca="false">IF(ISNUMBER($I121),$K121*IF($H121="Zone",Paramètres!$B$8,1)/MAX(1,$I121),0)</f>
        <v>0</v>
      </c>
      <c r="T121" s="16" t="n">
        <v>12</v>
      </c>
      <c r="U121" s="16" t="n">
        <v>7</v>
      </c>
    </row>
    <row r="122" customFormat="false" ht="15" hidden="false" customHeight="true" outlineLevel="0" collapsed="false">
      <c r="A122" s="9" t="s">
        <v>191</v>
      </c>
      <c r="B122" s="10" t="str">
        <f aca="false">INDEX(Bases!$B$5:$B$83,$T122)</f>
        <v>Guerrier</v>
      </c>
      <c r="C122" s="10" t="str">
        <f aca="false">INDEX(Bases!$E$5:$E$83,$T122)</f>
        <v>Soutien (arme 2)</v>
      </c>
      <c r="D122" s="10" t="str">
        <f aca="false">INDEX(Bases!$F$5:$F$83,$T122)</f>
        <v>Bouclier</v>
      </c>
      <c r="E122" s="11" t="str">
        <f aca="false">INDEX(Bases!$C$5:$C$83,$T122)</f>
        <v>Mur de boucliers</v>
      </c>
      <c r="F122" s="10" t="str">
        <f aca="false">INDEX(Éléments!$A$5:$A$14,$U122)</f>
        <v>Électricité</v>
      </c>
      <c r="G122" s="12" t="str">
        <f aca="false">IF(OR($F122="Neutre",$C122="Passif"),$E122,INDEX(Bases!$D$5:$D$83,$T122)&amp;" "&amp;INDEX(Éléments!$D$5:$D$14,$U122))</f>
        <v>Rempart de foudre</v>
      </c>
      <c r="H122" s="10" t="str">
        <f aca="false">INDEX(Bases!$G$5:$G$83,$T122)</f>
        <v>Soi</v>
      </c>
      <c r="I122" s="13" t="n">
        <f aca="false">INDEX(Bases!$H$5:$H$83,$T122)</f>
        <v>2</v>
      </c>
      <c r="J122" s="10" t="str">
        <f aca="false">INDEX(Bases!$I$5:$I$83,$T122)</f>
        <v>Non</v>
      </c>
      <c r="K122" s="14" t="n">
        <f aca="false">INDEX(Bases!$J$5:$J$83,$T122)</f>
        <v>0</v>
      </c>
      <c r="L122" s="10" t="str">
        <f aca="false">INDEX(Bases!$K$5:$K$83,$T122)</f>
        <v>Force</v>
      </c>
      <c r="M122" s="11" t="str">
        <f aca="false">INDEX(Bases!$L$5:$L$83,$T122)</f>
        <v>Bouclier = 15 % des PV max pendant 2 tours, en plus des PV (Vitalité).</v>
      </c>
      <c r="N122" s="11" t="str">
        <f aca="false">IF($C122="Passif","—",IF($C122="Attaque (arme 1)",INDEX(Éléments!$F$5:$F$14,$U122),INDEX(Éléments!$G$5:$G$14,$U122)))</f>
        <v>La prochaine attaque du lanceur inflige +15 % de dégâts.</v>
      </c>
      <c r="O122" s="10" t="str">
        <f aca="false">INDEX(Bases!$M$5:$M$83,$T122)</f>
        <v>Active</v>
      </c>
      <c r="P122" s="13" t="n">
        <f aca="false">INDEX(Bases!$N$5:$N$83,$T122)</f>
        <v>20</v>
      </c>
      <c r="Q122" s="15" t="n">
        <f aca="false">INDEX(Éléments!$C$5:$C$14,$U122)</f>
        <v>80</v>
      </c>
      <c r="R122" s="11" t="str">
        <f aca="false">"Niv. "&amp;$P122&amp;IF($Q122&gt;0," · étage "&amp;$Q122&amp;" terminé","")</f>
        <v>Niv. 20 · étage 80 terminé</v>
      </c>
      <c r="S122" s="14" t="n">
        <f aca="false">IF(ISNUMBER($I122),$K122*IF($H122="Zone",Paramètres!$B$8,1)/MAX(1,$I122),0)</f>
        <v>0</v>
      </c>
      <c r="T122" s="16" t="n">
        <v>12</v>
      </c>
      <c r="U122" s="16" t="n">
        <v>8</v>
      </c>
    </row>
    <row r="123" customFormat="false" ht="15" hidden="false" customHeight="true" outlineLevel="0" collapsed="false">
      <c r="A123" s="9" t="s">
        <v>192</v>
      </c>
      <c r="B123" s="10" t="str">
        <f aca="false">INDEX(Bases!$B$5:$B$83,$T123)</f>
        <v>Guerrier</v>
      </c>
      <c r="C123" s="10" t="str">
        <f aca="false">INDEX(Bases!$E$5:$E$83,$T123)</f>
        <v>Soutien (arme 2)</v>
      </c>
      <c r="D123" s="10" t="str">
        <f aca="false">INDEX(Bases!$F$5:$F$83,$T123)</f>
        <v>Bouclier</v>
      </c>
      <c r="E123" s="11" t="str">
        <f aca="false">INDEX(Bases!$C$5:$C$83,$T123)</f>
        <v>Mur de boucliers</v>
      </c>
      <c r="F123" s="10" t="str">
        <f aca="false">INDEX(Éléments!$A$5:$A$14,$U123)</f>
        <v>Lumière</v>
      </c>
      <c r="G123" s="12" t="str">
        <f aca="false">IF(OR($F123="Neutre",$C123="Passif"),$E123,INDEX(Bases!$D$5:$D$83,$T123)&amp;" "&amp;INDEX(Éléments!$D$5:$D$14,$U123))</f>
        <v>Rempart de lumière</v>
      </c>
      <c r="H123" s="10" t="str">
        <f aca="false">INDEX(Bases!$G$5:$G$83,$T123)</f>
        <v>Soi</v>
      </c>
      <c r="I123" s="13" t="n">
        <f aca="false">INDEX(Bases!$H$5:$H$83,$T123)</f>
        <v>2</v>
      </c>
      <c r="J123" s="10" t="str">
        <f aca="false">INDEX(Bases!$I$5:$I$83,$T123)</f>
        <v>Non</v>
      </c>
      <c r="K123" s="14" t="n">
        <f aca="false">INDEX(Bases!$J$5:$J$83,$T123)</f>
        <v>0</v>
      </c>
      <c r="L123" s="10" t="str">
        <f aca="false">INDEX(Bases!$K$5:$K$83,$T123)</f>
        <v>Force</v>
      </c>
      <c r="M123" s="11" t="str">
        <f aca="false">INDEX(Bases!$L$5:$L$83,$T123)</f>
        <v>Bouclier = 15 % des PV max pendant 2 tours, en plus des PV (Vitalité).</v>
      </c>
      <c r="N123" s="11" t="str">
        <f aca="false">IF($C123="Passif","—",IF($C123="Attaque (arme 1)",INDEX(Éléments!$F$5:$F$14,$U123),INDEX(Éléments!$G$5:$G$14,$U123)))</f>
        <v>+20 % sur les soins et boucliers de la compétence.</v>
      </c>
      <c r="O123" s="10" t="str">
        <f aca="false">INDEX(Bases!$M$5:$M$83,$T123)</f>
        <v>Active</v>
      </c>
      <c r="P123" s="13" t="n">
        <f aca="false">INDEX(Bases!$N$5:$N$83,$T123)</f>
        <v>20</v>
      </c>
      <c r="Q123" s="15" t="n">
        <f aca="false">INDEX(Éléments!$C$5:$C$14,$U123)</f>
        <v>90</v>
      </c>
      <c r="R123" s="11" t="str">
        <f aca="false">"Niv. "&amp;$P123&amp;IF($Q123&gt;0," · étage "&amp;$Q123&amp;" terminé","")</f>
        <v>Niv. 20 · étage 90 terminé</v>
      </c>
      <c r="S123" s="14" t="n">
        <f aca="false">IF(ISNUMBER($I123),$K123*IF($H123="Zone",Paramètres!$B$8,1)/MAX(1,$I123),0)</f>
        <v>0</v>
      </c>
      <c r="T123" s="16" t="n">
        <v>12</v>
      </c>
      <c r="U123" s="16" t="n">
        <v>9</v>
      </c>
    </row>
    <row r="124" customFormat="false" ht="15" hidden="false" customHeight="true" outlineLevel="0" collapsed="false">
      <c r="A124" s="9" t="s">
        <v>193</v>
      </c>
      <c r="B124" s="10" t="str">
        <f aca="false">INDEX(Bases!$B$5:$B$83,$T124)</f>
        <v>Guerrier</v>
      </c>
      <c r="C124" s="10" t="str">
        <f aca="false">INDEX(Bases!$E$5:$E$83,$T124)</f>
        <v>Soutien (arme 2)</v>
      </c>
      <c r="D124" s="10" t="str">
        <f aca="false">INDEX(Bases!$F$5:$F$83,$T124)</f>
        <v>Bouclier</v>
      </c>
      <c r="E124" s="11" t="str">
        <f aca="false">INDEX(Bases!$C$5:$C$83,$T124)</f>
        <v>Mur de boucliers</v>
      </c>
      <c r="F124" s="10" t="str">
        <f aca="false">INDEX(Éléments!$A$5:$A$14,$U124)</f>
        <v>Ombre</v>
      </c>
      <c r="G124" s="12" t="str">
        <f aca="false">IF(OR($F124="Neutre",$C124="Passif"),$E124,INDEX(Bases!$D$5:$D$83,$T124)&amp;" "&amp;INDEX(Éléments!$D$5:$D$14,$U124))</f>
        <v>Rempart d'ombre</v>
      </c>
      <c r="H124" s="10" t="str">
        <f aca="false">INDEX(Bases!$G$5:$G$83,$T124)</f>
        <v>Soi</v>
      </c>
      <c r="I124" s="13" t="n">
        <f aca="false">INDEX(Bases!$H$5:$H$83,$T124)</f>
        <v>2</v>
      </c>
      <c r="J124" s="10" t="str">
        <f aca="false">INDEX(Bases!$I$5:$I$83,$T124)</f>
        <v>Non</v>
      </c>
      <c r="K124" s="14" t="n">
        <f aca="false">INDEX(Bases!$J$5:$J$83,$T124)</f>
        <v>0</v>
      </c>
      <c r="L124" s="10" t="str">
        <f aca="false">INDEX(Bases!$K$5:$K$83,$T124)</f>
        <v>Force</v>
      </c>
      <c r="M124" s="11" t="str">
        <f aca="false">INDEX(Bases!$L$5:$L$83,$T124)</f>
        <v>Bouclier = 15 % des PV max pendant 2 tours, en plus des PV (Vitalité).</v>
      </c>
      <c r="N124" s="11" t="str">
        <f aca="false">IF($C124="Passif","—",IF($C124="Attaque (arme 1)",INDEX(Éléments!$F$5:$F$14,$U124),INDEX(Éléments!$G$5:$G$14,$U124)))</f>
        <v>Les ennemis qui frappent le lanceur subissent Corruption (25 %).</v>
      </c>
      <c r="O124" s="10" t="str">
        <f aca="false">INDEX(Bases!$M$5:$M$83,$T124)</f>
        <v>Active</v>
      </c>
      <c r="P124" s="13" t="n">
        <f aca="false">INDEX(Bases!$N$5:$N$83,$T124)</f>
        <v>20</v>
      </c>
      <c r="Q124" s="15" t="n">
        <f aca="false">INDEX(Éléments!$C$5:$C$14,$U124)</f>
        <v>100</v>
      </c>
      <c r="R124" s="11" t="str">
        <f aca="false">"Niv. "&amp;$P124&amp;IF($Q124&gt;0," · étage "&amp;$Q124&amp;" terminé","")</f>
        <v>Niv. 20 · étage 100 terminé</v>
      </c>
      <c r="S124" s="14" t="n">
        <f aca="false">IF(ISNUMBER($I124),$K124*IF($H124="Zone",Paramètres!$B$8,1)/MAX(1,$I124),0)</f>
        <v>0</v>
      </c>
      <c r="T124" s="16" t="n">
        <v>12</v>
      </c>
      <c r="U124" s="16" t="n">
        <v>10</v>
      </c>
    </row>
    <row r="125" customFormat="false" ht="15" hidden="false" customHeight="true" outlineLevel="0" collapsed="false">
      <c r="A125" s="9" t="s">
        <v>194</v>
      </c>
      <c r="B125" s="10" t="str">
        <f aca="false">INDEX(Bases!$B$5:$B$83,$T125)</f>
        <v>Guerrier</v>
      </c>
      <c r="C125" s="10" t="str">
        <f aca="false">INDEX(Bases!$E$5:$E$83,$T125)</f>
        <v>Soutien (arme 2)</v>
      </c>
      <c r="D125" s="10" t="str">
        <f aca="false">INDEX(Bases!$F$5:$F$83,$T125)</f>
        <v>Soin</v>
      </c>
      <c r="E125" s="11" t="str">
        <f aca="false">INDEX(Bases!$C$5:$C$83,$T125)</f>
        <v>Second souffle</v>
      </c>
      <c r="F125" s="10" t="str">
        <f aca="false">INDEX(Éléments!$A$5:$A$14,$U125)</f>
        <v>Neutre</v>
      </c>
      <c r="G125" s="12" t="str">
        <f aca="false">IF(OR($F125="Neutre",$C125="Passif"),$E125,INDEX(Bases!$D$5:$D$83,$T125)&amp;" "&amp;INDEX(Éléments!$D$5:$D$14,$U125))</f>
        <v>Second souffle</v>
      </c>
      <c r="H125" s="10" t="str">
        <f aca="false">INDEX(Bases!$G$5:$G$83,$T125)</f>
        <v>Soi</v>
      </c>
      <c r="I125" s="13" t="n">
        <f aca="false">INDEX(Bases!$H$5:$H$83,$T125)</f>
        <v>2</v>
      </c>
      <c r="J125" s="10" t="str">
        <f aca="false">INDEX(Bases!$I$5:$I$83,$T125)</f>
        <v>Non</v>
      </c>
      <c r="K125" s="14" t="n">
        <f aca="false">INDEX(Bases!$J$5:$J$83,$T125)</f>
        <v>0</v>
      </c>
      <c r="L125" s="10" t="str">
        <f aca="false">INDEX(Bases!$K$5:$K$83,$T125)</f>
        <v>Force</v>
      </c>
      <c r="M125" s="11" t="str">
        <f aca="false">INDEX(Bases!$L$5:$L$83,$T125)</f>
        <v>Soigne 15 % des PV max.</v>
      </c>
      <c r="N125" s="11" t="str">
        <f aca="false">IF($C125="Passif","—",IF($C125="Attaque (arme 1)",INDEX(Éléments!$F$5:$F$14,$U125),INDEX(Éléments!$G$5:$G$14,$U125)))</f>
        <v>Aucun bonus élémentaire : effet de base seul.</v>
      </c>
      <c r="O125" s="10" t="str">
        <f aca="false">INDEX(Bases!$M$5:$M$83,$T125)</f>
        <v>Active</v>
      </c>
      <c r="P125" s="13" t="n">
        <f aca="false">INDEX(Bases!$N$5:$N$83,$T125)</f>
        <v>28</v>
      </c>
      <c r="Q125" s="15" t="n">
        <f aca="false">INDEX(Éléments!$C$5:$C$14,$U125)</f>
        <v>0</v>
      </c>
      <c r="R125" s="11" t="str">
        <f aca="false">"Niv. "&amp;$P125&amp;IF($Q125&gt;0," · étage "&amp;$Q125&amp;" terminé","")</f>
        <v>Niv. 28</v>
      </c>
      <c r="S125" s="14" t="n">
        <f aca="false">IF(ISNUMBER($I125),$K125*IF($H125="Zone",Paramètres!$B$8,1)/MAX(1,$I125),0)</f>
        <v>0</v>
      </c>
      <c r="T125" s="16" t="n">
        <v>13</v>
      </c>
      <c r="U125" s="16" t="n">
        <v>1</v>
      </c>
    </row>
    <row r="126" customFormat="false" ht="15" hidden="false" customHeight="true" outlineLevel="0" collapsed="false">
      <c r="A126" s="9" t="s">
        <v>195</v>
      </c>
      <c r="B126" s="10" t="str">
        <f aca="false">INDEX(Bases!$B$5:$B$83,$T126)</f>
        <v>Guerrier</v>
      </c>
      <c r="C126" s="10" t="str">
        <f aca="false">INDEX(Bases!$E$5:$E$83,$T126)</f>
        <v>Soutien (arme 2)</v>
      </c>
      <c r="D126" s="10" t="str">
        <f aca="false">INDEX(Bases!$F$5:$F$83,$T126)</f>
        <v>Soin</v>
      </c>
      <c r="E126" s="11" t="str">
        <f aca="false">INDEX(Bases!$C$5:$C$83,$T126)</f>
        <v>Second souffle</v>
      </c>
      <c r="F126" s="10" t="str">
        <f aca="false">INDEX(Éléments!$A$5:$A$14,$U126)</f>
        <v>Terre</v>
      </c>
      <c r="G126" s="12" t="str">
        <f aca="false">IF(OR($F126="Neutre",$C126="Passif"),$E126,INDEX(Bases!$D$5:$D$83,$T126)&amp;" "&amp;INDEX(Éléments!$D$5:$D$14,$U126))</f>
        <v>Souffle de pierre</v>
      </c>
      <c r="H126" s="10" t="str">
        <f aca="false">INDEX(Bases!$G$5:$G$83,$T126)</f>
        <v>Soi</v>
      </c>
      <c r="I126" s="13" t="n">
        <f aca="false">INDEX(Bases!$H$5:$H$83,$T126)</f>
        <v>2</v>
      </c>
      <c r="J126" s="10" t="str">
        <f aca="false">INDEX(Bases!$I$5:$I$83,$T126)</f>
        <v>Non</v>
      </c>
      <c r="K126" s="14" t="n">
        <f aca="false">INDEX(Bases!$J$5:$J$83,$T126)</f>
        <v>0</v>
      </c>
      <c r="L126" s="10" t="str">
        <f aca="false">INDEX(Bases!$K$5:$K$83,$T126)</f>
        <v>Force</v>
      </c>
      <c r="M126" s="11" t="str">
        <f aca="false">INDEX(Bases!$L$5:$L$83,$T126)</f>
        <v>Soigne 15 % des PV max.</v>
      </c>
      <c r="N126" s="11" t="str">
        <f aca="false">IF($C126="Passif","—",IF($C126="Attaque (arme 1)",INDEX(Éléments!$F$5:$F$14,$U126),INDEX(Éléments!$G$5:$G$14,$U126)))</f>
        <v>+15 % d'Armure pendant la durée de l'effet.</v>
      </c>
      <c r="O126" s="10" t="str">
        <f aca="false">INDEX(Bases!$M$5:$M$83,$T126)</f>
        <v>Active</v>
      </c>
      <c r="P126" s="13" t="n">
        <f aca="false">INDEX(Bases!$N$5:$N$83,$T126)</f>
        <v>28</v>
      </c>
      <c r="Q126" s="15" t="n">
        <f aca="false">INDEX(Éléments!$C$5:$C$14,$U126)</f>
        <v>20</v>
      </c>
      <c r="R126" s="11" t="str">
        <f aca="false">"Niv. "&amp;$P126&amp;IF($Q126&gt;0," · étage "&amp;$Q126&amp;" terminé","")</f>
        <v>Niv. 28 · étage 20 terminé</v>
      </c>
      <c r="S126" s="14" t="n">
        <f aca="false">IF(ISNUMBER($I126),$K126*IF($H126="Zone",Paramètres!$B$8,1)/MAX(1,$I126),0)</f>
        <v>0</v>
      </c>
      <c r="T126" s="16" t="n">
        <v>13</v>
      </c>
      <c r="U126" s="16" t="n">
        <v>2</v>
      </c>
    </row>
    <row r="127" customFormat="false" ht="15" hidden="false" customHeight="true" outlineLevel="0" collapsed="false">
      <c r="A127" s="9" t="s">
        <v>196</v>
      </c>
      <c r="B127" s="10" t="str">
        <f aca="false">INDEX(Bases!$B$5:$B$83,$T127)</f>
        <v>Guerrier</v>
      </c>
      <c r="C127" s="10" t="str">
        <f aca="false">INDEX(Bases!$E$5:$E$83,$T127)</f>
        <v>Soutien (arme 2)</v>
      </c>
      <c r="D127" s="10" t="str">
        <f aca="false">INDEX(Bases!$F$5:$F$83,$T127)</f>
        <v>Soin</v>
      </c>
      <c r="E127" s="11" t="str">
        <f aca="false">INDEX(Bases!$C$5:$C$83,$T127)</f>
        <v>Second souffle</v>
      </c>
      <c r="F127" s="10" t="str">
        <f aca="false">INDEX(Éléments!$A$5:$A$14,$U127)</f>
        <v>Feu</v>
      </c>
      <c r="G127" s="12" t="str">
        <f aca="false">IF(OR($F127="Neutre",$C127="Passif"),$E127,INDEX(Bases!$D$5:$D$83,$T127)&amp;" "&amp;INDEX(Éléments!$D$5:$D$14,$U127))</f>
        <v>Souffle de feu</v>
      </c>
      <c r="H127" s="10" t="str">
        <f aca="false">INDEX(Bases!$G$5:$G$83,$T127)</f>
        <v>Soi</v>
      </c>
      <c r="I127" s="13" t="n">
        <f aca="false">INDEX(Bases!$H$5:$H$83,$T127)</f>
        <v>2</v>
      </c>
      <c r="J127" s="10" t="str">
        <f aca="false">INDEX(Bases!$I$5:$I$83,$T127)</f>
        <v>Non</v>
      </c>
      <c r="K127" s="14" t="n">
        <f aca="false">INDEX(Bases!$J$5:$J$83,$T127)</f>
        <v>0</v>
      </c>
      <c r="L127" s="10" t="str">
        <f aca="false">INDEX(Bases!$K$5:$K$83,$T127)</f>
        <v>Force</v>
      </c>
      <c r="M127" s="11" t="str">
        <f aca="false">INDEX(Bases!$L$5:$L$83,$T127)</f>
        <v>Soigne 15 % des PV max.</v>
      </c>
      <c r="N127" s="11" t="str">
        <f aca="false">IF($C127="Passif","—",IF($C127="Attaque (arme 1)",INDEX(Éléments!$F$5:$F$14,$U127),INDEX(Éléments!$G$5:$G$14,$U127)))</f>
        <v>Les ennemis qui frappent le lanceur ont 40 % de subir Brûlure (pendant la durée).</v>
      </c>
      <c r="O127" s="10" t="str">
        <f aca="false">INDEX(Bases!$M$5:$M$83,$T127)</f>
        <v>Active</v>
      </c>
      <c r="P127" s="13" t="n">
        <f aca="false">INDEX(Bases!$N$5:$N$83,$T127)</f>
        <v>28</v>
      </c>
      <c r="Q127" s="15" t="n">
        <f aca="false">INDEX(Éléments!$C$5:$C$14,$U127)</f>
        <v>30</v>
      </c>
      <c r="R127" s="11" t="str">
        <f aca="false">"Niv. "&amp;$P127&amp;IF($Q127&gt;0," · étage "&amp;$Q127&amp;" terminé","")</f>
        <v>Niv. 28 · étage 30 terminé</v>
      </c>
      <c r="S127" s="14" t="n">
        <f aca="false">IF(ISNUMBER($I127),$K127*IF($H127="Zone",Paramètres!$B$8,1)/MAX(1,$I127),0)</f>
        <v>0</v>
      </c>
      <c r="T127" s="16" t="n">
        <v>13</v>
      </c>
      <c r="U127" s="16" t="n">
        <v>3</v>
      </c>
    </row>
    <row r="128" customFormat="false" ht="15" hidden="false" customHeight="true" outlineLevel="0" collapsed="false">
      <c r="A128" s="9" t="s">
        <v>197</v>
      </c>
      <c r="B128" s="10" t="str">
        <f aca="false">INDEX(Bases!$B$5:$B$83,$T128)</f>
        <v>Guerrier</v>
      </c>
      <c r="C128" s="10" t="str">
        <f aca="false">INDEX(Bases!$E$5:$E$83,$T128)</f>
        <v>Soutien (arme 2)</v>
      </c>
      <c r="D128" s="10" t="str">
        <f aca="false">INDEX(Bases!$F$5:$F$83,$T128)</f>
        <v>Soin</v>
      </c>
      <c r="E128" s="11" t="str">
        <f aca="false">INDEX(Bases!$C$5:$C$83,$T128)</f>
        <v>Second souffle</v>
      </c>
      <c r="F128" s="10" t="str">
        <f aca="false">INDEX(Éléments!$A$5:$A$14,$U128)</f>
        <v>Vent</v>
      </c>
      <c r="G128" s="12" t="str">
        <f aca="false">IF(OR($F128="Neutre",$C128="Passif"),$E128,INDEX(Bases!$D$5:$D$83,$T128)&amp;" "&amp;INDEX(Éléments!$D$5:$D$14,$U128))</f>
        <v>Souffle de vent</v>
      </c>
      <c r="H128" s="10" t="str">
        <f aca="false">INDEX(Bases!$G$5:$G$83,$T128)</f>
        <v>Soi</v>
      </c>
      <c r="I128" s="13" t="n">
        <f aca="false">INDEX(Bases!$H$5:$H$83,$T128)</f>
        <v>2</v>
      </c>
      <c r="J128" s="10" t="str">
        <f aca="false">INDEX(Bases!$I$5:$I$83,$T128)</f>
        <v>Non</v>
      </c>
      <c r="K128" s="14" t="n">
        <f aca="false">INDEX(Bases!$J$5:$J$83,$T128)</f>
        <v>0</v>
      </c>
      <c r="L128" s="10" t="str">
        <f aca="false">INDEX(Bases!$K$5:$K$83,$T128)</f>
        <v>Force</v>
      </c>
      <c r="M128" s="11" t="str">
        <f aca="false">INDEX(Bases!$L$5:$L$83,$T128)</f>
        <v>Soigne 15 % des PV max.</v>
      </c>
      <c r="N128" s="11" t="str">
        <f aca="false">IF($C128="Passif","—",IF($C128="Attaque (arme 1)",INDEX(Éléments!$F$5:$F$14,$U128),INDEX(Éléments!$G$5:$G$14,$U128)))</f>
        <v>+10 % d'Agilité (esquive) pendant la durée de l'effet.</v>
      </c>
      <c r="O128" s="10" t="str">
        <f aca="false">INDEX(Bases!$M$5:$M$83,$T128)</f>
        <v>Active</v>
      </c>
      <c r="P128" s="13" t="n">
        <f aca="false">INDEX(Bases!$N$5:$N$83,$T128)</f>
        <v>28</v>
      </c>
      <c r="Q128" s="15" t="n">
        <f aca="false">INDEX(Éléments!$C$5:$C$14,$U128)</f>
        <v>40</v>
      </c>
      <c r="R128" s="11" t="str">
        <f aca="false">"Niv. "&amp;$P128&amp;IF($Q128&gt;0," · étage "&amp;$Q128&amp;" terminé","")</f>
        <v>Niv. 28 · étage 40 terminé</v>
      </c>
      <c r="S128" s="14" t="n">
        <f aca="false">IF(ISNUMBER($I128),$K128*IF($H128="Zone",Paramètres!$B$8,1)/MAX(1,$I128),0)</f>
        <v>0</v>
      </c>
      <c r="T128" s="16" t="n">
        <v>13</v>
      </c>
      <c r="U128" s="16" t="n">
        <v>4</v>
      </c>
    </row>
    <row r="129" customFormat="false" ht="15" hidden="false" customHeight="true" outlineLevel="0" collapsed="false">
      <c r="A129" s="9" t="s">
        <v>198</v>
      </c>
      <c r="B129" s="10" t="str">
        <f aca="false">INDEX(Bases!$B$5:$B$83,$T129)</f>
        <v>Guerrier</v>
      </c>
      <c r="C129" s="10" t="str">
        <f aca="false">INDEX(Bases!$E$5:$E$83,$T129)</f>
        <v>Soutien (arme 2)</v>
      </c>
      <c r="D129" s="10" t="str">
        <f aca="false">INDEX(Bases!$F$5:$F$83,$T129)</f>
        <v>Soin</v>
      </c>
      <c r="E129" s="11" t="str">
        <f aca="false">INDEX(Bases!$C$5:$C$83,$T129)</f>
        <v>Second souffle</v>
      </c>
      <c r="F129" s="10" t="str">
        <f aca="false">INDEX(Éléments!$A$5:$A$14,$U129)</f>
        <v>Acide</v>
      </c>
      <c r="G129" s="12" t="str">
        <f aca="false">IF(OR($F129="Neutre",$C129="Passif"),$E129,INDEX(Bases!$D$5:$D$83,$T129)&amp;" "&amp;INDEX(Éléments!$D$5:$D$14,$U129))</f>
        <v>Souffle d'acide</v>
      </c>
      <c r="H129" s="10" t="str">
        <f aca="false">INDEX(Bases!$G$5:$G$83,$T129)</f>
        <v>Soi</v>
      </c>
      <c r="I129" s="13" t="n">
        <f aca="false">INDEX(Bases!$H$5:$H$83,$T129)</f>
        <v>2</v>
      </c>
      <c r="J129" s="10" t="str">
        <f aca="false">INDEX(Bases!$I$5:$I$83,$T129)</f>
        <v>Non</v>
      </c>
      <c r="K129" s="14" t="n">
        <f aca="false">INDEX(Bases!$J$5:$J$83,$T129)</f>
        <v>0</v>
      </c>
      <c r="L129" s="10" t="str">
        <f aca="false">INDEX(Bases!$K$5:$K$83,$T129)</f>
        <v>Force</v>
      </c>
      <c r="M129" s="11" t="str">
        <f aca="false">INDEX(Bases!$L$5:$L$83,$T129)</f>
        <v>Soigne 15 % des PV max.</v>
      </c>
      <c r="N129" s="11" t="str">
        <f aca="false">IF($C129="Passif","—",IF($C129="Attaque (arme 1)",INDEX(Éléments!$F$5:$F$14,$U129),INDEX(Éléments!$G$5:$G$14,$U129)))</f>
        <v>Les ennemis qui frappent le lanceur prennent 1 pile de Corrosion (40 %).</v>
      </c>
      <c r="O129" s="10" t="str">
        <f aca="false">INDEX(Bases!$M$5:$M$83,$T129)</f>
        <v>Active</v>
      </c>
      <c r="P129" s="13" t="n">
        <f aca="false">INDEX(Bases!$N$5:$N$83,$T129)</f>
        <v>28</v>
      </c>
      <c r="Q129" s="15" t="n">
        <f aca="false">INDEX(Éléments!$C$5:$C$14,$U129)</f>
        <v>50</v>
      </c>
      <c r="R129" s="11" t="str">
        <f aca="false">"Niv. "&amp;$P129&amp;IF($Q129&gt;0," · étage "&amp;$Q129&amp;" terminé","")</f>
        <v>Niv. 28 · étage 50 terminé</v>
      </c>
      <c r="S129" s="14" t="n">
        <f aca="false">IF(ISNUMBER($I129),$K129*IF($H129="Zone",Paramètres!$B$8,1)/MAX(1,$I129),0)</f>
        <v>0</v>
      </c>
      <c r="T129" s="16" t="n">
        <v>13</v>
      </c>
      <c r="U129" s="16" t="n">
        <v>5</v>
      </c>
    </row>
    <row r="130" customFormat="false" ht="15" hidden="false" customHeight="true" outlineLevel="0" collapsed="false">
      <c r="A130" s="9" t="s">
        <v>199</v>
      </c>
      <c r="B130" s="10" t="str">
        <f aca="false">INDEX(Bases!$B$5:$B$83,$T130)</f>
        <v>Guerrier</v>
      </c>
      <c r="C130" s="10" t="str">
        <f aca="false">INDEX(Bases!$E$5:$E$83,$T130)</f>
        <v>Soutien (arme 2)</v>
      </c>
      <c r="D130" s="10" t="str">
        <f aca="false">INDEX(Bases!$F$5:$F$83,$T130)</f>
        <v>Soin</v>
      </c>
      <c r="E130" s="11" t="str">
        <f aca="false">INDEX(Bases!$C$5:$C$83,$T130)</f>
        <v>Second souffle</v>
      </c>
      <c r="F130" s="10" t="str">
        <f aca="false">INDEX(Éléments!$A$5:$A$14,$U130)</f>
        <v>Eau</v>
      </c>
      <c r="G130" s="12" t="str">
        <f aca="false">IF(OR($F130="Neutre",$C130="Passif"),$E130,INDEX(Bases!$D$5:$D$83,$T130)&amp;" "&amp;INDEX(Éléments!$D$5:$D$14,$U130))</f>
        <v>Souffle d'eau</v>
      </c>
      <c r="H130" s="10" t="str">
        <f aca="false">INDEX(Bases!$G$5:$G$83,$T130)</f>
        <v>Soi</v>
      </c>
      <c r="I130" s="13" t="n">
        <f aca="false">INDEX(Bases!$H$5:$H$83,$T130)</f>
        <v>2</v>
      </c>
      <c r="J130" s="10" t="str">
        <f aca="false">INDEX(Bases!$I$5:$I$83,$T130)</f>
        <v>Non</v>
      </c>
      <c r="K130" s="14" t="n">
        <f aca="false">INDEX(Bases!$J$5:$J$83,$T130)</f>
        <v>0</v>
      </c>
      <c r="L130" s="10" t="str">
        <f aca="false">INDEX(Bases!$K$5:$K$83,$T130)</f>
        <v>Force</v>
      </c>
      <c r="M130" s="11" t="str">
        <f aca="false">INDEX(Bases!$L$5:$L$83,$T130)</f>
        <v>Soigne 15 % des PV max.</v>
      </c>
      <c r="N130" s="11" t="str">
        <f aca="false">IF($C130="Passif","—",IF($C130="Attaque (arme 1)",INDEX(Éléments!$F$5:$F$14,$U130),INDEX(Éléments!$G$5:$G$14,$U130)))</f>
        <v>Soin supplémentaire de 4 % des PV max ; retire Brûlure du lanceur.</v>
      </c>
      <c r="O130" s="10" t="str">
        <f aca="false">INDEX(Bases!$M$5:$M$83,$T130)</f>
        <v>Active</v>
      </c>
      <c r="P130" s="13" t="n">
        <f aca="false">INDEX(Bases!$N$5:$N$83,$T130)</f>
        <v>28</v>
      </c>
      <c r="Q130" s="15" t="n">
        <f aca="false">INDEX(Éléments!$C$5:$C$14,$U130)</f>
        <v>60</v>
      </c>
      <c r="R130" s="11" t="str">
        <f aca="false">"Niv. "&amp;$P130&amp;IF($Q130&gt;0," · étage "&amp;$Q130&amp;" terminé","")</f>
        <v>Niv. 28 · étage 60 terminé</v>
      </c>
      <c r="S130" s="14" t="n">
        <f aca="false">IF(ISNUMBER($I130),$K130*IF($H130="Zone",Paramètres!$B$8,1)/MAX(1,$I130),0)</f>
        <v>0</v>
      </c>
      <c r="T130" s="16" t="n">
        <v>13</v>
      </c>
      <c r="U130" s="16" t="n">
        <v>6</v>
      </c>
    </row>
    <row r="131" customFormat="false" ht="15" hidden="false" customHeight="true" outlineLevel="0" collapsed="false">
      <c r="A131" s="9" t="s">
        <v>200</v>
      </c>
      <c r="B131" s="10" t="str">
        <f aca="false">INDEX(Bases!$B$5:$B$83,$T131)</f>
        <v>Guerrier</v>
      </c>
      <c r="C131" s="10" t="str">
        <f aca="false">INDEX(Bases!$E$5:$E$83,$T131)</f>
        <v>Soutien (arme 2)</v>
      </c>
      <c r="D131" s="10" t="str">
        <f aca="false">INDEX(Bases!$F$5:$F$83,$T131)</f>
        <v>Soin</v>
      </c>
      <c r="E131" s="11" t="str">
        <f aca="false">INDEX(Bases!$C$5:$C$83,$T131)</f>
        <v>Second souffle</v>
      </c>
      <c r="F131" s="10" t="str">
        <f aca="false">INDEX(Éléments!$A$5:$A$14,$U131)</f>
        <v>Glace</v>
      </c>
      <c r="G131" s="12" t="str">
        <f aca="false">IF(OR($F131="Neutre",$C131="Passif"),$E131,INDEX(Bases!$D$5:$D$83,$T131)&amp;" "&amp;INDEX(Éléments!$D$5:$D$14,$U131))</f>
        <v>Souffle de glace</v>
      </c>
      <c r="H131" s="10" t="str">
        <f aca="false">INDEX(Bases!$G$5:$G$83,$T131)</f>
        <v>Soi</v>
      </c>
      <c r="I131" s="13" t="n">
        <f aca="false">INDEX(Bases!$H$5:$H$83,$T131)</f>
        <v>2</v>
      </c>
      <c r="J131" s="10" t="str">
        <f aca="false">INDEX(Bases!$I$5:$I$83,$T131)</f>
        <v>Non</v>
      </c>
      <c r="K131" s="14" t="n">
        <f aca="false">INDEX(Bases!$J$5:$J$83,$T131)</f>
        <v>0</v>
      </c>
      <c r="L131" s="10" t="str">
        <f aca="false">INDEX(Bases!$K$5:$K$83,$T131)</f>
        <v>Force</v>
      </c>
      <c r="M131" s="11" t="str">
        <f aca="false">INDEX(Bases!$L$5:$L$83,$T131)</f>
        <v>Soigne 15 % des PV max.</v>
      </c>
      <c r="N131" s="11" t="str">
        <f aca="false">IF($C131="Passif","—",IF($C131="Attaque (arme 1)",INDEX(Éléments!$F$5:$F$14,$U131),INDEX(Éléments!$G$5:$G$14,$U131)))</f>
        <v>Les ennemis qui frappent le lanceur prennent 1 pile de Froid (40 %).</v>
      </c>
      <c r="O131" s="10" t="str">
        <f aca="false">INDEX(Bases!$M$5:$M$83,$T131)</f>
        <v>Active</v>
      </c>
      <c r="P131" s="13" t="n">
        <f aca="false">INDEX(Bases!$N$5:$N$83,$T131)</f>
        <v>28</v>
      </c>
      <c r="Q131" s="15" t="n">
        <f aca="false">INDEX(Éléments!$C$5:$C$14,$U131)</f>
        <v>70</v>
      </c>
      <c r="R131" s="11" t="str">
        <f aca="false">"Niv. "&amp;$P131&amp;IF($Q131&gt;0," · étage "&amp;$Q131&amp;" terminé","")</f>
        <v>Niv. 28 · étage 70 terminé</v>
      </c>
      <c r="S131" s="14" t="n">
        <f aca="false">IF(ISNUMBER($I131),$K131*IF($H131="Zone",Paramètres!$B$8,1)/MAX(1,$I131),0)</f>
        <v>0</v>
      </c>
      <c r="T131" s="16" t="n">
        <v>13</v>
      </c>
      <c r="U131" s="16" t="n">
        <v>7</v>
      </c>
    </row>
    <row r="132" customFormat="false" ht="15" hidden="false" customHeight="true" outlineLevel="0" collapsed="false">
      <c r="A132" s="9" t="s">
        <v>201</v>
      </c>
      <c r="B132" s="10" t="str">
        <f aca="false">INDEX(Bases!$B$5:$B$83,$T132)</f>
        <v>Guerrier</v>
      </c>
      <c r="C132" s="10" t="str">
        <f aca="false">INDEX(Bases!$E$5:$E$83,$T132)</f>
        <v>Soutien (arme 2)</v>
      </c>
      <c r="D132" s="10" t="str">
        <f aca="false">INDEX(Bases!$F$5:$F$83,$T132)</f>
        <v>Soin</v>
      </c>
      <c r="E132" s="11" t="str">
        <f aca="false">INDEX(Bases!$C$5:$C$83,$T132)</f>
        <v>Second souffle</v>
      </c>
      <c r="F132" s="10" t="str">
        <f aca="false">INDEX(Éléments!$A$5:$A$14,$U132)</f>
        <v>Électricité</v>
      </c>
      <c r="G132" s="12" t="str">
        <f aca="false">IF(OR($F132="Neutre",$C132="Passif"),$E132,INDEX(Bases!$D$5:$D$83,$T132)&amp;" "&amp;INDEX(Éléments!$D$5:$D$14,$U132))</f>
        <v>Souffle de foudre</v>
      </c>
      <c r="H132" s="10" t="str">
        <f aca="false">INDEX(Bases!$G$5:$G$83,$T132)</f>
        <v>Soi</v>
      </c>
      <c r="I132" s="13" t="n">
        <f aca="false">INDEX(Bases!$H$5:$H$83,$T132)</f>
        <v>2</v>
      </c>
      <c r="J132" s="10" t="str">
        <f aca="false">INDEX(Bases!$I$5:$I$83,$T132)</f>
        <v>Non</v>
      </c>
      <c r="K132" s="14" t="n">
        <f aca="false">INDEX(Bases!$J$5:$J$83,$T132)</f>
        <v>0</v>
      </c>
      <c r="L132" s="10" t="str">
        <f aca="false">INDEX(Bases!$K$5:$K$83,$T132)</f>
        <v>Force</v>
      </c>
      <c r="M132" s="11" t="str">
        <f aca="false">INDEX(Bases!$L$5:$L$83,$T132)</f>
        <v>Soigne 15 % des PV max.</v>
      </c>
      <c r="N132" s="11" t="str">
        <f aca="false">IF($C132="Passif","—",IF($C132="Attaque (arme 1)",INDEX(Éléments!$F$5:$F$14,$U132),INDEX(Éléments!$G$5:$G$14,$U132)))</f>
        <v>La prochaine attaque du lanceur inflige +15 % de dégâts.</v>
      </c>
      <c r="O132" s="10" t="str">
        <f aca="false">INDEX(Bases!$M$5:$M$83,$T132)</f>
        <v>Active</v>
      </c>
      <c r="P132" s="13" t="n">
        <f aca="false">INDEX(Bases!$N$5:$N$83,$T132)</f>
        <v>28</v>
      </c>
      <c r="Q132" s="15" t="n">
        <f aca="false">INDEX(Éléments!$C$5:$C$14,$U132)</f>
        <v>80</v>
      </c>
      <c r="R132" s="11" t="str">
        <f aca="false">"Niv. "&amp;$P132&amp;IF($Q132&gt;0," · étage "&amp;$Q132&amp;" terminé","")</f>
        <v>Niv. 28 · étage 80 terminé</v>
      </c>
      <c r="S132" s="14" t="n">
        <f aca="false">IF(ISNUMBER($I132),$K132*IF($H132="Zone",Paramètres!$B$8,1)/MAX(1,$I132),0)</f>
        <v>0</v>
      </c>
      <c r="T132" s="16" t="n">
        <v>13</v>
      </c>
      <c r="U132" s="16" t="n">
        <v>8</v>
      </c>
    </row>
    <row r="133" customFormat="false" ht="15" hidden="false" customHeight="true" outlineLevel="0" collapsed="false">
      <c r="A133" s="9" t="s">
        <v>202</v>
      </c>
      <c r="B133" s="10" t="str">
        <f aca="false">INDEX(Bases!$B$5:$B$83,$T133)</f>
        <v>Guerrier</v>
      </c>
      <c r="C133" s="10" t="str">
        <f aca="false">INDEX(Bases!$E$5:$E$83,$T133)</f>
        <v>Soutien (arme 2)</v>
      </c>
      <c r="D133" s="10" t="str">
        <f aca="false">INDEX(Bases!$F$5:$F$83,$T133)</f>
        <v>Soin</v>
      </c>
      <c r="E133" s="11" t="str">
        <f aca="false">INDEX(Bases!$C$5:$C$83,$T133)</f>
        <v>Second souffle</v>
      </c>
      <c r="F133" s="10" t="str">
        <f aca="false">INDEX(Éléments!$A$5:$A$14,$U133)</f>
        <v>Lumière</v>
      </c>
      <c r="G133" s="12" t="str">
        <f aca="false">IF(OR($F133="Neutre",$C133="Passif"),$E133,INDEX(Bases!$D$5:$D$83,$T133)&amp;" "&amp;INDEX(Éléments!$D$5:$D$14,$U133))</f>
        <v>Souffle de lumière</v>
      </c>
      <c r="H133" s="10" t="str">
        <f aca="false">INDEX(Bases!$G$5:$G$83,$T133)</f>
        <v>Soi</v>
      </c>
      <c r="I133" s="13" t="n">
        <f aca="false">INDEX(Bases!$H$5:$H$83,$T133)</f>
        <v>2</v>
      </c>
      <c r="J133" s="10" t="str">
        <f aca="false">INDEX(Bases!$I$5:$I$83,$T133)</f>
        <v>Non</v>
      </c>
      <c r="K133" s="14" t="n">
        <f aca="false">INDEX(Bases!$J$5:$J$83,$T133)</f>
        <v>0</v>
      </c>
      <c r="L133" s="10" t="str">
        <f aca="false">INDEX(Bases!$K$5:$K$83,$T133)</f>
        <v>Force</v>
      </c>
      <c r="M133" s="11" t="str">
        <f aca="false">INDEX(Bases!$L$5:$L$83,$T133)</f>
        <v>Soigne 15 % des PV max.</v>
      </c>
      <c r="N133" s="11" t="str">
        <f aca="false">IF($C133="Passif","—",IF($C133="Attaque (arme 1)",INDEX(Éléments!$F$5:$F$14,$U133),INDEX(Éléments!$G$5:$G$14,$U133)))</f>
        <v>+20 % sur les soins et boucliers de la compétence.</v>
      </c>
      <c r="O133" s="10" t="str">
        <f aca="false">INDEX(Bases!$M$5:$M$83,$T133)</f>
        <v>Active</v>
      </c>
      <c r="P133" s="13" t="n">
        <f aca="false">INDEX(Bases!$N$5:$N$83,$T133)</f>
        <v>28</v>
      </c>
      <c r="Q133" s="15" t="n">
        <f aca="false">INDEX(Éléments!$C$5:$C$14,$U133)</f>
        <v>90</v>
      </c>
      <c r="R133" s="11" t="str">
        <f aca="false">"Niv. "&amp;$P133&amp;IF($Q133&gt;0," · étage "&amp;$Q133&amp;" terminé","")</f>
        <v>Niv. 28 · étage 90 terminé</v>
      </c>
      <c r="S133" s="14" t="n">
        <f aca="false">IF(ISNUMBER($I133),$K133*IF($H133="Zone",Paramètres!$B$8,1)/MAX(1,$I133),0)</f>
        <v>0</v>
      </c>
      <c r="T133" s="16" t="n">
        <v>13</v>
      </c>
      <c r="U133" s="16" t="n">
        <v>9</v>
      </c>
    </row>
    <row r="134" customFormat="false" ht="15" hidden="false" customHeight="true" outlineLevel="0" collapsed="false">
      <c r="A134" s="9" t="s">
        <v>203</v>
      </c>
      <c r="B134" s="10" t="str">
        <f aca="false">INDEX(Bases!$B$5:$B$83,$T134)</f>
        <v>Guerrier</v>
      </c>
      <c r="C134" s="10" t="str">
        <f aca="false">INDEX(Bases!$E$5:$E$83,$T134)</f>
        <v>Soutien (arme 2)</v>
      </c>
      <c r="D134" s="10" t="str">
        <f aca="false">INDEX(Bases!$F$5:$F$83,$T134)</f>
        <v>Soin</v>
      </c>
      <c r="E134" s="11" t="str">
        <f aca="false">INDEX(Bases!$C$5:$C$83,$T134)</f>
        <v>Second souffle</v>
      </c>
      <c r="F134" s="10" t="str">
        <f aca="false">INDEX(Éléments!$A$5:$A$14,$U134)</f>
        <v>Ombre</v>
      </c>
      <c r="G134" s="12" t="str">
        <f aca="false">IF(OR($F134="Neutre",$C134="Passif"),$E134,INDEX(Bases!$D$5:$D$83,$T134)&amp;" "&amp;INDEX(Éléments!$D$5:$D$14,$U134))</f>
        <v>Souffle d'ombre</v>
      </c>
      <c r="H134" s="10" t="str">
        <f aca="false">INDEX(Bases!$G$5:$G$83,$T134)</f>
        <v>Soi</v>
      </c>
      <c r="I134" s="13" t="n">
        <f aca="false">INDEX(Bases!$H$5:$H$83,$T134)</f>
        <v>2</v>
      </c>
      <c r="J134" s="10" t="str">
        <f aca="false">INDEX(Bases!$I$5:$I$83,$T134)</f>
        <v>Non</v>
      </c>
      <c r="K134" s="14" t="n">
        <f aca="false">INDEX(Bases!$J$5:$J$83,$T134)</f>
        <v>0</v>
      </c>
      <c r="L134" s="10" t="str">
        <f aca="false">INDEX(Bases!$K$5:$K$83,$T134)</f>
        <v>Force</v>
      </c>
      <c r="M134" s="11" t="str">
        <f aca="false">INDEX(Bases!$L$5:$L$83,$T134)</f>
        <v>Soigne 15 % des PV max.</v>
      </c>
      <c r="N134" s="11" t="str">
        <f aca="false">IF($C134="Passif","—",IF($C134="Attaque (arme 1)",INDEX(Éléments!$F$5:$F$14,$U134),INDEX(Éléments!$G$5:$G$14,$U134)))</f>
        <v>Les ennemis qui frappent le lanceur subissent Corruption (25 %).</v>
      </c>
      <c r="O134" s="10" t="str">
        <f aca="false">INDEX(Bases!$M$5:$M$83,$T134)</f>
        <v>Active</v>
      </c>
      <c r="P134" s="13" t="n">
        <f aca="false">INDEX(Bases!$N$5:$N$83,$T134)</f>
        <v>28</v>
      </c>
      <c r="Q134" s="15" t="n">
        <f aca="false">INDEX(Éléments!$C$5:$C$14,$U134)</f>
        <v>100</v>
      </c>
      <c r="R134" s="11" t="str">
        <f aca="false">"Niv. "&amp;$P134&amp;IF($Q134&gt;0," · étage "&amp;$Q134&amp;" terminé","")</f>
        <v>Niv. 28 · étage 100 terminé</v>
      </c>
      <c r="S134" s="14" t="n">
        <f aca="false">IF(ISNUMBER($I134),$K134*IF($H134="Zone",Paramètres!$B$8,1)/MAX(1,$I134),0)</f>
        <v>0</v>
      </c>
      <c r="T134" s="16" t="n">
        <v>13</v>
      </c>
      <c r="U134" s="16" t="n">
        <v>10</v>
      </c>
    </row>
    <row r="135" customFormat="false" ht="15" hidden="false" customHeight="true" outlineLevel="0" collapsed="false">
      <c r="A135" s="9" t="s">
        <v>204</v>
      </c>
      <c r="B135" s="10" t="str">
        <f aca="false">INDEX(Bases!$B$5:$B$83,$T135)</f>
        <v>Guerrier</v>
      </c>
      <c r="C135" s="10" t="str">
        <f aca="false">INDEX(Bases!$E$5:$E$83,$T135)</f>
        <v>Soutien (arme 2)</v>
      </c>
      <c r="D135" s="10" t="str">
        <f aca="false">INDEX(Bases!$F$5:$F$83,$T135)</f>
        <v>Buff</v>
      </c>
      <c r="E135" s="11" t="str">
        <f aca="false">INDEX(Bases!$C$5:$C$83,$T135)</f>
        <v>Riposte</v>
      </c>
      <c r="F135" s="10" t="str">
        <f aca="false">INDEX(Éléments!$A$5:$A$14,$U135)</f>
        <v>Neutre</v>
      </c>
      <c r="G135" s="12" t="str">
        <f aca="false">IF(OR($F135="Neutre",$C135="Passif"),$E135,INDEX(Bases!$D$5:$D$83,$T135)&amp;" "&amp;INDEX(Éléments!$D$5:$D$14,$U135))</f>
        <v>Riposte</v>
      </c>
      <c r="H135" s="10" t="str">
        <f aca="false">INDEX(Bases!$G$5:$G$83,$T135)</f>
        <v>Soi</v>
      </c>
      <c r="I135" s="13" t="n">
        <f aca="false">INDEX(Bases!$H$5:$H$83,$T135)</f>
        <v>2</v>
      </c>
      <c r="J135" s="10" t="str">
        <f aca="false">INDEX(Bases!$I$5:$I$83,$T135)</f>
        <v>Non</v>
      </c>
      <c r="K135" s="14" t="n">
        <f aca="false">INDEX(Bases!$J$5:$J$83,$T135)</f>
        <v>0</v>
      </c>
      <c r="L135" s="10" t="str">
        <f aca="false">INDEX(Bases!$K$5:$K$83,$T135)</f>
        <v>Force</v>
      </c>
      <c r="M135" s="11" t="str">
        <f aca="false">INDEX(Bases!$L$5:$L$83,$T135)</f>
        <v>Renvoie 30 % des dégâts physiques subis pendant 2 tours.</v>
      </c>
      <c r="N135" s="11" t="str">
        <f aca="false">IF($C135="Passif","—",IF($C135="Attaque (arme 1)",INDEX(Éléments!$F$5:$F$14,$U135),INDEX(Éléments!$G$5:$G$14,$U135)))</f>
        <v>Aucun bonus élémentaire : effet de base seul.</v>
      </c>
      <c r="O135" s="10" t="str">
        <f aca="false">INDEX(Bases!$M$5:$M$83,$T135)</f>
        <v>Active</v>
      </c>
      <c r="P135" s="13" t="n">
        <f aca="false">INDEX(Bases!$N$5:$N$83,$T135)</f>
        <v>40</v>
      </c>
      <c r="Q135" s="15" t="n">
        <f aca="false">INDEX(Éléments!$C$5:$C$14,$U135)</f>
        <v>0</v>
      </c>
      <c r="R135" s="11" t="str">
        <f aca="false">"Niv. "&amp;$P135&amp;IF($Q135&gt;0," · étage "&amp;$Q135&amp;" terminé","")</f>
        <v>Niv. 40</v>
      </c>
      <c r="S135" s="14" t="n">
        <f aca="false">IF(ISNUMBER($I135),$K135*IF($H135="Zone",Paramètres!$B$8,1)/MAX(1,$I135),0)</f>
        <v>0</v>
      </c>
      <c r="T135" s="16" t="n">
        <v>14</v>
      </c>
      <c r="U135" s="16" t="n">
        <v>1</v>
      </c>
    </row>
    <row r="136" customFormat="false" ht="15" hidden="false" customHeight="true" outlineLevel="0" collapsed="false">
      <c r="A136" s="9" t="s">
        <v>205</v>
      </c>
      <c r="B136" s="10" t="str">
        <f aca="false">INDEX(Bases!$B$5:$B$83,$T136)</f>
        <v>Guerrier</v>
      </c>
      <c r="C136" s="10" t="str">
        <f aca="false">INDEX(Bases!$E$5:$E$83,$T136)</f>
        <v>Soutien (arme 2)</v>
      </c>
      <c r="D136" s="10" t="str">
        <f aca="false">INDEX(Bases!$F$5:$F$83,$T136)</f>
        <v>Buff</v>
      </c>
      <c r="E136" s="11" t="str">
        <f aca="false">INDEX(Bases!$C$5:$C$83,$T136)</f>
        <v>Riposte</v>
      </c>
      <c r="F136" s="10" t="str">
        <f aca="false">INDEX(Éléments!$A$5:$A$14,$U136)</f>
        <v>Terre</v>
      </c>
      <c r="G136" s="12" t="str">
        <f aca="false">IF(OR($F136="Neutre",$C136="Passif"),$E136,INDEX(Bases!$D$5:$D$83,$T136)&amp;" "&amp;INDEX(Éléments!$D$5:$D$14,$U136))</f>
        <v>Riposte de pierre</v>
      </c>
      <c r="H136" s="10" t="str">
        <f aca="false">INDEX(Bases!$G$5:$G$83,$T136)</f>
        <v>Soi</v>
      </c>
      <c r="I136" s="13" t="n">
        <f aca="false">INDEX(Bases!$H$5:$H$83,$T136)</f>
        <v>2</v>
      </c>
      <c r="J136" s="10" t="str">
        <f aca="false">INDEX(Bases!$I$5:$I$83,$T136)</f>
        <v>Non</v>
      </c>
      <c r="K136" s="14" t="n">
        <f aca="false">INDEX(Bases!$J$5:$J$83,$T136)</f>
        <v>0</v>
      </c>
      <c r="L136" s="10" t="str">
        <f aca="false">INDEX(Bases!$K$5:$K$83,$T136)</f>
        <v>Force</v>
      </c>
      <c r="M136" s="11" t="str">
        <f aca="false">INDEX(Bases!$L$5:$L$83,$T136)</f>
        <v>Renvoie 30 % des dégâts physiques subis pendant 2 tours.</v>
      </c>
      <c r="N136" s="11" t="str">
        <f aca="false">IF($C136="Passif","—",IF($C136="Attaque (arme 1)",INDEX(Éléments!$F$5:$F$14,$U136),INDEX(Éléments!$G$5:$G$14,$U136)))</f>
        <v>+15 % d'Armure pendant la durée de l'effet.</v>
      </c>
      <c r="O136" s="10" t="str">
        <f aca="false">INDEX(Bases!$M$5:$M$83,$T136)</f>
        <v>Active</v>
      </c>
      <c r="P136" s="13" t="n">
        <f aca="false">INDEX(Bases!$N$5:$N$83,$T136)</f>
        <v>40</v>
      </c>
      <c r="Q136" s="15" t="n">
        <f aca="false">INDEX(Éléments!$C$5:$C$14,$U136)</f>
        <v>20</v>
      </c>
      <c r="R136" s="11" t="str">
        <f aca="false">"Niv. "&amp;$P136&amp;IF($Q136&gt;0," · étage "&amp;$Q136&amp;" terminé","")</f>
        <v>Niv. 40 · étage 20 terminé</v>
      </c>
      <c r="S136" s="14" t="n">
        <f aca="false">IF(ISNUMBER($I136),$K136*IF($H136="Zone",Paramètres!$B$8,1)/MAX(1,$I136),0)</f>
        <v>0</v>
      </c>
      <c r="T136" s="16" t="n">
        <v>14</v>
      </c>
      <c r="U136" s="16" t="n">
        <v>2</v>
      </c>
    </row>
    <row r="137" customFormat="false" ht="15" hidden="false" customHeight="true" outlineLevel="0" collapsed="false">
      <c r="A137" s="9" t="s">
        <v>206</v>
      </c>
      <c r="B137" s="10" t="str">
        <f aca="false">INDEX(Bases!$B$5:$B$83,$T137)</f>
        <v>Guerrier</v>
      </c>
      <c r="C137" s="10" t="str">
        <f aca="false">INDEX(Bases!$E$5:$E$83,$T137)</f>
        <v>Soutien (arme 2)</v>
      </c>
      <c r="D137" s="10" t="str">
        <f aca="false">INDEX(Bases!$F$5:$F$83,$T137)</f>
        <v>Buff</v>
      </c>
      <c r="E137" s="11" t="str">
        <f aca="false">INDEX(Bases!$C$5:$C$83,$T137)</f>
        <v>Riposte</v>
      </c>
      <c r="F137" s="10" t="str">
        <f aca="false">INDEX(Éléments!$A$5:$A$14,$U137)</f>
        <v>Feu</v>
      </c>
      <c r="G137" s="12" t="str">
        <f aca="false">IF(OR($F137="Neutre",$C137="Passif"),$E137,INDEX(Bases!$D$5:$D$83,$T137)&amp;" "&amp;INDEX(Éléments!$D$5:$D$14,$U137))</f>
        <v>Riposte de feu</v>
      </c>
      <c r="H137" s="10" t="str">
        <f aca="false">INDEX(Bases!$G$5:$G$83,$T137)</f>
        <v>Soi</v>
      </c>
      <c r="I137" s="13" t="n">
        <f aca="false">INDEX(Bases!$H$5:$H$83,$T137)</f>
        <v>2</v>
      </c>
      <c r="J137" s="10" t="str">
        <f aca="false">INDEX(Bases!$I$5:$I$83,$T137)</f>
        <v>Non</v>
      </c>
      <c r="K137" s="14" t="n">
        <f aca="false">INDEX(Bases!$J$5:$J$83,$T137)</f>
        <v>0</v>
      </c>
      <c r="L137" s="10" t="str">
        <f aca="false">INDEX(Bases!$K$5:$K$83,$T137)</f>
        <v>Force</v>
      </c>
      <c r="M137" s="11" t="str">
        <f aca="false">INDEX(Bases!$L$5:$L$83,$T137)</f>
        <v>Renvoie 30 % des dégâts physiques subis pendant 2 tours.</v>
      </c>
      <c r="N137" s="11" t="str">
        <f aca="false">IF($C137="Passif","—",IF($C137="Attaque (arme 1)",INDEX(Éléments!$F$5:$F$14,$U137),INDEX(Éléments!$G$5:$G$14,$U137)))</f>
        <v>Les ennemis qui frappent le lanceur ont 40 % de subir Brûlure (pendant la durée).</v>
      </c>
      <c r="O137" s="10" t="str">
        <f aca="false">INDEX(Bases!$M$5:$M$83,$T137)</f>
        <v>Active</v>
      </c>
      <c r="P137" s="13" t="n">
        <f aca="false">INDEX(Bases!$N$5:$N$83,$T137)</f>
        <v>40</v>
      </c>
      <c r="Q137" s="15" t="n">
        <f aca="false">INDEX(Éléments!$C$5:$C$14,$U137)</f>
        <v>30</v>
      </c>
      <c r="R137" s="11" t="str">
        <f aca="false">"Niv. "&amp;$P137&amp;IF($Q137&gt;0," · étage "&amp;$Q137&amp;" terminé","")</f>
        <v>Niv. 40 · étage 30 terminé</v>
      </c>
      <c r="S137" s="14" t="n">
        <f aca="false">IF(ISNUMBER($I137),$K137*IF($H137="Zone",Paramètres!$B$8,1)/MAX(1,$I137),0)</f>
        <v>0</v>
      </c>
      <c r="T137" s="16" t="n">
        <v>14</v>
      </c>
      <c r="U137" s="16" t="n">
        <v>3</v>
      </c>
    </row>
    <row r="138" customFormat="false" ht="15" hidden="false" customHeight="true" outlineLevel="0" collapsed="false">
      <c r="A138" s="9" t="s">
        <v>207</v>
      </c>
      <c r="B138" s="10" t="str">
        <f aca="false">INDEX(Bases!$B$5:$B$83,$T138)</f>
        <v>Guerrier</v>
      </c>
      <c r="C138" s="10" t="str">
        <f aca="false">INDEX(Bases!$E$5:$E$83,$T138)</f>
        <v>Soutien (arme 2)</v>
      </c>
      <c r="D138" s="10" t="str">
        <f aca="false">INDEX(Bases!$F$5:$F$83,$T138)</f>
        <v>Buff</v>
      </c>
      <c r="E138" s="11" t="str">
        <f aca="false">INDEX(Bases!$C$5:$C$83,$T138)</f>
        <v>Riposte</v>
      </c>
      <c r="F138" s="10" t="str">
        <f aca="false">INDEX(Éléments!$A$5:$A$14,$U138)</f>
        <v>Vent</v>
      </c>
      <c r="G138" s="12" t="str">
        <f aca="false">IF(OR($F138="Neutre",$C138="Passif"),$E138,INDEX(Bases!$D$5:$D$83,$T138)&amp;" "&amp;INDEX(Éléments!$D$5:$D$14,$U138))</f>
        <v>Riposte de vent</v>
      </c>
      <c r="H138" s="10" t="str">
        <f aca="false">INDEX(Bases!$G$5:$G$83,$T138)</f>
        <v>Soi</v>
      </c>
      <c r="I138" s="13" t="n">
        <f aca="false">INDEX(Bases!$H$5:$H$83,$T138)</f>
        <v>2</v>
      </c>
      <c r="J138" s="10" t="str">
        <f aca="false">INDEX(Bases!$I$5:$I$83,$T138)</f>
        <v>Non</v>
      </c>
      <c r="K138" s="14" t="n">
        <f aca="false">INDEX(Bases!$J$5:$J$83,$T138)</f>
        <v>0</v>
      </c>
      <c r="L138" s="10" t="str">
        <f aca="false">INDEX(Bases!$K$5:$K$83,$T138)</f>
        <v>Force</v>
      </c>
      <c r="M138" s="11" t="str">
        <f aca="false">INDEX(Bases!$L$5:$L$83,$T138)</f>
        <v>Renvoie 30 % des dégâts physiques subis pendant 2 tours.</v>
      </c>
      <c r="N138" s="11" t="str">
        <f aca="false">IF($C138="Passif","—",IF($C138="Attaque (arme 1)",INDEX(Éléments!$F$5:$F$14,$U138),INDEX(Éléments!$G$5:$G$14,$U138)))</f>
        <v>+10 % d'Agilité (esquive) pendant la durée de l'effet.</v>
      </c>
      <c r="O138" s="10" t="str">
        <f aca="false">INDEX(Bases!$M$5:$M$83,$T138)</f>
        <v>Active</v>
      </c>
      <c r="P138" s="13" t="n">
        <f aca="false">INDEX(Bases!$N$5:$N$83,$T138)</f>
        <v>40</v>
      </c>
      <c r="Q138" s="15" t="n">
        <f aca="false">INDEX(Éléments!$C$5:$C$14,$U138)</f>
        <v>40</v>
      </c>
      <c r="R138" s="11" t="str">
        <f aca="false">"Niv. "&amp;$P138&amp;IF($Q138&gt;0," · étage "&amp;$Q138&amp;" terminé","")</f>
        <v>Niv. 40 · étage 40 terminé</v>
      </c>
      <c r="S138" s="14" t="n">
        <f aca="false">IF(ISNUMBER($I138),$K138*IF($H138="Zone",Paramètres!$B$8,1)/MAX(1,$I138),0)</f>
        <v>0</v>
      </c>
      <c r="T138" s="16" t="n">
        <v>14</v>
      </c>
      <c r="U138" s="16" t="n">
        <v>4</v>
      </c>
    </row>
    <row r="139" customFormat="false" ht="15" hidden="false" customHeight="true" outlineLevel="0" collapsed="false">
      <c r="A139" s="9" t="s">
        <v>208</v>
      </c>
      <c r="B139" s="10" t="str">
        <f aca="false">INDEX(Bases!$B$5:$B$83,$T139)</f>
        <v>Guerrier</v>
      </c>
      <c r="C139" s="10" t="str">
        <f aca="false">INDEX(Bases!$E$5:$E$83,$T139)</f>
        <v>Soutien (arme 2)</v>
      </c>
      <c r="D139" s="10" t="str">
        <f aca="false">INDEX(Bases!$F$5:$F$83,$T139)</f>
        <v>Buff</v>
      </c>
      <c r="E139" s="11" t="str">
        <f aca="false">INDEX(Bases!$C$5:$C$83,$T139)</f>
        <v>Riposte</v>
      </c>
      <c r="F139" s="10" t="str">
        <f aca="false">INDEX(Éléments!$A$5:$A$14,$U139)</f>
        <v>Acide</v>
      </c>
      <c r="G139" s="12" t="str">
        <f aca="false">IF(OR($F139="Neutre",$C139="Passif"),$E139,INDEX(Bases!$D$5:$D$83,$T139)&amp;" "&amp;INDEX(Éléments!$D$5:$D$14,$U139))</f>
        <v>Riposte d'acide</v>
      </c>
      <c r="H139" s="10" t="str">
        <f aca="false">INDEX(Bases!$G$5:$G$83,$T139)</f>
        <v>Soi</v>
      </c>
      <c r="I139" s="13" t="n">
        <f aca="false">INDEX(Bases!$H$5:$H$83,$T139)</f>
        <v>2</v>
      </c>
      <c r="J139" s="10" t="str">
        <f aca="false">INDEX(Bases!$I$5:$I$83,$T139)</f>
        <v>Non</v>
      </c>
      <c r="K139" s="14" t="n">
        <f aca="false">INDEX(Bases!$J$5:$J$83,$T139)</f>
        <v>0</v>
      </c>
      <c r="L139" s="10" t="str">
        <f aca="false">INDEX(Bases!$K$5:$K$83,$T139)</f>
        <v>Force</v>
      </c>
      <c r="M139" s="11" t="str">
        <f aca="false">INDEX(Bases!$L$5:$L$83,$T139)</f>
        <v>Renvoie 30 % des dégâts physiques subis pendant 2 tours.</v>
      </c>
      <c r="N139" s="11" t="str">
        <f aca="false">IF($C139="Passif","—",IF($C139="Attaque (arme 1)",INDEX(Éléments!$F$5:$F$14,$U139),INDEX(Éléments!$G$5:$G$14,$U139)))</f>
        <v>Les ennemis qui frappent le lanceur prennent 1 pile de Corrosion (40 %).</v>
      </c>
      <c r="O139" s="10" t="str">
        <f aca="false">INDEX(Bases!$M$5:$M$83,$T139)</f>
        <v>Active</v>
      </c>
      <c r="P139" s="13" t="n">
        <f aca="false">INDEX(Bases!$N$5:$N$83,$T139)</f>
        <v>40</v>
      </c>
      <c r="Q139" s="15" t="n">
        <f aca="false">INDEX(Éléments!$C$5:$C$14,$U139)</f>
        <v>50</v>
      </c>
      <c r="R139" s="11" t="str">
        <f aca="false">"Niv. "&amp;$P139&amp;IF($Q139&gt;0," · étage "&amp;$Q139&amp;" terminé","")</f>
        <v>Niv. 40 · étage 50 terminé</v>
      </c>
      <c r="S139" s="14" t="n">
        <f aca="false">IF(ISNUMBER($I139),$K139*IF($H139="Zone",Paramètres!$B$8,1)/MAX(1,$I139),0)</f>
        <v>0</v>
      </c>
      <c r="T139" s="16" t="n">
        <v>14</v>
      </c>
      <c r="U139" s="16" t="n">
        <v>5</v>
      </c>
    </row>
    <row r="140" customFormat="false" ht="15" hidden="false" customHeight="true" outlineLevel="0" collapsed="false">
      <c r="A140" s="9" t="s">
        <v>209</v>
      </c>
      <c r="B140" s="10" t="str">
        <f aca="false">INDEX(Bases!$B$5:$B$83,$T140)</f>
        <v>Guerrier</v>
      </c>
      <c r="C140" s="10" t="str">
        <f aca="false">INDEX(Bases!$E$5:$E$83,$T140)</f>
        <v>Soutien (arme 2)</v>
      </c>
      <c r="D140" s="10" t="str">
        <f aca="false">INDEX(Bases!$F$5:$F$83,$T140)</f>
        <v>Buff</v>
      </c>
      <c r="E140" s="11" t="str">
        <f aca="false">INDEX(Bases!$C$5:$C$83,$T140)</f>
        <v>Riposte</v>
      </c>
      <c r="F140" s="10" t="str">
        <f aca="false">INDEX(Éléments!$A$5:$A$14,$U140)</f>
        <v>Eau</v>
      </c>
      <c r="G140" s="12" t="str">
        <f aca="false">IF(OR($F140="Neutre",$C140="Passif"),$E140,INDEX(Bases!$D$5:$D$83,$T140)&amp;" "&amp;INDEX(Éléments!$D$5:$D$14,$U140))</f>
        <v>Riposte d'eau</v>
      </c>
      <c r="H140" s="10" t="str">
        <f aca="false">INDEX(Bases!$G$5:$G$83,$T140)</f>
        <v>Soi</v>
      </c>
      <c r="I140" s="13" t="n">
        <f aca="false">INDEX(Bases!$H$5:$H$83,$T140)</f>
        <v>2</v>
      </c>
      <c r="J140" s="10" t="str">
        <f aca="false">INDEX(Bases!$I$5:$I$83,$T140)</f>
        <v>Non</v>
      </c>
      <c r="K140" s="14" t="n">
        <f aca="false">INDEX(Bases!$J$5:$J$83,$T140)</f>
        <v>0</v>
      </c>
      <c r="L140" s="10" t="str">
        <f aca="false">INDEX(Bases!$K$5:$K$83,$T140)</f>
        <v>Force</v>
      </c>
      <c r="M140" s="11" t="str">
        <f aca="false">INDEX(Bases!$L$5:$L$83,$T140)</f>
        <v>Renvoie 30 % des dégâts physiques subis pendant 2 tours.</v>
      </c>
      <c r="N140" s="11" t="str">
        <f aca="false">IF($C140="Passif","—",IF($C140="Attaque (arme 1)",INDEX(Éléments!$F$5:$F$14,$U140),INDEX(Éléments!$G$5:$G$14,$U140)))</f>
        <v>Soin supplémentaire de 4 % des PV max ; retire Brûlure du lanceur.</v>
      </c>
      <c r="O140" s="10" t="str">
        <f aca="false">INDEX(Bases!$M$5:$M$83,$T140)</f>
        <v>Active</v>
      </c>
      <c r="P140" s="13" t="n">
        <f aca="false">INDEX(Bases!$N$5:$N$83,$T140)</f>
        <v>40</v>
      </c>
      <c r="Q140" s="15" t="n">
        <f aca="false">INDEX(Éléments!$C$5:$C$14,$U140)</f>
        <v>60</v>
      </c>
      <c r="R140" s="11" t="str">
        <f aca="false">"Niv. "&amp;$P140&amp;IF($Q140&gt;0," · étage "&amp;$Q140&amp;" terminé","")</f>
        <v>Niv. 40 · étage 60 terminé</v>
      </c>
      <c r="S140" s="14" t="n">
        <f aca="false">IF(ISNUMBER($I140),$K140*IF($H140="Zone",Paramètres!$B$8,1)/MAX(1,$I140),0)</f>
        <v>0</v>
      </c>
      <c r="T140" s="16" t="n">
        <v>14</v>
      </c>
      <c r="U140" s="16" t="n">
        <v>6</v>
      </c>
    </row>
    <row r="141" customFormat="false" ht="15" hidden="false" customHeight="true" outlineLevel="0" collapsed="false">
      <c r="A141" s="9" t="s">
        <v>210</v>
      </c>
      <c r="B141" s="10" t="str">
        <f aca="false">INDEX(Bases!$B$5:$B$83,$T141)</f>
        <v>Guerrier</v>
      </c>
      <c r="C141" s="10" t="str">
        <f aca="false">INDEX(Bases!$E$5:$E$83,$T141)</f>
        <v>Soutien (arme 2)</v>
      </c>
      <c r="D141" s="10" t="str">
        <f aca="false">INDEX(Bases!$F$5:$F$83,$T141)</f>
        <v>Buff</v>
      </c>
      <c r="E141" s="11" t="str">
        <f aca="false">INDEX(Bases!$C$5:$C$83,$T141)</f>
        <v>Riposte</v>
      </c>
      <c r="F141" s="10" t="str">
        <f aca="false">INDEX(Éléments!$A$5:$A$14,$U141)</f>
        <v>Glace</v>
      </c>
      <c r="G141" s="12" t="str">
        <f aca="false">IF(OR($F141="Neutre",$C141="Passif"),$E141,INDEX(Bases!$D$5:$D$83,$T141)&amp;" "&amp;INDEX(Éléments!$D$5:$D$14,$U141))</f>
        <v>Riposte de glace</v>
      </c>
      <c r="H141" s="10" t="str">
        <f aca="false">INDEX(Bases!$G$5:$G$83,$T141)</f>
        <v>Soi</v>
      </c>
      <c r="I141" s="13" t="n">
        <f aca="false">INDEX(Bases!$H$5:$H$83,$T141)</f>
        <v>2</v>
      </c>
      <c r="J141" s="10" t="str">
        <f aca="false">INDEX(Bases!$I$5:$I$83,$T141)</f>
        <v>Non</v>
      </c>
      <c r="K141" s="14" t="n">
        <f aca="false">INDEX(Bases!$J$5:$J$83,$T141)</f>
        <v>0</v>
      </c>
      <c r="L141" s="10" t="str">
        <f aca="false">INDEX(Bases!$K$5:$K$83,$T141)</f>
        <v>Force</v>
      </c>
      <c r="M141" s="11" t="str">
        <f aca="false">INDEX(Bases!$L$5:$L$83,$T141)</f>
        <v>Renvoie 30 % des dégâts physiques subis pendant 2 tours.</v>
      </c>
      <c r="N141" s="11" t="str">
        <f aca="false">IF($C141="Passif","—",IF($C141="Attaque (arme 1)",INDEX(Éléments!$F$5:$F$14,$U141),INDEX(Éléments!$G$5:$G$14,$U141)))</f>
        <v>Les ennemis qui frappent le lanceur prennent 1 pile de Froid (40 %).</v>
      </c>
      <c r="O141" s="10" t="str">
        <f aca="false">INDEX(Bases!$M$5:$M$83,$T141)</f>
        <v>Active</v>
      </c>
      <c r="P141" s="13" t="n">
        <f aca="false">INDEX(Bases!$N$5:$N$83,$T141)</f>
        <v>40</v>
      </c>
      <c r="Q141" s="15" t="n">
        <f aca="false">INDEX(Éléments!$C$5:$C$14,$U141)</f>
        <v>70</v>
      </c>
      <c r="R141" s="11" t="str">
        <f aca="false">"Niv. "&amp;$P141&amp;IF($Q141&gt;0," · étage "&amp;$Q141&amp;" terminé","")</f>
        <v>Niv. 40 · étage 70 terminé</v>
      </c>
      <c r="S141" s="14" t="n">
        <f aca="false">IF(ISNUMBER($I141),$K141*IF($H141="Zone",Paramètres!$B$8,1)/MAX(1,$I141),0)</f>
        <v>0</v>
      </c>
      <c r="T141" s="16" t="n">
        <v>14</v>
      </c>
      <c r="U141" s="16" t="n">
        <v>7</v>
      </c>
    </row>
    <row r="142" customFormat="false" ht="15" hidden="false" customHeight="true" outlineLevel="0" collapsed="false">
      <c r="A142" s="9" t="s">
        <v>211</v>
      </c>
      <c r="B142" s="10" t="str">
        <f aca="false">INDEX(Bases!$B$5:$B$83,$T142)</f>
        <v>Guerrier</v>
      </c>
      <c r="C142" s="10" t="str">
        <f aca="false">INDEX(Bases!$E$5:$E$83,$T142)</f>
        <v>Soutien (arme 2)</v>
      </c>
      <c r="D142" s="10" t="str">
        <f aca="false">INDEX(Bases!$F$5:$F$83,$T142)</f>
        <v>Buff</v>
      </c>
      <c r="E142" s="11" t="str">
        <f aca="false">INDEX(Bases!$C$5:$C$83,$T142)</f>
        <v>Riposte</v>
      </c>
      <c r="F142" s="10" t="str">
        <f aca="false">INDEX(Éléments!$A$5:$A$14,$U142)</f>
        <v>Électricité</v>
      </c>
      <c r="G142" s="12" t="str">
        <f aca="false">IF(OR($F142="Neutre",$C142="Passif"),$E142,INDEX(Bases!$D$5:$D$83,$T142)&amp;" "&amp;INDEX(Éléments!$D$5:$D$14,$U142))</f>
        <v>Riposte de foudre</v>
      </c>
      <c r="H142" s="10" t="str">
        <f aca="false">INDEX(Bases!$G$5:$G$83,$T142)</f>
        <v>Soi</v>
      </c>
      <c r="I142" s="13" t="n">
        <f aca="false">INDEX(Bases!$H$5:$H$83,$T142)</f>
        <v>2</v>
      </c>
      <c r="J142" s="10" t="str">
        <f aca="false">INDEX(Bases!$I$5:$I$83,$T142)</f>
        <v>Non</v>
      </c>
      <c r="K142" s="14" t="n">
        <f aca="false">INDEX(Bases!$J$5:$J$83,$T142)</f>
        <v>0</v>
      </c>
      <c r="L142" s="10" t="str">
        <f aca="false">INDEX(Bases!$K$5:$K$83,$T142)</f>
        <v>Force</v>
      </c>
      <c r="M142" s="11" t="str">
        <f aca="false">INDEX(Bases!$L$5:$L$83,$T142)</f>
        <v>Renvoie 30 % des dégâts physiques subis pendant 2 tours.</v>
      </c>
      <c r="N142" s="11" t="str">
        <f aca="false">IF($C142="Passif","—",IF($C142="Attaque (arme 1)",INDEX(Éléments!$F$5:$F$14,$U142),INDEX(Éléments!$G$5:$G$14,$U142)))</f>
        <v>La prochaine attaque du lanceur inflige +15 % de dégâts.</v>
      </c>
      <c r="O142" s="10" t="str">
        <f aca="false">INDEX(Bases!$M$5:$M$83,$T142)</f>
        <v>Active</v>
      </c>
      <c r="P142" s="13" t="n">
        <f aca="false">INDEX(Bases!$N$5:$N$83,$T142)</f>
        <v>40</v>
      </c>
      <c r="Q142" s="15" t="n">
        <f aca="false">INDEX(Éléments!$C$5:$C$14,$U142)</f>
        <v>80</v>
      </c>
      <c r="R142" s="11" t="str">
        <f aca="false">"Niv. "&amp;$P142&amp;IF($Q142&gt;0," · étage "&amp;$Q142&amp;" terminé","")</f>
        <v>Niv. 40 · étage 80 terminé</v>
      </c>
      <c r="S142" s="14" t="n">
        <f aca="false">IF(ISNUMBER($I142),$K142*IF($H142="Zone",Paramètres!$B$8,1)/MAX(1,$I142),0)</f>
        <v>0</v>
      </c>
      <c r="T142" s="16" t="n">
        <v>14</v>
      </c>
      <c r="U142" s="16" t="n">
        <v>8</v>
      </c>
    </row>
    <row r="143" customFormat="false" ht="15" hidden="false" customHeight="true" outlineLevel="0" collapsed="false">
      <c r="A143" s="9" t="s">
        <v>212</v>
      </c>
      <c r="B143" s="10" t="str">
        <f aca="false">INDEX(Bases!$B$5:$B$83,$T143)</f>
        <v>Guerrier</v>
      </c>
      <c r="C143" s="10" t="str">
        <f aca="false">INDEX(Bases!$E$5:$E$83,$T143)</f>
        <v>Soutien (arme 2)</v>
      </c>
      <c r="D143" s="10" t="str">
        <f aca="false">INDEX(Bases!$F$5:$F$83,$T143)</f>
        <v>Buff</v>
      </c>
      <c r="E143" s="11" t="str">
        <f aca="false">INDEX(Bases!$C$5:$C$83,$T143)</f>
        <v>Riposte</v>
      </c>
      <c r="F143" s="10" t="str">
        <f aca="false">INDEX(Éléments!$A$5:$A$14,$U143)</f>
        <v>Lumière</v>
      </c>
      <c r="G143" s="12" t="str">
        <f aca="false">IF(OR($F143="Neutre",$C143="Passif"),$E143,INDEX(Bases!$D$5:$D$83,$T143)&amp;" "&amp;INDEX(Éléments!$D$5:$D$14,$U143))</f>
        <v>Riposte de lumière</v>
      </c>
      <c r="H143" s="10" t="str">
        <f aca="false">INDEX(Bases!$G$5:$G$83,$T143)</f>
        <v>Soi</v>
      </c>
      <c r="I143" s="13" t="n">
        <f aca="false">INDEX(Bases!$H$5:$H$83,$T143)</f>
        <v>2</v>
      </c>
      <c r="J143" s="10" t="str">
        <f aca="false">INDEX(Bases!$I$5:$I$83,$T143)</f>
        <v>Non</v>
      </c>
      <c r="K143" s="14" t="n">
        <f aca="false">INDEX(Bases!$J$5:$J$83,$T143)</f>
        <v>0</v>
      </c>
      <c r="L143" s="10" t="str">
        <f aca="false">INDEX(Bases!$K$5:$K$83,$T143)</f>
        <v>Force</v>
      </c>
      <c r="M143" s="11" t="str">
        <f aca="false">INDEX(Bases!$L$5:$L$83,$T143)</f>
        <v>Renvoie 30 % des dégâts physiques subis pendant 2 tours.</v>
      </c>
      <c r="N143" s="11" t="str">
        <f aca="false">IF($C143="Passif","—",IF($C143="Attaque (arme 1)",INDEX(Éléments!$F$5:$F$14,$U143),INDEX(Éléments!$G$5:$G$14,$U143)))</f>
        <v>+20 % sur les soins et boucliers de la compétence.</v>
      </c>
      <c r="O143" s="10" t="str">
        <f aca="false">INDEX(Bases!$M$5:$M$83,$T143)</f>
        <v>Active</v>
      </c>
      <c r="P143" s="13" t="n">
        <f aca="false">INDEX(Bases!$N$5:$N$83,$T143)</f>
        <v>40</v>
      </c>
      <c r="Q143" s="15" t="n">
        <f aca="false">INDEX(Éléments!$C$5:$C$14,$U143)</f>
        <v>90</v>
      </c>
      <c r="R143" s="11" t="str">
        <f aca="false">"Niv. "&amp;$P143&amp;IF($Q143&gt;0," · étage "&amp;$Q143&amp;" terminé","")</f>
        <v>Niv. 40 · étage 90 terminé</v>
      </c>
      <c r="S143" s="14" t="n">
        <f aca="false">IF(ISNUMBER($I143),$K143*IF($H143="Zone",Paramètres!$B$8,1)/MAX(1,$I143),0)</f>
        <v>0</v>
      </c>
      <c r="T143" s="16" t="n">
        <v>14</v>
      </c>
      <c r="U143" s="16" t="n">
        <v>9</v>
      </c>
    </row>
    <row r="144" customFormat="false" ht="15" hidden="false" customHeight="true" outlineLevel="0" collapsed="false">
      <c r="A144" s="9" t="s">
        <v>213</v>
      </c>
      <c r="B144" s="10" t="str">
        <f aca="false">INDEX(Bases!$B$5:$B$83,$T144)</f>
        <v>Guerrier</v>
      </c>
      <c r="C144" s="10" t="str">
        <f aca="false">INDEX(Bases!$E$5:$E$83,$T144)</f>
        <v>Soutien (arme 2)</v>
      </c>
      <c r="D144" s="10" t="str">
        <f aca="false">INDEX(Bases!$F$5:$F$83,$T144)</f>
        <v>Buff</v>
      </c>
      <c r="E144" s="11" t="str">
        <f aca="false">INDEX(Bases!$C$5:$C$83,$T144)</f>
        <v>Riposte</v>
      </c>
      <c r="F144" s="10" t="str">
        <f aca="false">INDEX(Éléments!$A$5:$A$14,$U144)</f>
        <v>Ombre</v>
      </c>
      <c r="G144" s="12" t="str">
        <f aca="false">IF(OR($F144="Neutre",$C144="Passif"),$E144,INDEX(Bases!$D$5:$D$83,$T144)&amp;" "&amp;INDEX(Éléments!$D$5:$D$14,$U144))</f>
        <v>Riposte d'ombre</v>
      </c>
      <c r="H144" s="10" t="str">
        <f aca="false">INDEX(Bases!$G$5:$G$83,$T144)</f>
        <v>Soi</v>
      </c>
      <c r="I144" s="13" t="n">
        <f aca="false">INDEX(Bases!$H$5:$H$83,$T144)</f>
        <v>2</v>
      </c>
      <c r="J144" s="10" t="str">
        <f aca="false">INDEX(Bases!$I$5:$I$83,$T144)</f>
        <v>Non</v>
      </c>
      <c r="K144" s="14" t="n">
        <f aca="false">INDEX(Bases!$J$5:$J$83,$T144)</f>
        <v>0</v>
      </c>
      <c r="L144" s="10" t="str">
        <f aca="false">INDEX(Bases!$K$5:$K$83,$T144)</f>
        <v>Force</v>
      </c>
      <c r="M144" s="11" t="str">
        <f aca="false">INDEX(Bases!$L$5:$L$83,$T144)</f>
        <v>Renvoie 30 % des dégâts physiques subis pendant 2 tours.</v>
      </c>
      <c r="N144" s="11" t="str">
        <f aca="false">IF($C144="Passif","—",IF($C144="Attaque (arme 1)",INDEX(Éléments!$F$5:$F$14,$U144),INDEX(Éléments!$G$5:$G$14,$U144)))</f>
        <v>Les ennemis qui frappent le lanceur subissent Corruption (25 %).</v>
      </c>
      <c r="O144" s="10" t="str">
        <f aca="false">INDEX(Bases!$M$5:$M$83,$T144)</f>
        <v>Active</v>
      </c>
      <c r="P144" s="13" t="n">
        <f aca="false">INDEX(Bases!$N$5:$N$83,$T144)</f>
        <v>40</v>
      </c>
      <c r="Q144" s="15" t="n">
        <f aca="false">INDEX(Éléments!$C$5:$C$14,$U144)</f>
        <v>100</v>
      </c>
      <c r="R144" s="11" t="str">
        <f aca="false">"Niv. "&amp;$P144&amp;IF($Q144&gt;0," · étage "&amp;$Q144&amp;" terminé","")</f>
        <v>Niv. 40 · étage 100 terminé</v>
      </c>
      <c r="S144" s="14" t="n">
        <f aca="false">IF(ISNUMBER($I144),$K144*IF($H144="Zone",Paramètres!$B$8,1)/MAX(1,$I144),0)</f>
        <v>0</v>
      </c>
      <c r="T144" s="16" t="n">
        <v>14</v>
      </c>
      <c r="U144" s="16" t="n">
        <v>10</v>
      </c>
    </row>
    <row r="145" customFormat="false" ht="15" hidden="false" customHeight="true" outlineLevel="0" collapsed="false">
      <c r="A145" s="9" t="s">
        <v>214</v>
      </c>
      <c r="B145" s="10" t="str">
        <f aca="false">INDEX(Bases!$B$5:$B$83,$T145)</f>
        <v>Guerrier</v>
      </c>
      <c r="C145" s="10" t="str">
        <f aca="false">INDEX(Bases!$E$5:$E$83,$T145)</f>
        <v>Soutien (arme 2)</v>
      </c>
      <c r="D145" s="10" t="str">
        <f aca="false">INDEX(Bases!$F$5:$F$83,$T145)</f>
        <v>Bouclier</v>
      </c>
      <c r="E145" s="11" t="str">
        <f aca="false">INDEX(Bases!$C$5:$C$83,$T145)</f>
        <v>Forteresse</v>
      </c>
      <c r="F145" s="10" t="str">
        <f aca="false">INDEX(Éléments!$A$5:$A$14,$U145)</f>
        <v>Neutre</v>
      </c>
      <c r="G145" s="12" t="str">
        <f aca="false">IF(OR($F145="Neutre",$C145="Passif"),$E145,INDEX(Bases!$D$5:$D$83,$T145)&amp;" "&amp;INDEX(Éléments!$D$5:$D$14,$U145))</f>
        <v>Forteresse</v>
      </c>
      <c r="H145" s="10" t="str">
        <f aca="false">INDEX(Bases!$G$5:$G$83,$T145)</f>
        <v>Soi</v>
      </c>
      <c r="I145" s="13" t="n">
        <f aca="false">INDEX(Bases!$H$5:$H$83,$T145)</f>
        <v>3</v>
      </c>
      <c r="J145" s="10" t="str">
        <f aca="false">INDEX(Bases!$I$5:$I$83,$T145)</f>
        <v>Oui</v>
      </c>
      <c r="K145" s="14" t="n">
        <f aca="false">INDEX(Bases!$J$5:$J$83,$T145)</f>
        <v>0</v>
      </c>
      <c r="L145" s="10" t="str">
        <f aca="false">INDEX(Bases!$K$5:$K$83,$T145)</f>
        <v>Force</v>
      </c>
      <c r="M145" s="11" t="str">
        <f aca="false">INDEX(Bases!$L$5:$L$83,$T145)</f>
        <v>Bouclier = 30 % des PV max + immunité aux contrôles pendant 2 tours.</v>
      </c>
      <c r="N145" s="11" t="str">
        <f aca="false">IF($C145="Passif","—",IF($C145="Attaque (arme 1)",INDEX(Éléments!$F$5:$F$14,$U145),INDEX(Éléments!$G$5:$G$14,$U145)))</f>
        <v>Aucun bonus élémentaire : effet de base seul.</v>
      </c>
      <c r="O145" s="10" t="str">
        <f aca="false">INDEX(Bases!$M$5:$M$83,$T145)</f>
        <v>Active</v>
      </c>
      <c r="P145" s="13" t="n">
        <f aca="false">INDEX(Bases!$N$5:$N$83,$T145)</f>
        <v>50</v>
      </c>
      <c r="Q145" s="15" t="n">
        <f aca="false">INDEX(Éléments!$C$5:$C$14,$U145)</f>
        <v>0</v>
      </c>
      <c r="R145" s="11" t="str">
        <f aca="false">"Niv. "&amp;$P145&amp;IF($Q145&gt;0," · étage "&amp;$Q145&amp;" terminé","")</f>
        <v>Niv. 50</v>
      </c>
      <c r="S145" s="14" t="n">
        <f aca="false">IF(ISNUMBER($I145),$K145*IF($H145="Zone",Paramètres!$B$8,1)/MAX(1,$I145),0)</f>
        <v>0</v>
      </c>
      <c r="T145" s="16" t="n">
        <v>15</v>
      </c>
      <c r="U145" s="16" t="n">
        <v>1</v>
      </c>
    </row>
    <row r="146" customFormat="false" ht="15" hidden="false" customHeight="true" outlineLevel="0" collapsed="false">
      <c r="A146" s="9" t="s">
        <v>215</v>
      </c>
      <c r="B146" s="10" t="str">
        <f aca="false">INDEX(Bases!$B$5:$B$83,$T146)</f>
        <v>Guerrier</v>
      </c>
      <c r="C146" s="10" t="str">
        <f aca="false">INDEX(Bases!$E$5:$E$83,$T146)</f>
        <v>Soutien (arme 2)</v>
      </c>
      <c r="D146" s="10" t="str">
        <f aca="false">INDEX(Bases!$F$5:$F$83,$T146)</f>
        <v>Bouclier</v>
      </c>
      <c r="E146" s="11" t="str">
        <f aca="false">INDEX(Bases!$C$5:$C$83,$T146)</f>
        <v>Forteresse</v>
      </c>
      <c r="F146" s="10" t="str">
        <f aca="false">INDEX(Éléments!$A$5:$A$14,$U146)</f>
        <v>Terre</v>
      </c>
      <c r="G146" s="12" t="str">
        <f aca="false">IF(OR($F146="Neutre",$C146="Passif"),$E146,INDEX(Bases!$D$5:$D$83,$T146)&amp;" "&amp;INDEX(Éléments!$D$5:$D$14,$U146))</f>
        <v>Forteresse de pierre</v>
      </c>
      <c r="H146" s="10" t="str">
        <f aca="false">INDEX(Bases!$G$5:$G$83,$T146)</f>
        <v>Soi</v>
      </c>
      <c r="I146" s="13" t="n">
        <f aca="false">INDEX(Bases!$H$5:$H$83,$T146)</f>
        <v>3</v>
      </c>
      <c r="J146" s="10" t="str">
        <f aca="false">INDEX(Bases!$I$5:$I$83,$T146)</f>
        <v>Oui</v>
      </c>
      <c r="K146" s="14" t="n">
        <f aca="false">INDEX(Bases!$J$5:$J$83,$T146)</f>
        <v>0</v>
      </c>
      <c r="L146" s="10" t="str">
        <f aca="false">INDEX(Bases!$K$5:$K$83,$T146)</f>
        <v>Force</v>
      </c>
      <c r="M146" s="11" t="str">
        <f aca="false">INDEX(Bases!$L$5:$L$83,$T146)</f>
        <v>Bouclier = 30 % des PV max + immunité aux contrôles pendant 2 tours.</v>
      </c>
      <c r="N146" s="11" t="str">
        <f aca="false">IF($C146="Passif","—",IF($C146="Attaque (arme 1)",INDEX(Éléments!$F$5:$F$14,$U146),INDEX(Éléments!$G$5:$G$14,$U146)))</f>
        <v>+15 % d'Armure pendant la durée de l'effet.</v>
      </c>
      <c r="O146" s="10" t="str">
        <f aca="false">INDEX(Bases!$M$5:$M$83,$T146)</f>
        <v>Active</v>
      </c>
      <c r="P146" s="13" t="n">
        <f aca="false">INDEX(Bases!$N$5:$N$83,$T146)</f>
        <v>50</v>
      </c>
      <c r="Q146" s="15" t="n">
        <f aca="false">INDEX(Éléments!$C$5:$C$14,$U146)</f>
        <v>20</v>
      </c>
      <c r="R146" s="11" t="str">
        <f aca="false">"Niv. "&amp;$P146&amp;IF($Q146&gt;0," · étage "&amp;$Q146&amp;" terminé","")</f>
        <v>Niv. 50 · étage 20 terminé</v>
      </c>
      <c r="S146" s="14" t="n">
        <f aca="false">IF(ISNUMBER($I146),$K146*IF($H146="Zone",Paramètres!$B$8,1)/MAX(1,$I146),0)</f>
        <v>0</v>
      </c>
      <c r="T146" s="16" t="n">
        <v>15</v>
      </c>
      <c r="U146" s="16" t="n">
        <v>2</v>
      </c>
    </row>
    <row r="147" customFormat="false" ht="15" hidden="false" customHeight="true" outlineLevel="0" collapsed="false">
      <c r="A147" s="9" t="s">
        <v>216</v>
      </c>
      <c r="B147" s="10" t="str">
        <f aca="false">INDEX(Bases!$B$5:$B$83,$T147)</f>
        <v>Guerrier</v>
      </c>
      <c r="C147" s="10" t="str">
        <f aca="false">INDEX(Bases!$E$5:$E$83,$T147)</f>
        <v>Soutien (arme 2)</v>
      </c>
      <c r="D147" s="10" t="str">
        <f aca="false">INDEX(Bases!$F$5:$F$83,$T147)</f>
        <v>Bouclier</v>
      </c>
      <c r="E147" s="11" t="str">
        <f aca="false">INDEX(Bases!$C$5:$C$83,$T147)</f>
        <v>Forteresse</v>
      </c>
      <c r="F147" s="10" t="str">
        <f aca="false">INDEX(Éléments!$A$5:$A$14,$U147)</f>
        <v>Feu</v>
      </c>
      <c r="G147" s="12" t="str">
        <f aca="false">IF(OR($F147="Neutre",$C147="Passif"),$E147,INDEX(Bases!$D$5:$D$83,$T147)&amp;" "&amp;INDEX(Éléments!$D$5:$D$14,$U147))</f>
        <v>Forteresse de feu</v>
      </c>
      <c r="H147" s="10" t="str">
        <f aca="false">INDEX(Bases!$G$5:$G$83,$T147)</f>
        <v>Soi</v>
      </c>
      <c r="I147" s="13" t="n">
        <f aca="false">INDEX(Bases!$H$5:$H$83,$T147)</f>
        <v>3</v>
      </c>
      <c r="J147" s="10" t="str">
        <f aca="false">INDEX(Bases!$I$5:$I$83,$T147)</f>
        <v>Oui</v>
      </c>
      <c r="K147" s="14" t="n">
        <f aca="false">INDEX(Bases!$J$5:$J$83,$T147)</f>
        <v>0</v>
      </c>
      <c r="L147" s="10" t="str">
        <f aca="false">INDEX(Bases!$K$5:$K$83,$T147)</f>
        <v>Force</v>
      </c>
      <c r="M147" s="11" t="str">
        <f aca="false">INDEX(Bases!$L$5:$L$83,$T147)</f>
        <v>Bouclier = 30 % des PV max + immunité aux contrôles pendant 2 tours.</v>
      </c>
      <c r="N147" s="11" t="str">
        <f aca="false">IF($C147="Passif","—",IF($C147="Attaque (arme 1)",INDEX(Éléments!$F$5:$F$14,$U147),INDEX(Éléments!$G$5:$G$14,$U147)))</f>
        <v>Les ennemis qui frappent le lanceur ont 40 % de subir Brûlure (pendant la durée).</v>
      </c>
      <c r="O147" s="10" t="str">
        <f aca="false">INDEX(Bases!$M$5:$M$83,$T147)</f>
        <v>Active</v>
      </c>
      <c r="P147" s="13" t="n">
        <f aca="false">INDEX(Bases!$N$5:$N$83,$T147)</f>
        <v>50</v>
      </c>
      <c r="Q147" s="15" t="n">
        <f aca="false">INDEX(Éléments!$C$5:$C$14,$U147)</f>
        <v>30</v>
      </c>
      <c r="R147" s="11" t="str">
        <f aca="false">"Niv. "&amp;$P147&amp;IF($Q147&gt;0," · étage "&amp;$Q147&amp;" terminé","")</f>
        <v>Niv. 50 · étage 30 terminé</v>
      </c>
      <c r="S147" s="14" t="n">
        <f aca="false">IF(ISNUMBER($I147),$K147*IF($H147="Zone",Paramètres!$B$8,1)/MAX(1,$I147),0)</f>
        <v>0</v>
      </c>
      <c r="T147" s="16" t="n">
        <v>15</v>
      </c>
      <c r="U147" s="16" t="n">
        <v>3</v>
      </c>
    </row>
    <row r="148" customFormat="false" ht="15" hidden="false" customHeight="true" outlineLevel="0" collapsed="false">
      <c r="A148" s="9" t="s">
        <v>217</v>
      </c>
      <c r="B148" s="10" t="str">
        <f aca="false">INDEX(Bases!$B$5:$B$83,$T148)</f>
        <v>Guerrier</v>
      </c>
      <c r="C148" s="10" t="str">
        <f aca="false">INDEX(Bases!$E$5:$E$83,$T148)</f>
        <v>Soutien (arme 2)</v>
      </c>
      <c r="D148" s="10" t="str">
        <f aca="false">INDEX(Bases!$F$5:$F$83,$T148)</f>
        <v>Bouclier</v>
      </c>
      <c r="E148" s="11" t="str">
        <f aca="false">INDEX(Bases!$C$5:$C$83,$T148)</f>
        <v>Forteresse</v>
      </c>
      <c r="F148" s="10" t="str">
        <f aca="false">INDEX(Éléments!$A$5:$A$14,$U148)</f>
        <v>Vent</v>
      </c>
      <c r="G148" s="12" t="str">
        <f aca="false">IF(OR($F148="Neutre",$C148="Passif"),$E148,INDEX(Bases!$D$5:$D$83,$T148)&amp;" "&amp;INDEX(Éléments!$D$5:$D$14,$U148))</f>
        <v>Forteresse de vent</v>
      </c>
      <c r="H148" s="10" t="str">
        <f aca="false">INDEX(Bases!$G$5:$G$83,$T148)</f>
        <v>Soi</v>
      </c>
      <c r="I148" s="13" t="n">
        <f aca="false">INDEX(Bases!$H$5:$H$83,$T148)</f>
        <v>3</v>
      </c>
      <c r="J148" s="10" t="str">
        <f aca="false">INDEX(Bases!$I$5:$I$83,$T148)</f>
        <v>Oui</v>
      </c>
      <c r="K148" s="14" t="n">
        <f aca="false">INDEX(Bases!$J$5:$J$83,$T148)</f>
        <v>0</v>
      </c>
      <c r="L148" s="10" t="str">
        <f aca="false">INDEX(Bases!$K$5:$K$83,$T148)</f>
        <v>Force</v>
      </c>
      <c r="M148" s="11" t="str">
        <f aca="false">INDEX(Bases!$L$5:$L$83,$T148)</f>
        <v>Bouclier = 30 % des PV max + immunité aux contrôles pendant 2 tours.</v>
      </c>
      <c r="N148" s="11" t="str">
        <f aca="false">IF($C148="Passif","—",IF($C148="Attaque (arme 1)",INDEX(Éléments!$F$5:$F$14,$U148),INDEX(Éléments!$G$5:$G$14,$U148)))</f>
        <v>+10 % d'Agilité (esquive) pendant la durée de l'effet.</v>
      </c>
      <c r="O148" s="10" t="str">
        <f aca="false">INDEX(Bases!$M$5:$M$83,$T148)</f>
        <v>Active</v>
      </c>
      <c r="P148" s="13" t="n">
        <f aca="false">INDEX(Bases!$N$5:$N$83,$T148)</f>
        <v>50</v>
      </c>
      <c r="Q148" s="15" t="n">
        <f aca="false">INDEX(Éléments!$C$5:$C$14,$U148)</f>
        <v>40</v>
      </c>
      <c r="R148" s="11" t="str">
        <f aca="false">"Niv. "&amp;$P148&amp;IF($Q148&gt;0," · étage "&amp;$Q148&amp;" terminé","")</f>
        <v>Niv. 50 · étage 40 terminé</v>
      </c>
      <c r="S148" s="14" t="n">
        <f aca="false">IF(ISNUMBER($I148),$K148*IF($H148="Zone",Paramètres!$B$8,1)/MAX(1,$I148),0)</f>
        <v>0</v>
      </c>
      <c r="T148" s="16" t="n">
        <v>15</v>
      </c>
      <c r="U148" s="16" t="n">
        <v>4</v>
      </c>
    </row>
    <row r="149" customFormat="false" ht="15" hidden="false" customHeight="true" outlineLevel="0" collapsed="false">
      <c r="A149" s="9" t="s">
        <v>218</v>
      </c>
      <c r="B149" s="10" t="str">
        <f aca="false">INDEX(Bases!$B$5:$B$83,$T149)</f>
        <v>Guerrier</v>
      </c>
      <c r="C149" s="10" t="str">
        <f aca="false">INDEX(Bases!$E$5:$E$83,$T149)</f>
        <v>Soutien (arme 2)</v>
      </c>
      <c r="D149" s="10" t="str">
        <f aca="false">INDEX(Bases!$F$5:$F$83,$T149)</f>
        <v>Bouclier</v>
      </c>
      <c r="E149" s="11" t="str">
        <f aca="false">INDEX(Bases!$C$5:$C$83,$T149)</f>
        <v>Forteresse</v>
      </c>
      <c r="F149" s="10" t="str">
        <f aca="false">INDEX(Éléments!$A$5:$A$14,$U149)</f>
        <v>Acide</v>
      </c>
      <c r="G149" s="12" t="str">
        <f aca="false">IF(OR($F149="Neutre",$C149="Passif"),$E149,INDEX(Bases!$D$5:$D$83,$T149)&amp;" "&amp;INDEX(Éléments!$D$5:$D$14,$U149))</f>
        <v>Forteresse d'acide</v>
      </c>
      <c r="H149" s="10" t="str">
        <f aca="false">INDEX(Bases!$G$5:$G$83,$T149)</f>
        <v>Soi</v>
      </c>
      <c r="I149" s="13" t="n">
        <f aca="false">INDEX(Bases!$H$5:$H$83,$T149)</f>
        <v>3</v>
      </c>
      <c r="J149" s="10" t="str">
        <f aca="false">INDEX(Bases!$I$5:$I$83,$T149)</f>
        <v>Oui</v>
      </c>
      <c r="K149" s="14" t="n">
        <f aca="false">INDEX(Bases!$J$5:$J$83,$T149)</f>
        <v>0</v>
      </c>
      <c r="L149" s="10" t="str">
        <f aca="false">INDEX(Bases!$K$5:$K$83,$T149)</f>
        <v>Force</v>
      </c>
      <c r="M149" s="11" t="str">
        <f aca="false">INDEX(Bases!$L$5:$L$83,$T149)</f>
        <v>Bouclier = 30 % des PV max + immunité aux contrôles pendant 2 tours.</v>
      </c>
      <c r="N149" s="11" t="str">
        <f aca="false">IF($C149="Passif","—",IF($C149="Attaque (arme 1)",INDEX(Éléments!$F$5:$F$14,$U149),INDEX(Éléments!$G$5:$G$14,$U149)))</f>
        <v>Les ennemis qui frappent le lanceur prennent 1 pile de Corrosion (40 %).</v>
      </c>
      <c r="O149" s="10" t="str">
        <f aca="false">INDEX(Bases!$M$5:$M$83,$T149)</f>
        <v>Active</v>
      </c>
      <c r="P149" s="13" t="n">
        <f aca="false">INDEX(Bases!$N$5:$N$83,$T149)</f>
        <v>50</v>
      </c>
      <c r="Q149" s="15" t="n">
        <f aca="false">INDEX(Éléments!$C$5:$C$14,$U149)</f>
        <v>50</v>
      </c>
      <c r="R149" s="11" t="str">
        <f aca="false">"Niv. "&amp;$P149&amp;IF($Q149&gt;0," · étage "&amp;$Q149&amp;" terminé","")</f>
        <v>Niv. 50 · étage 50 terminé</v>
      </c>
      <c r="S149" s="14" t="n">
        <f aca="false">IF(ISNUMBER($I149),$K149*IF($H149="Zone",Paramètres!$B$8,1)/MAX(1,$I149),0)</f>
        <v>0</v>
      </c>
      <c r="T149" s="16" t="n">
        <v>15</v>
      </c>
      <c r="U149" s="16" t="n">
        <v>5</v>
      </c>
    </row>
    <row r="150" customFormat="false" ht="15" hidden="false" customHeight="true" outlineLevel="0" collapsed="false">
      <c r="A150" s="9" t="s">
        <v>219</v>
      </c>
      <c r="B150" s="10" t="str">
        <f aca="false">INDEX(Bases!$B$5:$B$83,$T150)</f>
        <v>Guerrier</v>
      </c>
      <c r="C150" s="10" t="str">
        <f aca="false">INDEX(Bases!$E$5:$E$83,$T150)</f>
        <v>Soutien (arme 2)</v>
      </c>
      <c r="D150" s="10" t="str">
        <f aca="false">INDEX(Bases!$F$5:$F$83,$T150)</f>
        <v>Bouclier</v>
      </c>
      <c r="E150" s="11" t="str">
        <f aca="false">INDEX(Bases!$C$5:$C$83,$T150)</f>
        <v>Forteresse</v>
      </c>
      <c r="F150" s="10" t="str">
        <f aca="false">INDEX(Éléments!$A$5:$A$14,$U150)</f>
        <v>Eau</v>
      </c>
      <c r="G150" s="12" t="str">
        <f aca="false">IF(OR($F150="Neutre",$C150="Passif"),$E150,INDEX(Bases!$D$5:$D$83,$T150)&amp;" "&amp;INDEX(Éléments!$D$5:$D$14,$U150))</f>
        <v>Forteresse d'eau</v>
      </c>
      <c r="H150" s="10" t="str">
        <f aca="false">INDEX(Bases!$G$5:$G$83,$T150)</f>
        <v>Soi</v>
      </c>
      <c r="I150" s="13" t="n">
        <f aca="false">INDEX(Bases!$H$5:$H$83,$T150)</f>
        <v>3</v>
      </c>
      <c r="J150" s="10" t="str">
        <f aca="false">INDEX(Bases!$I$5:$I$83,$T150)</f>
        <v>Oui</v>
      </c>
      <c r="K150" s="14" t="n">
        <f aca="false">INDEX(Bases!$J$5:$J$83,$T150)</f>
        <v>0</v>
      </c>
      <c r="L150" s="10" t="str">
        <f aca="false">INDEX(Bases!$K$5:$K$83,$T150)</f>
        <v>Force</v>
      </c>
      <c r="M150" s="11" t="str">
        <f aca="false">INDEX(Bases!$L$5:$L$83,$T150)</f>
        <v>Bouclier = 30 % des PV max + immunité aux contrôles pendant 2 tours.</v>
      </c>
      <c r="N150" s="11" t="str">
        <f aca="false">IF($C150="Passif","—",IF($C150="Attaque (arme 1)",INDEX(Éléments!$F$5:$F$14,$U150),INDEX(Éléments!$G$5:$G$14,$U150)))</f>
        <v>Soin supplémentaire de 4 % des PV max ; retire Brûlure du lanceur.</v>
      </c>
      <c r="O150" s="10" t="str">
        <f aca="false">INDEX(Bases!$M$5:$M$83,$T150)</f>
        <v>Active</v>
      </c>
      <c r="P150" s="13" t="n">
        <f aca="false">INDEX(Bases!$N$5:$N$83,$T150)</f>
        <v>50</v>
      </c>
      <c r="Q150" s="15" t="n">
        <f aca="false">INDEX(Éléments!$C$5:$C$14,$U150)</f>
        <v>60</v>
      </c>
      <c r="R150" s="11" t="str">
        <f aca="false">"Niv. "&amp;$P150&amp;IF($Q150&gt;0," · étage "&amp;$Q150&amp;" terminé","")</f>
        <v>Niv. 50 · étage 60 terminé</v>
      </c>
      <c r="S150" s="14" t="n">
        <f aca="false">IF(ISNUMBER($I150),$K150*IF($H150="Zone",Paramètres!$B$8,1)/MAX(1,$I150),0)</f>
        <v>0</v>
      </c>
      <c r="T150" s="16" t="n">
        <v>15</v>
      </c>
      <c r="U150" s="16" t="n">
        <v>6</v>
      </c>
    </row>
    <row r="151" customFormat="false" ht="15" hidden="false" customHeight="true" outlineLevel="0" collapsed="false">
      <c r="A151" s="9" t="s">
        <v>220</v>
      </c>
      <c r="B151" s="10" t="str">
        <f aca="false">INDEX(Bases!$B$5:$B$83,$T151)</f>
        <v>Guerrier</v>
      </c>
      <c r="C151" s="10" t="str">
        <f aca="false">INDEX(Bases!$E$5:$E$83,$T151)</f>
        <v>Soutien (arme 2)</v>
      </c>
      <c r="D151" s="10" t="str">
        <f aca="false">INDEX(Bases!$F$5:$F$83,$T151)</f>
        <v>Bouclier</v>
      </c>
      <c r="E151" s="11" t="str">
        <f aca="false">INDEX(Bases!$C$5:$C$83,$T151)</f>
        <v>Forteresse</v>
      </c>
      <c r="F151" s="10" t="str">
        <f aca="false">INDEX(Éléments!$A$5:$A$14,$U151)</f>
        <v>Glace</v>
      </c>
      <c r="G151" s="12" t="str">
        <f aca="false">IF(OR($F151="Neutre",$C151="Passif"),$E151,INDEX(Bases!$D$5:$D$83,$T151)&amp;" "&amp;INDEX(Éléments!$D$5:$D$14,$U151))</f>
        <v>Forteresse de glace</v>
      </c>
      <c r="H151" s="10" t="str">
        <f aca="false">INDEX(Bases!$G$5:$G$83,$T151)</f>
        <v>Soi</v>
      </c>
      <c r="I151" s="13" t="n">
        <f aca="false">INDEX(Bases!$H$5:$H$83,$T151)</f>
        <v>3</v>
      </c>
      <c r="J151" s="10" t="str">
        <f aca="false">INDEX(Bases!$I$5:$I$83,$T151)</f>
        <v>Oui</v>
      </c>
      <c r="K151" s="14" t="n">
        <f aca="false">INDEX(Bases!$J$5:$J$83,$T151)</f>
        <v>0</v>
      </c>
      <c r="L151" s="10" t="str">
        <f aca="false">INDEX(Bases!$K$5:$K$83,$T151)</f>
        <v>Force</v>
      </c>
      <c r="M151" s="11" t="str">
        <f aca="false">INDEX(Bases!$L$5:$L$83,$T151)</f>
        <v>Bouclier = 30 % des PV max + immunité aux contrôles pendant 2 tours.</v>
      </c>
      <c r="N151" s="11" t="str">
        <f aca="false">IF($C151="Passif","—",IF($C151="Attaque (arme 1)",INDEX(Éléments!$F$5:$F$14,$U151),INDEX(Éléments!$G$5:$G$14,$U151)))</f>
        <v>Les ennemis qui frappent le lanceur prennent 1 pile de Froid (40 %).</v>
      </c>
      <c r="O151" s="10" t="str">
        <f aca="false">INDEX(Bases!$M$5:$M$83,$T151)</f>
        <v>Active</v>
      </c>
      <c r="P151" s="13" t="n">
        <f aca="false">INDEX(Bases!$N$5:$N$83,$T151)</f>
        <v>50</v>
      </c>
      <c r="Q151" s="15" t="n">
        <f aca="false">INDEX(Éléments!$C$5:$C$14,$U151)</f>
        <v>70</v>
      </c>
      <c r="R151" s="11" t="str">
        <f aca="false">"Niv. "&amp;$P151&amp;IF($Q151&gt;0," · étage "&amp;$Q151&amp;" terminé","")</f>
        <v>Niv. 50 · étage 70 terminé</v>
      </c>
      <c r="S151" s="14" t="n">
        <f aca="false">IF(ISNUMBER($I151),$K151*IF($H151="Zone",Paramètres!$B$8,1)/MAX(1,$I151),0)</f>
        <v>0</v>
      </c>
      <c r="T151" s="16" t="n">
        <v>15</v>
      </c>
      <c r="U151" s="16" t="n">
        <v>7</v>
      </c>
    </row>
    <row r="152" customFormat="false" ht="15" hidden="false" customHeight="true" outlineLevel="0" collapsed="false">
      <c r="A152" s="9" t="s">
        <v>221</v>
      </c>
      <c r="B152" s="10" t="str">
        <f aca="false">INDEX(Bases!$B$5:$B$83,$T152)</f>
        <v>Guerrier</v>
      </c>
      <c r="C152" s="10" t="str">
        <f aca="false">INDEX(Bases!$E$5:$E$83,$T152)</f>
        <v>Soutien (arme 2)</v>
      </c>
      <c r="D152" s="10" t="str">
        <f aca="false">INDEX(Bases!$F$5:$F$83,$T152)</f>
        <v>Bouclier</v>
      </c>
      <c r="E152" s="11" t="str">
        <f aca="false">INDEX(Bases!$C$5:$C$83,$T152)</f>
        <v>Forteresse</v>
      </c>
      <c r="F152" s="10" t="str">
        <f aca="false">INDEX(Éléments!$A$5:$A$14,$U152)</f>
        <v>Électricité</v>
      </c>
      <c r="G152" s="12" t="str">
        <f aca="false">IF(OR($F152="Neutre",$C152="Passif"),$E152,INDEX(Bases!$D$5:$D$83,$T152)&amp;" "&amp;INDEX(Éléments!$D$5:$D$14,$U152))</f>
        <v>Forteresse de foudre</v>
      </c>
      <c r="H152" s="10" t="str">
        <f aca="false">INDEX(Bases!$G$5:$G$83,$T152)</f>
        <v>Soi</v>
      </c>
      <c r="I152" s="13" t="n">
        <f aca="false">INDEX(Bases!$H$5:$H$83,$T152)</f>
        <v>3</v>
      </c>
      <c r="J152" s="10" t="str">
        <f aca="false">INDEX(Bases!$I$5:$I$83,$T152)</f>
        <v>Oui</v>
      </c>
      <c r="K152" s="14" t="n">
        <f aca="false">INDEX(Bases!$J$5:$J$83,$T152)</f>
        <v>0</v>
      </c>
      <c r="L152" s="10" t="str">
        <f aca="false">INDEX(Bases!$K$5:$K$83,$T152)</f>
        <v>Force</v>
      </c>
      <c r="M152" s="11" t="str">
        <f aca="false">INDEX(Bases!$L$5:$L$83,$T152)</f>
        <v>Bouclier = 30 % des PV max + immunité aux contrôles pendant 2 tours.</v>
      </c>
      <c r="N152" s="11" t="str">
        <f aca="false">IF($C152="Passif","—",IF($C152="Attaque (arme 1)",INDEX(Éléments!$F$5:$F$14,$U152),INDEX(Éléments!$G$5:$G$14,$U152)))</f>
        <v>La prochaine attaque du lanceur inflige +15 % de dégâts.</v>
      </c>
      <c r="O152" s="10" t="str">
        <f aca="false">INDEX(Bases!$M$5:$M$83,$T152)</f>
        <v>Active</v>
      </c>
      <c r="P152" s="13" t="n">
        <f aca="false">INDEX(Bases!$N$5:$N$83,$T152)</f>
        <v>50</v>
      </c>
      <c r="Q152" s="15" t="n">
        <f aca="false">INDEX(Éléments!$C$5:$C$14,$U152)</f>
        <v>80</v>
      </c>
      <c r="R152" s="11" t="str">
        <f aca="false">"Niv. "&amp;$P152&amp;IF($Q152&gt;0," · étage "&amp;$Q152&amp;" terminé","")</f>
        <v>Niv. 50 · étage 80 terminé</v>
      </c>
      <c r="S152" s="14" t="n">
        <f aca="false">IF(ISNUMBER($I152),$K152*IF($H152="Zone",Paramètres!$B$8,1)/MAX(1,$I152),0)</f>
        <v>0</v>
      </c>
      <c r="T152" s="16" t="n">
        <v>15</v>
      </c>
      <c r="U152" s="16" t="n">
        <v>8</v>
      </c>
    </row>
    <row r="153" customFormat="false" ht="15" hidden="false" customHeight="true" outlineLevel="0" collapsed="false">
      <c r="A153" s="9" t="s">
        <v>222</v>
      </c>
      <c r="B153" s="10" t="str">
        <f aca="false">INDEX(Bases!$B$5:$B$83,$T153)</f>
        <v>Guerrier</v>
      </c>
      <c r="C153" s="10" t="str">
        <f aca="false">INDEX(Bases!$E$5:$E$83,$T153)</f>
        <v>Soutien (arme 2)</v>
      </c>
      <c r="D153" s="10" t="str">
        <f aca="false">INDEX(Bases!$F$5:$F$83,$T153)</f>
        <v>Bouclier</v>
      </c>
      <c r="E153" s="11" t="str">
        <f aca="false">INDEX(Bases!$C$5:$C$83,$T153)</f>
        <v>Forteresse</v>
      </c>
      <c r="F153" s="10" t="str">
        <f aca="false">INDEX(Éléments!$A$5:$A$14,$U153)</f>
        <v>Lumière</v>
      </c>
      <c r="G153" s="12" t="str">
        <f aca="false">IF(OR($F153="Neutre",$C153="Passif"),$E153,INDEX(Bases!$D$5:$D$83,$T153)&amp;" "&amp;INDEX(Éléments!$D$5:$D$14,$U153))</f>
        <v>Forteresse de lumière</v>
      </c>
      <c r="H153" s="10" t="str">
        <f aca="false">INDEX(Bases!$G$5:$G$83,$T153)</f>
        <v>Soi</v>
      </c>
      <c r="I153" s="13" t="n">
        <f aca="false">INDEX(Bases!$H$5:$H$83,$T153)</f>
        <v>3</v>
      </c>
      <c r="J153" s="10" t="str">
        <f aca="false">INDEX(Bases!$I$5:$I$83,$T153)</f>
        <v>Oui</v>
      </c>
      <c r="K153" s="14" t="n">
        <f aca="false">INDEX(Bases!$J$5:$J$83,$T153)</f>
        <v>0</v>
      </c>
      <c r="L153" s="10" t="str">
        <f aca="false">INDEX(Bases!$K$5:$K$83,$T153)</f>
        <v>Force</v>
      </c>
      <c r="M153" s="11" t="str">
        <f aca="false">INDEX(Bases!$L$5:$L$83,$T153)</f>
        <v>Bouclier = 30 % des PV max + immunité aux contrôles pendant 2 tours.</v>
      </c>
      <c r="N153" s="11" t="str">
        <f aca="false">IF($C153="Passif","—",IF($C153="Attaque (arme 1)",INDEX(Éléments!$F$5:$F$14,$U153),INDEX(Éléments!$G$5:$G$14,$U153)))</f>
        <v>+20 % sur les soins et boucliers de la compétence.</v>
      </c>
      <c r="O153" s="10" t="str">
        <f aca="false">INDEX(Bases!$M$5:$M$83,$T153)</f>
        <v>Active</v>
      </c>
      <c r="P153" s="13" t="n">
        <f aca="false">INDEX(Bases!$N$5:$N$83,$T153)</f>
        <v>50</v>
      </c>
      <c r="Q153" s="15" t="n">
        <f aca="false">INDEX(Éléments!$C$5:$C$14,$U153)</f>
        <v>90</v>
      </c>
      <c r="R153" s="11" t="str">
        <f aca="false">"Niv. "&amp;$P153&amp;IF($Q153&gt;0," · étage "&amp;$Q153&amp;" terminé","")</f>
        <v>Niv. 50 · étage 90 terminé</v>
      </c>
      <c r="S153" s="14" t="n">
        <f aca="false">IF(ISNUMBER($I153),$K153*IF($H153="Zone",Paramètres!$B$8,1)/MAX(1,$I153),0)</f>
        <v>0</v>
      </c>
      <c r="T153" s="16" t="n">
        <v>15</v>
      </c>
      <c r="U153" s="16" t="n">
        <v>9</v>
      </c>
    </row>
    <row r="154" customFormat="false" ht="15" hidden="false" customHeight="true" outlineLevel="0" collapsed="false">
      <c r="A154" s="9" t="s">
        <v>223</v>
      </c>
      <c r="B154" s="10" t="str">
        <f aca="false">INDEX(Bases!$B$5:$B$83,$T154)</f>
        <v>Guerrier</v>
      </c>
      <c r="C154" s="10" t="str">
        <f aca="false">INDEX(Bases!$E$5:$E$83,$T154)</f>
        <v>Soutien (arme 2)</v>
      </c>
      <c r="D154" s="10" t="str">
        <f aca="false">INDEX(Bases!$F$5:$F$83,$T154)</f>
        <v>Bouclier</v>
      </c>
      <c r="E154" s="11" t="str">
        <f aca="false">INDEX(Bases!$C$5:$C$83,$T154)</f>
        <v>Forteresse</v>
      </c>
      <c r="F154" s="10" t="str">
        <f aca="false">INDEX(Éléments!$A$5:$A$14,$U154)</f>
        <v>Ombre</v>
      </c>
      <c r="G154" s="12" t="str">
        <f aca="false">IF(OR($F154="Neutre",$C154="Passif"),$E154,INDEX(Bases!$D$5:$D$83,$T154)&amp;" "&amp;INDEX(Éléments!$D$5:$D$14,$U154))</f>
        <v>Forteresse d'ombre</v>
      </c>
      <c r="H154" s="10" t="str">
        <f aca="false">INDEX(Bases!$G$5:$G$83,$T154)</f>
        <v>Soi</v>
      </c>
      <c r="I154" s="13" t="n">
        <f aca="false">INDEX(Bases!$H$5:$H$83,$T154)</f>
        <v>3</v>
      </c>
      <c r="J154" s="10" t="str">
        <f aca="false">INDEX(Bases!$I$5:$I$83,$T154)</f>
        <v>Oui</v>
      </c>
      <c r="K154" s="14" t="n">
        <f aca="false">INDEX(Bases!$J$5:$J$83,$T154)</f>
        <v>0</v>
      </c>
      <c r="L154" s="10" t="str">
        <f aca="false">INDEX(Bases!$K$5:$K$83,$T154)</f>
        <v>Force</v>
      </c>
      <c r="M154" s="11" t="str">
        <f aca="false">INDEX(Bases!$L$5:$L$83,$T154)</f>
        <v>Bouclier = 30 % des PV max + immunité aux contrôles pendant 2 tours.</v>
      </c>
      <c r="N154" s="11" t="str">
        <f aca="false">IF($C154="Passif","—",IF($C154="Attaque (arme 1)",INDEX(Éléments!$F$5:$F$14,$U154),INDEX(Éléments!$G$5:$G$14,$U154)))</f>
        <v>Les ennemis qui frappent le lanceur subissent Corruption (25 %).</v>
      </c>
      <c r="O154" s="10" t="str">
        <f aca="false">INDEX(Bases!$M$5:$M$83,$T154)</f>
        <v>Active</v>
      </c>
      <c r="P154" s="13" t="n">
        <f aca="false">INDEX(Bases!$N$5:$N$83,$T154)</f>
        <v>50</v>
      </c>
      <c r="Q154" s="15" t="n">
        <f aca="false">INDEX(Éléments!$C$5:$C$14,$U154)</f>
        <v>100</v>
      </c>
      <c r="R154" s="11" t="str">
        <f aca="false">"Niv. "&amp;$P154&amp;IF($Q154&gt;0," · étage "&amp;$Q154&amp;" terminé","")</f>
        <v>Niv. 50 · étage 100 terminé</v>
      </c>
      <c r="S154" s="14" t="n">
        <f aca="false">IF(ISNUMBER($I154),$K154*IF($H154="Zone",Paramètres!$B$8,1)/MAX(1,$I154),0)</f>
        <v>0</v>
      </c>
      <c r="T154" s="16" t="n">
        <v>15</v>
      </c>
      <c r="U154" s="16" t="n">
        <v>10</v>
      </c>
    </row>
    <row r="155" customFormat="false" ht="15" hidden="false" customHeight="true" outlineLevel="0" collapsed="false">
      <c r="A155" s="9" t="s">
        <v>224</v>
      </c>
      <c r="B155" s="10" t="str">
        <f aca="false">INDEX(Bases!$B$5:$B$83,$T155)</f>
        <v>Guerrier</v>
      </c>
      <c r="C155" s="10" t="str">
        <f aca="false">INDEX(Bases!$E$5:$E$83,$T155)</f>
        <v>Passif</v>
      </c>
      <c r="D155" s="10" t="str">
        <f aca="false">INDEX(Bases!$F$5:$F$83,$T155)</f>
        <v>Passif</v>
      </c>
      <c r="E155" s="11" t="str">
        <f aca="false">INDEX(Bases!$C$5:$C$83,$T155)</f>
        <v>Peau dure</v>
      </c>
      <c r="F155" s="10" t="str">
        <f aca="false">INDEX(Éléments!$A$5:$A$14,$U155)</f>
        <v>Neutre</v>
      </c>
      <c r="G155" s="12" t="str">
        <f aca="false">IF(OR($F155="Neutre",$C155="Passif"),$E155,INDEX(Bases!$D$5:$D$83,$T155)&amp;" "&amp;INDEX(Éléments!$D$5:$D$14,$U155))</f>
        <v>Peau dure</v>
      </c>
      <c r="H155" s="10" t="str">
        <f aca="false">INDEX(Bases!$G$5:$G$83,$T155)</f>
        <v>Soi</v>
      </c>
      <c r="I155" s="13" t="str">
        <f aca="false">INDEX(Bases!$H$5:$H$83,$T155)</f>
        <v>—</v>
      </c>
      <c r="J155" s="10" t="str">
        <f aca="false">INDEX(Bases!$I$5:$I$83,$T155)</f>
        <v>Non</v>
      </c>
      <c r="K155" s="14" t="n">
        <f aca="false">INDEX(Bases!$J$5:$J$83,$T155)</f>
        <v>0</v>
      </c>
      <c r="L155" s="10" t="str">
        <f aca="false">INDEX(Bases!$K$5:$K$83,$T155)</f>
        <v>—</v>
      </c>
      <c r="M155" s="11" t="str">
        <f aca="false">INDEX(Bases!$L$5:$L$83,$T155)</f>
        <v>+8 % de Résistance.</v>
      </c>
      <c r="N155" s="11" t="str">
        <f aca="false">IF($C155="Passif","—",IF($C155="Attaque (arme 1)",INDEX(Éléments!$F$5:$F$14,$U155),INDEX(Éléments!$G$5:$G$14,$U155)))</f>
        <v>—</v>
      </c>
      <c r="O155" s="10" t="str">
        <f aca="false">INDEX(Bases!$M$5:$M$83,$T155)</f>
        <v>Permanent</v>
      </c>
      <c r="P155" s="13" t="n">
        <f aca="false">INDEX(Bases!$N$5:$N$83,$T155)</f>
        <v>1</v>
      </c>
      <c r="Q155" s="15" t="n">
        <f aca="false">INDEX(Éléments!$C$5:$C$14,$U155)</f>
        <v>0</v>
      </c>
      <c r="R155" s="11" t="str">
        <f aca="false">"Niv. "&amp;$P155&amp;IF($Q155&gt;0," · étage "&amp;$Q155&amp;" terminé","")</f>
        <v>Niv. 1</v>
      </c>
      <c r="S155" s="14" t="n">
        <f aca="false">IF(ISNUMBER($I155),$K155*IF($H155="Zone",Paramètres!$B$8,1)/MAX(1,$I155),0)</f>
        <v>0</v>
      </c>
      <c r="T155" s="16" t="n">
        <v>16</v>
      </c>
      <c r="U155" s="16" t="n">
        <v>1</v>
      </c>
    </row>
    <row r="156" customFormat="false" ht="15" hidden="false" customHeight="true" outlineLevel="0" collapsed="false">
      <c r="A156" s="9" t="s">
        <v>225</v>
      </c>
      <c r="B156" s="10" t="str">
        <f aca="false">INDEX(Bases!$B$5:$B$83,$T156)</f>
        <v>Guerrier</v>
      </c>
      <c r="C156" s="10" t="str">
        <f aca="false">INDEX(Bases!$E$5:$E$83,$T156)</f>
        <v>Passif</v>
      </c>
      <c r="D156" s="10" t="str">
        <f aca="false">INDEX(Bases!$F$5:$F$83,$T156)</f>
        <v>Passif</v>
      </c>
      <c r="E156" s="11" t="str">
        <f aca="false">INDEX(Bases!$C$5:$C$83,$T156)</f>
        <v>Soif de sang</v>
      </c>
      <c r="F156" s="10" t="str">
        <f aca="false">INDEX(Éléments!$A$5:$A$14,$U156)</f>
        <v>Neutre</v>
      </c>
      <c r="G156" s="12" t="str">
        <f aca="false">IF(OR($F156="Neutre",$C156="Passif"),$E156,INDEX(Bases!$D$5:$D$83,$T156)&amp;" "&amp;INDEX(Éléments!$D$5:$D$14,$U156))</f>
        <v>Soif de sang</v>
      </c>
      <c r="H156" s="10" t="str">
        <f aca="false">INDEX(Bases!$G$5:$G$83,$T156)</f>
        <v>Soi</v>
      </c>
      <c r="I156" s="13" t="str">
        <f aca="false">INDEX(Bases!$H$5:$H$83,$T156)</f>
        <v>—</v>
      </c>
      <c r="J156" s="10" t="str">
        <f aca="false">INDEX(Bases!$I$5:$I$83,$T156)</f>
        <v>Non</v>
      </c>
      <c r="K156" s="14" t="n">
        <f aca="false">INDEX(Bases!$J$5:$J$83,$T156)</f>
        <v>0</v>
      </c>
      <c r="L156" s="10" t="str">
        <f aca="false">INDEX(Bases!$K$5:$K$83,$T156)</f>
        <v>—</v>
      </c>
      <c r="M156" s="11" t="str">
        <f aca="false">INDEX(Bases!$L$5:$L$83,$T156)</f>
        <v>Vol de vie : 5 % des dégâts infligés.</v>
      </c>
      <c r="N156" s="11" t="str">
        <f aca="false">IF($C156="Passif","—",IF($C156="Attaque (arme 1)",INDEX(Éléments!$F$5:$F$14,$U156),INDEX(Éléments!$G$5:$G$14,$U156)))</f>
        <v>—</v>
      </c>
      <c r="O156" s="10" t="str">
        <f aca="false">INDEX(Bases!$M$5:$M$83,$T156)</f>
        <v>Permanent</v>
      </c>
      <c r="P156" s="13" t="n">
        <f aca="false">INDEX(Bases!$N$5:$N$83,$T156)</f>
        <v>10</v>
      </c>
      <c r="Q156" s="15" t="n">
        <f aca="false">INDEX(Éléments!$C$5:$C$14,$U156)</f>
        <v>0</v>
      </c>
      <c r="R156" s="11" t="str">
        <f aca="false">"Niv. "&amp;$P156&amp;IF($Q156&gt;0," · étage "&amp;$Q156&amp;" terminé","")</f>
        <v>Niv. 10</v>
      </c>
      <c r="S156" s="14" t="n">
        <f aca="false">IF(ISNUMBER($I156),$K156*IF($H156="Zone",Paramètres!$B$8,1)/MAX(1,$I156),0)</f>
        <v>0</v>
      </c>
      <c r="T156" s="16" t="n">
        <v>17</v>
      </c>
      <c r="U156" s="16" t="n">
        <v>1</v>
      </c>
    </row>
    <row r="157" customFormat="false" ht="23.25" hidden="false" customHeight="true" outlineLevel="0" collapsed="false">
      <c r="A157" s="9" t="s">
        <v>226</v>
      </c>
      <c r="B157" s="10" t="str">
        <f aca="false">INDEX(Bases!$B$5:$B$83,$T157)</f>
        <v>Guerrier</v>
      </c>
      <c r="C157" s="10" t="str">
        <f aca="false">INDEX(Bases!$E$5:$E$83,$T157)</f>
        <v>Passif</v>
      </c>
      <c r="D157" s="10" t="str">
        <f aca="false">INDEX(Bases!$F$5:$F$83,$T157)</f>
        <v>Passif</v>
      </c>
      <c r="E157" s="11" t="str">
        <f aca="false">INDEX(Bases!$C$5:$C$83,$T157)</f>
        <v>Contre-attaque</v>
      </c>
      <c r="F157" s="10" t="str">
        <f aca="false">INDEX(Éléments!$A$5:$A$14,$U157)</f>
        <v>Neutre</v>
      </c>
      <c r="G157" s="12" t="str">
        <f aca="false">IF(OR($F157="Neutre",$C157="Passif"),$E157,INDEX(Bases!$D$5:$D$83,$T157)&amp;" "&amp;INDEX(Éléments!$D$5:$D$14,$U157))</f>
        <v>Contre-attaque</v>
      </c>
      <c r="H157" s="10" t="str">
        <f aca="false">INDEX(Bases!$G$5:$G$83,$T157)</f>
        <v>Soi</v>
      </c>
      <c r="I157" s="13" t="str">
        <f aca="false">INDEX(Bases!$H$5:$H$83,$T157)</f>
        <v>—</v>
      </c>
      <c r="J157" s="10" t="str">
        <f aca="false">INDEX(Bases!$I$5:$I$83,$T157)</f>
        <v>Non</v>
      </c>
      <c r="K157" s="14" t="n">
        <f aca="false">INDEX(Bases!$J$5:$J$83,$T157)</f>
        <v>0</v>
      </c>
      <c r="L157" s="10" t="str">
        <f aca="false">INDEX(Bases!$K$5:$K$83,$T157)</f>
        <v>—</v>
      </c>
      <c r="M157" s="11" t="str">
        <f aca="false">INDEX(Bases!$L$5:$L$83,$T157)</f>
        <v>15 % de riposter quand il est touché (50 % de la Force).</v>
      </c>
      <c r="N157" s="11" t="str">
        <f aca="false">IF($C157="Passif","—",IF($C157="Attaque (arme 1)",INDEX(Éléments!$F$5:$F$14,$U157),INDEX(Éléments!$G$5:$G$14,$U157)))</f>
        <v>—</v>
      </c>
      <c r="O157" s="10" t="str">
        <f aca="false">INDEX(Bases!$M$5:$M$83,$T157)</f>
        <v>Quand il est touché</v>
      </c>
      <c r="P157" s="13" t="n">
        <f aca="false">INDEX(Bases!$N$5:$N$83,$T157)</f>
        <v>20</v>
      </c>
      <c r="Q157" s="15" t="n">
        <f aca="false">INDEX(Éléments!$C$5:$C$14,$U157)</f>
        <v>0</v>
      </c>
      <c r="R157" s="11" t="str">
        <f aca="false">"Niv. "&amp;$P157&amp;IF($Q157&gt;0," · étage "&amp;$Q157&amp;" terminé","")</f>
        <v>Niv. 20</v>
      </c>
      <c r="S157" s="14" t="n">
        <f aca="false">IF(ISNUMBER($I157),$K157*IF($H157="Zone",Paramètres!$B$8,1)/MAX(1,$I157),0)</f>
        <v>0</v>
      </c>
      <c r="T157" s="16" t="n">
        <v>18</v>
      </c>
      <c r="U157" s="16" t="n">
        <v>1</v>
      </c>
    </row>
    <row r="158" customFormat="false" ht="15" hidden="false" customHeight="true" outlineLevel="0" collapsed="false">
      <c r="A158" s="9" t="s">
        <v>227</v>
      </c>
      <c r="B158" s="10" t="str">
        <f aca="false">INDEX(Bases!$B$5:$B$83,$T158)</f>
        <v>Guerrier</v>
      </c>
      <c r="C158" s="10" t="str">
        <f aca="false">INDEX(Bases!$E$5:$E$83,$T158)</f>
        <v>Passif</v>
      </c>
      <c r="D158" s="10" t="str">
        <f aca="false">INDEX(Bases!$F$5:$F$83,$T158)</f>
        <v>Passif</v>
      </c>
      <c r="E158" s="11" t="str">
        <f aca="false">INDEX(Bases!$C$5:$C$83,$T158)</f>
        <v>Rage</v>
      </c>
      <c r="F158" s="10" t="str">
        <f aca="false">INDEX(Éléments!$A$5:$A$14,$U158)</f>
        <v>Neutre</v>
      </c>
      <c r="G158" s="12" t="str">
        <f aca="false">IF(OR($F158="Neutre",$C158="Passif"),$E158,INDEX(Bases!$D$5:$D$83,$T158)&amp;" "&amp;INDEX(Éléments!$D$5:$D$14,$U158))</f>
        <v>Rage</v>
      </c>
      <c r="H158" s="10" t="str">
        <f aca="false">INDEX(Bases!$G$5:$G$83,$T158)</f>
        <v>Soi</v>
      </c>
      <c r="I158" s="13" t="str">
        <f aca="false">INDEX(Bases!$H$5:$H$83,$T158)</f>
        <v>—</v>
      </c>
      <c r="J158" s="10" t="str">
        <f aca="false">INDEX(Bases!$I$5:$I$83,$T158)</f>
        <v>Non</v>
      </c>
      <c r="K158" s="14" t="n">
        <f aca="false">INDEX(Bases!$J$5:$J$83,$T158)</f>
        <v>0</v>
      </c>
      <c r="L158" s="10" t="str">
        <f aca="false">INDEX(Bases!$K$5:$K$83,$T158)</f>
        <v>—</v>
      </c>
      <c r="M158" s="11" t="str">
        <f aca="false">INDEX(Bases!$L$5:$L$83,$T158)</f>
        <v>+2 % de dégâts par tranche de 10 % de PV perdus (max +15 %).</v>
      </c>
      <c r="N158" s="11" t="str">
        <f aca="false">IF($C158="Passif","—",IF($C158="Attaque (arme 1)",INDEX(Éléments!$F$5:$F$14,$U158),INDEX(Éléments!$G$5:$G$14,$U158)))</f>
        <v>—</v>
      </c>
      <c r="O158" s="10" t="str">
        <f aca="false">INDEX(Bases!$M$5:$M$83,$T158)</f>
        <v>Permanent</v>
      </c>
      <c r="P158" s="13" t="n">
        <f aca="false">INDEX(Bases!$N$5:$N$83,$T158)</f>
        <v>30</v>
      </c>
      <c r="Q158" s="15" t="n">
        <f aca="false">INDEX(Éléments!$C$5:$C$14,$U158)</f>
        <v>0</v>
      </c>
      <c r="R158" s="11" t="str">
        <f aca="false">"Niv. "&amp;$P158&amp;IF($Q158&gt;0," · étage "&amp;$Q158&amp;" terminé","")</f>
        <v>Niv. 30</v>
      </c>
      <c r="S158" s="14" t="n">
        <f aca="false">IF(ISNUMBER($I158),$K158*IF($H158="Zone",Paramètres!$B$8,1)/MAX(1,$I158),0)</f>
        <v>0</v>
      </c>
      <c r="T158" s="16" t="n">
        <v>19</v>
      </c>
      <c r="U158" s="16" t="n">
        <v>1</v>
      </c>
    </row>
    <row r="159" customFormat="false" ht="15" hidden="false" customHeight="true" outlineLevel="0" collapsed="false">
      <c r="A159" s="9" t="s">
        <v>228</v>
      </c>
      <c r="B159" s="10" t="str">
        <f aca="false">INDEX(Bases!$B$5:$B$83,$T159)</f>
        <v>Guerrier</v>
      </c>
      <c r="C159" s="10" t="str">
        <f aca="false">INDEX(Bases!$E$5:$E$83,$T159)</f>
        <v>Passif</v>
      </c>
      <c r="D159" s="10" t="str">
        <f aca="false">INDEX(Bases!$F$5:$F$83,$T159)</f>
        <v>Passif</v>
      </c>
      <c r="E159" s="11" t="str">
        <f aca="false">INDEX(Bases!$C$5:$C$83,$T159)</f>
        <v>Briseur de garde</v>
      </c>
      <c r="F159" s="10" t="str">
        <f aca="false">INDEX(Éléments!$A$5:$A$14,$U159)</f>
        <v>Neutre</v>
      </c>
      <c r="G159" s="12" t="str">
        <f aca="false">IF(OR($F159="Neutre",$C159="Passif"),$E159,INDEX(Bases!$D$5:$D$83,$T159)&amp;" "&amp;INDEX(Éléments!$D$5:$D$14,$U159))</f>
        <v>Briseur de garde</v>
      </c>
      <c r="H159" s="10" t="str">
        <f aca="false">INDEX(Bases!$G$5:$G$83,$T159)</f>
        <v>Soi</v>
      </c>
      <c r="I159" s="13" t="str">
        <f aca="false">INDEX(Bases!$H$5:$H$83,$T159)</f>
        <v>—</v>
      </c>
      <c r="J159" s="10" t="str">
        <f aca="false">INDEX(Bases!$I$5:$I$83,$T159)</f>
        <v>Non</v>
      </c>
      <c r="K159" s="14" t="n">
        <f aca="false">INDEX(Bases!$J$5:$J$83,$T159)</f>
        <v>0</v>
      </c>
      <c r="L159" s="10" t="str">
        <f aca="false">INDEX(Bases!$K$5:$K$83,$T159)</f>
        <v>—</v>
      </c>
      <c r="M159" s="11" t="str">
        <f aca="false">INDEX(Bases!$L$5:$L$83,$T159)</f>
        <v>Chaque coup vole 2 % de la Résistance de la cible (5 piles max).</v>
      </c>
      <c r="N159" s="11" t="str">
        <f aca="false">IF($C159="Passif","—",IF($C159="Attaque (arme 1)",INDEX(Éléments!$F$5:$F$14,$U159),INDEX(Éléments!$G$5:$G$14,$U159)))</f>
        <v>—</v>
      </c>
      <c r="O159" s="10" t="str">
        <f aca="false">INDEX(Bases!$M$5:$M$83,$T159)</f>
        <v>À chaque coup</v>
      </c>
      <c r="P159" s="13" t="n">
        <f aca="false">INDEX(Bases!$N$5:$N$83,$T159)</f>
        <v>40</v>
      </c>
      <c r="Q159" s="15" t="n">
        <f aca="false">INDEX(Éléments!$C$5:$C$14,$U159)</f>
        <v>0</v>
      </c>
      <c r="R159" s="11" t="str">
        <f aca="false">"Niv. "&amp;$P159&amp;IF($Q159&gt;0," · étage "&amp;$Q159&amp;" terminé","")</f>
        <v>Niv. 40</v>
      </c>
      <c r="S159" s="14" t="n">
        <f aca="false">IF(ISNUMBER($I159),$K159*IF($H159="Zone",Paramètres!$B$8,1)/MAX(1,$I159),0)</f>
        <v>0</v>
      </c>
      <c r="T159" s="16" t="n">
        <v>20</v>
      </c>
      <c r="U159" s="16" t="n">
        <v>1</v>
      </c>
    </row>
    <row r="160" customFormat="false" ht="15" hidden="false" customHeight="true" outlineLevel="0" collapsed="false">
      <c r="A160" s="9" t="s">
        <v>229</v>
      </c>
      <c r="B160" s="10" t="str">
        <f aca="false">INDEX(Bases!$B$5:$B$83,$T160)</f>
        <v>Guerrier</v>
      </c>
      <c r="C160" s="10" t="str">
        <f aca="false">INDEX(Bases!$E$5:$E$83,$T160)</f>
        <v>Passif</v>
      </c>
      <c r="D160" s="10" t="str">
        <f aca="false">INDEX(Bases!$F$5:$F$83,$T160)</f>
        <v>Passif</v>
      </c>
      <c r="E160" s="11" t="str">
        <f aca="false">INDEX(Bases!$C$5:$C$83,$T160)</f>
        <v>Bouclier réflexe</v>
      </c>
      <c r="F160" s="10" t="str">
        <f aca="false">INDEX(Éléments!$A$5:$A$14,$U160)</f>
        <v>Neutre</v>
      </c>
      <c r="G160" s="12" t="str">
        <f aca="false">IF(OR($F160="Neutre",$C160="Passif"),$E160,INDEX(Bases!$D$5:$D$83,$T160)&amp;" "&amp;INDEX(Éléments!$D$5:$D$14,$U160))</f>
        <v>Bouclier réflexe</v>
      </c>
      <c r="H160" s="10" t="str">
        <f aca="false">INDEX(Bases!$G$5:$G$83,$T160)</f>
        <v>Soi</v>
      </c>
      <c r="I160" s="13" t="str">
        <f aca="false">INDEX(Bases!$H$5:$H$83,$T160)</f>
        <v>—</v>
      </c>
      <c r="J160" s="10" t="str">
        <f aca="false">INDEX(Bases!$I$5:$I$83,$T160)</f>
        <v>Non</v>
      </c>
      <c r="K160" s="14" t="n">
        <f aca="false">INDEX(Bases!$J$5:$J$83,$T160)</f>
        <v>0</v>
      </c>
      <c r="L160" s="10" t="str">
        <f aca="false">INDEX(Bases!$K$5:$K$83,$T160)</f>
        <v>—</v>
      </c>
      <c r="M160" s="11" t="str">
        <f aca="false">INDEX(Bases!$L$5:$L$83,$T160)</f>
        <v>Bouclier de 8 % des PV max.</v>
      </c>
      <c r="N160" s="11" t="str">
        <f aca="false">IF($C160="Passif","—",IF($C160="Attaque (arme 1)",INDEX(Éléments!$F$5:$F$14,$U160),INDEX(Éléments!$G$5:$G$14,$U160)))</f>
        <v>—</v>
      </c>
      <c r="O160" s="10" t="str">
        <f aca="false">INDEX(Bases!$M$5:$M$83,$T160)</f>
        <v>Tous les 3 tours</v>
      </c>
      <c r="P160" s="13" t="n">
        <f aca="false">INDEX(Bases!$N$5:$N$83,$T160)</f>
        <v>50</v>
      </c>
      <c r="Q160" s="15" t="n">
        <f aca="false">INDEX(Éléments!$C$5:$C$14,$U160)</f>
        <v>0</v>
      </c>
      <c r="R160" s="11" t="str">
        <f aca="false">"Niv. "&amp;$P160&amp;IF($Q160&gt;0," · étage "&amp;$Q160&amp;" terminé","")</f>
        <v>Niv. 50</v>
      </c>
      <c r="S160" s="14" t="n">
        <f aca="false">IF(ISNUMBER($I160),$K160*IF($H160="Zone",Paramètres!$B$8,1)/MAX(1,$I160),0)</f>
        <v>0</v>
      </c>
      <c r="T160" s="16" t="n">
        <v>21</v>
      </c>
      <c r="U160" s="16" t="n">
        <v>1</v>
      </c>
    </row>
    <row r="161" customFormat="false" ht="15" hidden="false" customHeight="true" outlineLevel="0" collapsed="false">
      <c r="A161" s="9" t="s">
        <v>230</v>
      </c>
      <c r="B161" s="10" t="str">
        <f aca="false">INDEX(Bases!$B$5:$B$83,$T161)</f>
        <v>Guerrier</v>
      </c>
      <c r="C161" s="10" t="str">
        <f aca="false">INDEX(Bases!$E$5:$E$83,$T161)</f>
        <v>Passif</v>
      </c>
      <c r="D161" s="10" t="str">
        <f aca="false">INDEX(Bases!$F$5:$F$83,$T161)</f>
        <v>Passif</v>
      </c>
      <c r="E161" s="11" t="str">
        <f aca="false">INDEX(Bases!$C$5:$C$83,$T161)</f>
        <v>Maître d'armes</v>
      </c>
      <c r="F161" s="10" t="str">
        <f aca="false">INDEX(Éléments!$A$5:$A$14,$U161)</f>
        <v>Neutre</v>
      </c>
      <c r="G161" s="12" t="str">
        <f aca="false">IF(OR($F161="Neutre",$C161="Passif"),$E161,INDEX(Bases!$D$5:$D$83,$T161)&amp;" "&amp;INDEX(Éléments!$D$5:$D$14,$U161))</f>
        <v>Maître d'armes</v>
      </c>
      <c r="H161" s="10" t="str">
        <f aca="false">INDEX(Bases!$G$5:$G$83,$T161)</f>
        <v>Soi</v>
      </c>
      <c r="I161" s="13" t="str">
        <f aca="false">INDEX(Bases!$H$5:$H$83,$T161)</f>
        <v>—</v>
      </c>
      <c r="J161" s="10" t="str">
        <f aca="false">INDEX(Bases!$I$5:$I$83,$T161)</f>
        <v>Non</v>
      </c>
      <c r="K161" s="14" t="n">
        <f aca="false">INDEX(Bases!$J$5:$J$83,$T161)</f>
        <v>0</v>
      </c>
      <c r="L161" s="10" t="str">
        <f aca="false">INDEX(Bases!$K$5:$K$83,$T161)</f>
        <v>—</v>
      </c>
      <c r="M161" s="11" t="str">
        <f aca="false">INDEX(Bases!$L$5:$L$83,$T161)</f>
        <v>+5 % de Pénétration et +5 % de dégâts critiques.</v>
      </c>
      <c r="N161" s="11" t="str">
        <f aca="false">IF($C161="Passif","—",IF($C161="Attaque (arme 1)",INDEX(Éléments!$F$5:$F$14,$U161),INDEX(Éléments!$G$5:$G$14,$U161)))</f>
        <v>—</v>
      </c>
      <c r="O161" s="10" t="str">
        <f aca="false">INDEX(Bases!$M$5:$M$83,$T161)</f>
        <v>Permanent</v>
      </c>
      <c r="P161" s="13" t="n">
        <f aca="false">INDEX(Bases!$N$5:$N$83,$T161)</f>
        <v>60</v>
      </c>
      <c r="Q161" s="15" t="n">
        <f aca="false">INDEX(Éléments!$C$5:$C$14,$U161)</f>
        <v>0</v>
      </c>
      <c r="R161" s="11" t="str">
        <f aca="false">"Niv. "&amp;$P161&amp;IF($Q161&gt;0," · étage "&amp;$Q161&amp;" terminé","")</f>
        <v>Niv. 60</v>
      </c>
      <c r="S161" s="14" t="n">
        <f aca="false">IF(ISNUMBER($I161),$K161*IF($H161="Zone",Paramètres!$B$8,1)/MAX(1,$I161),0)</f>
        <v>0</v>
      </c>
      <c r="T161" s="16" t="n">
        <v>22</v>
      </c>
      <c r="U161" s="16" t="n">
        <v>1</v>
      </c>
    </row>
    <row r="162" customFormat="false" ht="15" hidden="false" customHeight="true" outlineLevel="0" collapsed="false">
      <c r="A162" s="9" t="s">
        <v>231</v>
      </c>
      <c r="B162" s="10" t="str">
        <f aca="false">INDEX(Bases!$B$5:$B$83,$T162)</f>
        <v>Guerrier</v>
      </c>
      <c r="C162" s="10" t="str">
        <f aca="false">INDEX(Bases!$E$5:$E$83,$T162)</f>
        <v>Passif</v>
      </c>
      <c r="D162" s="10" t="str">
        <f aca="false">INDEX(Bases!$F$5:$F$83,$T162)</f>
        <v>Passif</v>
      </c>
      <c r="E162" s="11" t="str">
        <f aca="false">INDEX(Bases!$C$5:$C$83,$T162)</f>
        <v>Endurance du vétéran</v>
      </c>
      <c r="F162" s="10" t="str">
        <f aca="false">INDEX(Éléments!$A$5:$A$14,$U162)</f>
        <v>Neutre</v>
      </c>
      <c r="G162" s="12" t="str">
        <f aca="false">IF(OR($F162="Neutre",$C162="Passif"),$E162,INDEX(Bases!$D$5:$D$83,$T162)&amp;" "&amp;INDEX(Éléments!$D$5:$D$14,$U162))</f>
        <v>Endurance du vétéran</v>
      </c>
      <c r="H162" s="10" t="str">
        <f aca="false">INDEX(Bases!$G$5:$G$83,$T162)</f>
        <v>Soi</v>
      </c>
      <c r="I162" s="13" t="str">
        <f aca="false">INDEX(Bases!$H$5:$H$83,$T162)</f>
        <v>—</v>
      </c>
      <c r="J162" s="10" t="str">
        <f aca="false">INDEX(Bases!$I$5:$I$83,$T162)</f>
        <v>Non</v>
      </c>
      <c r="K162" s="14" t="n">
        <f aca="false">INDEX(Bases!$J$5:$J$83,$T162)</f>
        <v>0</v>
      </c>
      <c r="L162" s="10" t="str">
        <f aca="false">INDEX(Bases!$K$5:$K$83,$T162)</f>
        <v>—</v>
      </c>
      <c r="M162" s="11" t="str">
        <f aca="false">INDEX(Bases!$L$5:$L$83,$T162)</f>
        <v>Rend 3 % des PV max.</v>
      </c>
      <c r="N162" s="11" t="str">
        <f aca="false">IF($C162="Passif","—",IF($C162="Attaque (arme 1)",INDEX(Éléments!$F$5:$F$14,$U162),INDEX(Éléments!$G$5:$G$14,$U162)))</f>
        <v>—</v>
      </c>
      <c r="O162" s="10" t="str">
        <f aca="false">INDEX(Bases!$M$5:$M$83,$T162)</f>
        <v>Chaque tour</v>
      </c>
      <c r="P162" s="13" t="n">
        <f aca="false">INDEX(Bases!$N$5:$N$83,$T162)</f>
        <v>70</v>
      </c>
      <c r="Q162" s="15" t="n">
        <f aca="false">INDEX(Éléments!$C$5:$C$14,$U162)</f>
        <v>0</v>
      </c>
      <c r="R162" s="11" t="str">
        <f aca="false">"Niv. "&amp;$P162&amp;IF($Q162&gt;0," · étage "&amp;$Q162&amp;" terminé","")</f>
        <v>Niv. 70</v>
      </c>
      <c r="S162" s="14" t="n">
        <f aca="false">IF(ISNUMBER($I162),$K162*IF($H162="Zone",Paramètres!$B$8,1)/MAX(1,$I162),0)</f>
        <v>0</v>
      </c>
      <c r="T162" s="16" t="n">
        <v>23</v>
      </c>
      <c r="U162" s="16" t="n">
        <v>1</v>
      </c>
    </row>
    <row r="163" customFormat="false" ht="15" hidden="false" customHeight="true" outlineLevel="0" collapsed="false">
      <c r="A163" s="9" t="s">
        <v>232</v>
      </c>
      <c r="B163" s="10" t="str">
        <f aca="false">INDEX(Bases!$B$5:$B$83,$T163)</f>
        <v>Mage</v>
      </c>
      <c r="C163" s="10" t="str">
        <f aca="false">INDEX(Bases!$E$5:$E$83,$T163)</f>
        <v>Attaque (arme 1)</v>
      </c>
      <c r="D163" s="10" t="str">
        <f aca="false">INDEX(Bases!$F$5:$F$83,$T163)</f>
        <v>Attaque</v>
      </c>
      <c r="E163" s="11" t="str">
        <f aca="false">INDEX(Bases!$C$5:$C$83,$T163)</f>
        <v>Boule arcanique</v>
      </c>
      <c r="F163" s="10" t="str">
        <f aca="false">INDEX(Éléments!$A$5:$A$14,$U163)</f>
        <v>Neutre</v>
      </c>
      <c r="G163" s="12" t="str">
        <f aca="false">IF(OR($F163="Neutre",$C163="Passif"),$E163,INDEX(Bases!$D$5:$D$83,$T163)&amp;" "&amp;INDEX(Éléments!$D$5:$D$14,$U163))</f>
        <v>Boule arcanique</v>
      </c>
      <c r="H163" s="10" t="str">
        <f aca="false">INDEX(Bases!$G$5:$G$83,$T163)</f>
        <v>Mono</v>
      </c>
      <c r="I163" s="13" t="n">
        <f aca="false">INDEX(Bases!$H$5:$H$83,$T163)</f>
        <v>0</v>
      </c>
      <c r="J163" s="10" t="str">
        <f aca="false">INDEX(Bases!$I$5:$I$83,$T163)</f>
        <v>Non</v>
      </c>
      <c r="K163" s="14" t="n">
        <f aca="false">INDEX(Bases!$J$5:$J$83,$T163)</f>
        <v>1</v>
      </c>
      <c r="L163" s="10" t="str">
        <f aca="false">INDEX(Bases!$K$5:$K$83,$T163)</f>
        <v>Magie</v>
      </c>
      <c r="M163" s="11" t="str">
        <f aca="false">INDEX(Bases!$L$5:$L$83,$T163)</f>
        <v>Projectile magique fiable.</v>
      </c>
      <c r="N163" s="11" t="str">
        <f aca="false">IF($C163="Passif","—",IF($C163="Attaque (arme 1)",INDEX(Éléments!$F$5:$F$14,$U163),INDEX(Éléments!$G$5:$G$14,$U163)))</f>
        <v>Aucune altération ; ignore 10 % de la Résistance de la cible. Fiable contre tous les biomes.</v>
      </c>
      <c r="O163" s="10" t="str">
        <f aca="false">INDEX(Bases!$M$5:$M$83,$T163)</f>
        <v>Active</v>
      </c>
      <c r="P163" s="13" t="n">
        <f aca="false">INDEX(Bases!$N$5:$N$83,$T163)</f>
        <v>1</v>
      </c>
      <c r="Q163" s="15" t="n">
        <f aca="false">INDEX(Éléments!$C$5:$C$14,$U163)</f>
        <v>0</v>
      </c>
      <c r="R163" s="11" t="str">
        <f aca="false">"Niv. "&amp;$P163&amp;IF($Q163&gt;0," · étage "&amp;$Q163&amp;" terminé","")</f>
        <v>Niv. 1</v>
      </c>
      <c r="S163" s="14" t="n">
        <f aca="false">IF(ISNUMBER($I163),$K163*IF($H163="Zone",Paramètres!$B$8,1)/MAX(1,$I163),0)</f>
        <v>1</v>
      </c>
      <c r="T163" s="16" t="n">
        <v>24</v>
      </c>
      <c r="U163" s="16" t="n">
        <v>1</v>
      </c>
    </row>
    <row r="164" customFormat="false" ht="15" hidden="false" customHeight="true" outlineLevel="0" collapsed="false">
      <c r="A164" s="9" t="s">
        <v>233</v>
      </c>
      <c r="B164" s="10" t="str">
        <f aca="false">INDEX(Bases!$B$5:$B$83,$T164)</f>
        <v>Mage</v>
      </c>
      <c r="C164" s="10" t="str">
        <f aca="false">INDEX(Bases!$E$5:$E$83,$T164)</f>
        <v>Attaque (arme 1)</v>
      </c>
      <c r="D164" s="10" t="str">
        <f aca="false">INDEX(Bases!$F$5:$F$83,$T164)</f>
        <v>Attaque</v>
      </c>
      <c r="E164" s="11" t="str">
        <f aca="false">INDEX(Bases!$C$5:$C$83,$T164)</f>
        <v>Boule arcanique</v>
      </c>
      <c r="F164" s="10" t="str">
        <f aca="false">INDEX(Éléments!$A$5:$A$14,$U164)</f>
        <v>Terre</v>
      </c>
      <c r="G164" s="12" t="str">
        <f aca="false">IF(OR($F164="Neutre",$C164="Passif"),$E164,INDEX(Bases!$D$5:$D$83,$T164)&amp;" "&amp;INDEX(Éléments!$D$5:$D$14,$U164))</f>
        <v>Boule de pierre</v>
      </c>
      <c r="H164" s="10" t="str">
        <f aca="false">INDEX(Bases!$G$5:$G$83,$T164)</f>
        <v>Mono</v>
      </c>
      <c r="I164" s="13" t="n">
        <f aca="false">INDEX(Bases!$H$5:$H$83,$T164)</f>
        <v>0</v>
      </c>
      <c r="J164" s="10" t="str">
        <f aca="false">INDEX(Bases!$I$5:$I$83,$T164)</f>
        <v>Non</v>
      </c>
      <c r="K164" s="14" t="n">
        <f aca="false">INDEX(Bases!$J$5:$J$83,$T164)</f>
        <v>1</v>
      </c>
      <c r="L164" s="10" t="str">
        <f aca="false">INDEX(Bases!$K$5:$K$83,$T164)</f>
        <v>Magie</v>
      </c>
      <c r="M164" s="11" t="str">
        <f aca="false">INDEX(Bases!$L$5:$L$83,$T164)</f>
        <v>Projectile magique fiable.</v>
      </c>
      <c r="N164" s="11" t="str">
        <f aca="false">IF($C164="Passif","—",IF($C164="Attaque (arme 1)",INDEX(Éléments!$F$5:$F$14,$U164),INDEX(Éléments!$G$5:$G$14,$U164)))</f>
        <v>30 % : Garde brisée (−15 % Résistance, 2 tours).</v>
      </c>
      <c r="O164" s="10" t="str">
        <f aca="false">INDEX(Bases!$M$5:$M$83,$T164)</f>
        <v>Active</v>
      </c>
      <c r="P164" s="13" t="n">
        <f aca="false">INDEX(Bases!$N$5:$N$83,$T164)</f>
        <v>1</v>
      </c>
      <c r="Q164" s="15" t="n">
        <f aca="false">INDEX(Éléments!$C$5:$C$14,$U164)</f>
        <v>20</v>
      </c>
      <c r="R164" s="11" t="str">
        <f aca="false">"Niv. "&amp;$P164&amp;IF($Q164&gt;0," · étage "&amp;$Q164&amp;" terminé","")</f>
        <v>Niv. 1 · étage 20 terminé</v>
      </c>
      <c r="S164" s="14" t="n">
        <f aca="false">IF(ISNUMBER($I164),$K164*IF($H164="Zone",Paramètres!$B$8,1)/MAX(1,$I164),0)</f>
        <v>1</v>
      </c>
      <c r="T164" s="16" t="n">
        <v>24</v>
      </c>
      <c r="U164" s="16" t="n">
        <v>2</v>
      </c>
    </row>
    <row r="165" customFormat="false" ht="15" hidden="false" customHeight="true" outlineLevel="0" collapsed="false">
      <c r="A165" s="9" t="s">
        <v>234</v>
      </c>
      <c r="B165" s="10" t="str">
        <f aca="false">INDEX(Bases!$B$5:$B$83,$T165)</f>
        <v>Mage</v>
      </c>
      <c r="C165" s="10" t="str">
        <f aca="false">INDEX(Bases!$E$5:$E$83,$T165)</f>
        <v>Attaque (arme 1)</v>
      </c>
      <c r="D165" s="10" t="str">
        <f aca="false">INDEX(Bases!$F$5:$F$83,$T165)</f>
        <v>Attaque</v>
      </c>
      <c r="E165" s="11" t="str">
        <f aca="false">INDEX(Bases!$C$5:$C$83,$T165)</f>
        <v>Boule arcanique</v>
      </c>
      <c r="F165" s="10" t="str">
        <f aca="false">INDEX(Éléments!$A$5:$A$14,$U165)</f>
        <v>Feu</v>
      </c>
      <c r="G165" s="12" t="str">
        <f aca="false">IF(OR($F165="Neutre",$C165="Passif"),$E165,INDEX(Bases!$D$5:$D$83,$T165)&amp;" "&amp;INDEX(Éléments!$D$5:$D$14,$U165))</f>
        <v>Boule de feu</v>
      </c>
      <c r="H165" s="10" t="str">
        <f aca="false">INDEX(Bases!$G$5:$G$83,$T165)</f>
        <v>Mono</v>
      </c>
      <c r="I165" s="13" t="n">
        <f aca="false">INDEX(Bases!$H$5:$H$83,$T165)</f>
        <v>0</v>
      </c>
      <c r="J165" s="10" t="str">
        <f aca="false">INDEX(Bases!$I$5:$I$83,$T165)</f>
        <v>Non</v>
      </c>
      <c r="K165" s="14" t="n">
        <f aca="false">INDEX(Bases!$J$5:$J$83,$T165)</f>
        <v>1</v>
      </c>
      <c r="L165" s="10" t="str">
        <f aca="false">INDEX(Bases!$K$5:$K$83,$T165)</f>
        <v>Magie</v>
      </c>
      <c r="M165" s="11" t="str">
        <f aca="false">INDEX(Bases!$L$5:$L$83,$T165)</f>
        <v>Projectile magique fiable.</v>
      </c>
      <c r="N165" s="11" t="str">
        <f aca="false">IF($C165="Passif","—",IF($C165="Attaque (arme 1)",INDEX(Éléments!$F$5:$F$14,$U165),INDEX(Éléments!$G$5:$G$14,$U165)))</f>
        <v>35 % : Brûlure (8 % de la stat d'attaque par tour, 3 tours, non cumulable).</v>
      </c>
      <c r="O165" s="10" t="str">
        <f aca="false">INDEX(Bases!$M$5:$M$83,$T165)</f>
        <v>Active</v>
      </c>
      <c r="P165" s="13" t="n">
        <f aca="false">INDEX(Bases!$N$5:$N$83,$T165)</f>
        <v>1</v>
      </c>
      <c r="Q165" s="15" t="n">
        <f aca="false">INDEX(Éléments!$C$5:$C$14,$U165)</f>
        <v>30</v>
      </c>
      <c r="R165" s="11" t="str">
        <f aca="false">"Niv. "&amp;$P165&amp;IF($Q165&gt;0," · étage "&amp;$Q165&amp;" terminé","")</f>
        <v>Niv. 1 · étage 30 terminé</v>
      </c>
      <c r="S165" s="14" t="n">
        <f aca="false">IF(ISNUMBER($I165),$K165*IF($H165="Zone",Paramètres!$B$8,1)/MAX(1,$I165),0)</f>
        <v>1</v>
      </c>
      <c r="T165" s="16" t="n">
        <v>24</v>
      </c>
      <c r="U165" s="16" t="n">
        <v>3</v>
      </c>
    </row>
    <row r="166" customFormat="false" ht="15" hidden="false" customHeight="true" outlineLevel="0" collapsed="false">
      <c r="A166" s="9" t="s">
        <v>235</v>
      </c>
      <c r="B166" s="10" t="str">
        <f aca="false">INDEX(Bases!$B$5:$B$83,$T166)</f>
        <v>Mage</v>
      </c>
      <c r="C166" s="10" t="str">
        <f aca="false">INDEX(Bases!$E$5:$E$83,$T166)</f>
        <v>Attaque (arme 1)</v>
      </c>
      <c r="D166" s="10" t="str">
        <f aca="false">INDEX(Bases!$F$5:$F$83,$T166)</f>
        <v>Attaque</v>
      </c>
      <c r="E166" s="11" t="str">
        <f aca="false">INDEX(Bases!$C$5:$C$83,$T166)</f>
        <v>Boule arcanique</v>
      </c>
      <c r="F166" s="10" t="str">
        <f aca="false">INDEX(Éléments!$A$5:$A$14,$U166)</f>
        <v>Vent</v>
      </c>
      <c r="G166" s="12" t="str">
        <f aca="false">IF(OR($F166="Neutre",$C166="Passif"),$E166,INDEX(Bases!$D$5:$D$83,$T166)&amp;" "&amp;INDEX(Éléments!$D$5:$D$14,$U166))</f>
        <v>Boule de vent</v>
      </c>
      <c r="H166" s="10" t="str">
        <f aca="false">INDEX(Bases!$G$5:$G$83,$T166)</f>
        <v>Mono</v>
      </c>
      <c r="I166" s="13" t="n">
        <f aca="false">INDEX(Bases!$H$5:$H$83,$T166)</f>
        <v>0</v>
      </c>
      <c r="J166" s="10" t="str">
        <f aca="false">INDEX(Bases!$I$5:$I$83,$T166)</f>
        <v>Non</v>
      </c>
      <c r="K166" s="14" t="n">
        <f aca="false">INDEX(Bases!$J$5:$J$83,$T166)</f>
        <v>1</v>
      </c>
      <c r="L166" s="10" t="str">
        <f aca="false">INDEX(Bases!$K$5:$K$83,$T166)</f>
        <v>Magie</v>
      </c>
      <c r="M166" s="11" t="str">
        <f aca="false">INDEX(Bases!$L$5:$L$83,$T166)</f>
        <v>Projectile magique fiable.</v>
      </c>
      <c r="N166" s="11" t="str">
        <f aca="false">IF($C166="Passif","—",IF($C166="Attaque (arme 1)",INDEX(Éléments!$F$5:$F$14,$U166),INDEX(Éléments!$G$5:$G$14,$U166)))</f>
        <v>+10 % de chance de critique ; 30 % : Désorienté (−15 % Précision, 2 tours).</v>
      </c>
      <c r="O166" s="10" t="str">
        <f aca="false">INDEX(Bases!$M$5:$M$83,$T166)</f>
        <v>Active</v>
      </c>
      <c r="P166" s="13" t="n">
        <f aca="false">INDEX(Bases!$N$5:$N$83,$T166)</f>
        <v>1</v>
      </c>
      <c r="Q166" s="15" t="n">
        <f aca="false">INDEX(Éléments!$C$5:$C$14,$U166)</f>
        <v>40</v>
      </c>
      <c r="R166" s="11" t="str">
        <f aca="false">"Niv. "&amp;$P166&amp;IF($Q166&gt;0," · étage "&amp;$Q166&amp;" terminé","")</f>
        <v>Niv. 1 · étage 40 terminé</v>
      </c>
      <c r="S166" s="14" t="n">
        <f aca="false">IF(ISNUMBER($I166),$K166*IF($H166="Zone",Paramètres!$B$8,1)/MAX(1,$I166),0)</f>
        <v>1</v>
      </c>
      <c r="T166" s="16" t="n">
        <v>24</v>
      </c>
      <c r="U166" s="16" t="n">
        <v>4</v>
      </c>
    </row>
    <row r="167" customFormat="false" ht="15" hidden="false" customHeight="true" outlineLevel="0" collapsed="false">
      <c r="A167" s="9" t="s">
        <v>236</v>
      </c>
      <c r="B167" s="10" t="str">
        <f aca="false">INDEX(Bases!$B$5:$B$83,$T167)</f>
        <v>Mage</v>
      </c>
      <c r="C167" s="10" t="str">
        <f aca="false">INDEX(Bases!$E$5:$E$83,$T167)</f>
        <v>Attaque (arme 1)</v>
      </c>
      <c r="D167" s="10" t="str">
        <f aca="false">INDEX(Bases!$F$5:$F$83,$T167)</f>
        <v>Attaque</v>
      </c>
      <c r="E167" s="11" t="str">
        <f aca="false">INDEX(Bases!$C$5:$C$83,$T167)</f>
        <v>Boule arcanique</v>
      </c>
      <c r="F167" s="10" t="str">
        <f aca="false">INDEX(Éléments!$A$5:$A$14,$U167)</f>
        <v>Acide</v>
      </c>
      <c r="G167" s="12" t="str">
        <f aca="false">IF(OR($F167="Neutre",$C167="Passif"),$E167,INDEX(Bases!$D$5:$D$83,$T167)&amp;" "&amp;INDEX(Éléments!$D$5:$D$14,$U167))</f>
        <v>Boule d'acide</v>
      </c>
      <c r="H167" s="10" t="str">
        <f aca="false">INDEX(Bases!$G$5:$G$83,$T167)</f>
        <v>Mono</v>
      </c>
      <c r="I167" s="13" t="n">
        <f aca="false">INDEX(Bases!$H$5:$H$83,$T167)</f>
        <v>0</v>
      </c>
      <c r="J167" s="10" t="str">
        <f aca="false">INDEX(Bases!$I$5:$I$83,$T167)</f>
        <v>Non</v>
      </c>
      <c r="K167" s="14" t="n">
        <f aca="false">INDEX(Bases!$J$5:$J$83,$T167)</f>
        <v>1</v>
      </c>
      <c r="L167" s="10" t="str">
        <f aca="false">INDEX(Bases!$K$5:$K$83,$T167)</f>
        <v>Magie</v>
      </c>
      <c r="M167" s="11" t="str">
        <f aca="false">INDEX(Bases!$L$5:$L$83,$T167)</f>
        <v>Projectile magique fiable.</v>
      </c>
      <c r="N167" s="11" t="str">
        <f aca="false">IF($C167="Passif","—",IF($C167="Attaque (arme 1)",INDEX(Éléments!$F$5:$F$14,$U167),INDEX(Éléments!$G$5:$G$14,$U167)))</f>
        <v>50 % : 1 pile de Corrosion (−5 % Armure par pile, 4 piles max, 3 tours).</v>
      </c>
      <c r="O167" s="10" t="str">
        <f aca="false">INDEX(Bases!$M$5:$M$83,$T167)</f>
        <v>Active</v>
      </c>
      <c r="P167" s="13" t="n">
        <f aca="false">INDEX(Bases!$N$5:$N$83,$T167)</f>
        <v>1</v>
      </c>
      <c r="Q167" s="15" t="n">
        <f aca="false">INDEX(Éléments!$C$5:$C$14,$U167)</f>
        <v>50</v>
      </c>
      <c r="R167" s="11" t="str">
        <f aca="false">"Niv. "&amp;$P167&amp;IF($Q167&gt;0," · étage "&amp;$Q167&amp;" terminé","")</f>
        <v>Niv. 1 · étage 50 terminé</v>
      </c>
      <c r="S167" s="14" t="n">
        <f aca="false">IF(ISNUMBER($I167),$K167*IF($H167="Zone",Paramètres!$B$8,1)/MAX(1,$I167),0)</f>
        <v>1</v>
      </c>
      <c r="T167" s="16" t="n">
        <v>24</v>
      </c>
      <c r="U167" s="16" t="n">
        <v>5</v>
      </c>
    </row>
    <row r="168" customFormat="false" ht="15" hidden="false" customHeight="true" outlineLevel="0" collapsed="false">
      <c r="A168" s="9" t="s">
        <v>237</v>
      </c>
      <c r="B168" s="10" t="str">
        <f aca="false">INDEX(Bases!$B$5:$B$83,$T168)</f>
        <v>Mage</v>
      </c>
      <c r="C168" s="10" t="str">
        <f aca="false">INDEX(Bases!$E$5:$E$83,$T168)</f>
        <v>Attaque (arme 1)</v>
      </c>
      <c r="D168" s="10" t="str">
        <f aca="false">INDEX(Bases!$F$5:$F$83,$T168)</f>
        <v>Attaque</v>
      </c>
      <c r="E168" s="11" t="str">
        <f aca="false">INDEX(Bases!$C$5:$C$83,$T168)</f>
        <v>Boule arcanique</v>
      </c>
      <c r="F168" s="10" t="str">
        <f aca="false">INDEX(Éléments!$A$5:$A$14,$U168)</f>
        <v>Eau</v>
      </c>
      <c r="G168" s="12" t="str">
        <f aca="false">IF(OR($F168="Neutre",$C168="Passif"),$E168,INDEX(Bases!$D$5:$D$83,$T168)&amp;" "&amp;INDEX(Éléments!$D$5:$D$14,$U168))</f>
        <v>Boule d'eau</v>
      </c>
      <c r="H168" s="10" t="str">
        <f aca="false">INDEX(Bases!$G$5:$G$83,$T168)</f>
        <v>Mono</v>
      </c>
      <c r="I168" s="13" t="n">
        <f aca="false">INDEX(Bases!$H$5:$H$83,$T168)</f>
        <v>0</v>
      </c>
      <c r="J168" s="10" t="str">
        <f aca="false">INDEX(Bases!$I$5:$I$83,$T168)</f>
        <v>Non</v>
      </c>
      <c r="K168" s="14" t="n">
        <f aca="false">INDEX(Bases!$J$5:$J$83,$T168)</f>
        <v>1</v>
      </c>
      <c r="L168" s="10" t="str">
        <f aca="false">INDEX(Bases!$K$5:$K$83,$T168)</f>
        <v>Magie</v>
      </c>
      <c r="M168" s="11" t="str">
        <f aca="false">INDEX(Bases!$L$5:$L$83,$T168)</f>
        <v>Projectile magique fiable.</v>
      </c>
      <c r="N168" s="11" t="str">
        <f aca="false">IF($C168="Passif","—",IF($C168="Attaque (arme 1)",INDEX(Éléments!$F$5:$F$14,$U168),INDEX(Éléments!$G$5:$G$14,$U168)))</f>
        <v>50 % : Mouillé (+25 % de dégâts d'Électricité subis, retire Brûlure, 3 tours).</v>
      </c>
      <c r="O168" s="10" t="str">
        <f aca="false">INDEX(Bases!$M$5:$M$83,$T168)</f>
        <v>Active</v>
      </c>
      <c r="P168" s="13" t="n">
        <f aca="false">INDEX(Bases!$N$5:$N$83,$T168)</f>
        <v>1</v>
      </c>
      <c r="Q168" s="15" t="n">
        <f aca="false">INDEX(Éléments!$C$5:$C$14,$U168)</f>
        <v>60</v>
      </c>
      <c r="R168" s="11" t="str">
        <f aca="false">"Niv. "&amp;$P168&amp;IF($Q168&gt;0," · étage "&amp;$Q168&amp;" terminé","")</f>
        <v>Niv. 1 · étage 60 terminé</v>
      </c>
      <c r="S168" s="14" t="n">
        <f aca="false">IF(ISNUMBER($I168),$K168*IF($H168="Zone",Paramètres!$B$8,1)/MAX(1,$I168),0)</f>
        <v>1</v>
      </c>
      <c r="T168" s="16" t="n">
        <v>24</v>
      </c>
      <c r="U168" s="16" t="n">
        <v>6</v>
      </c>
    </row>
    <row r="169" customFormat="false" ht="15" hidden="false" customHeight="true" outlineLevel="0" collapsed="false">
      <c r="A169" s="9" t="s">
        <v>238</v>
      </c>
      <c r="B169" s="10" t="str">
        <f aca="false">INDEX(Bases!$B$5:$B$83,$T169)</f>
        <v>Mage</v>
      </c>
      <c r="C169" s="10" t="str">
        <f aca="false">INDEX(Bases!$E$5:$E$83,$T169)</f>
        <v>Attaque (arme 1)</v>
      </c>
      <c r="D169" s="10" t="str">
        <f aca="false">INDEX(Bases!$F$5:$F$83,$T169)</f>
        <v>Attaque</v>
      </c>
      <c r="E169" s="11" t="str">
        <f aca="false">INDEX(Bases!$C$5:$C$83,$T169)</f>
        <v>Boule arcanique</v>
      </c>
      <c r="F169" s="10" t="str">
        <f aca="false">INDEX(Éléments!$A$5:$A$14,$U169)</f>
        <v>Glace</v>
      </c>
      <c r="G169" s="12" t="str">
        <f aca="false">IF(OR($F169="Neutre",$C169="Passif"),$E169,INDEX(Bases!$D$5:$D$83,$T169)&amp;" "&amp;INDEX(Éléments!$D$5:$D$14,$U169))</f>
        <v>Boule de glace</v>
      </c>
      <c r="H169" s="10" t="str">
        <f aca="false">INDEX(Bases!$G$5:$G$83,$T169)</f>
        <v>Mono</v>
      </c>
      <c r="I169" s="13" t="n">
        <f aca="false">INDEX(Bases!$H$5:$H$83,$T169)</f>
        <v>0</v>
      </c>
      <c r="J169" s="10" t="str">
        <f aca="false">INDEX(Bases!$I$5:$I$83,$T169)</f>
        <v>Non</v>
      </c>
      <c r="K169" s="14" t="n">
        <f aca="false">INDEX(Bases!$J$5:$J$83,$T169)</f>
        <v>1</v>
      </c>
      <c r="L169" s="10" t="str">
        <f aca="false">INDEX(Bases!$K$5:$K$83,$T169)</f>
        <v>Magie</v>
      </c>
      <c r="M169" s="11" t="str">
        <f aca="false">INDEX(Bases!$L$5:$L$83,$T169)</f>
        <v>Projectile magique fiable.</v>
      </c>
      <c r="N169" s="11" t="str">
        <f aca="false">IF($C169="Passif","—",IF($C169="Attaque (arme 1)",INDEX(Éléments!$F$5:$F$14,$U169),INDEX(Éléments!$G$5:$G$14,$U169)))</f>
        <v>40 % : 1 pile de Froid (−8 % Agilité ; à 3 piles : Gel, la cible perd 1 tour).</v>
      </c>
      <c r="O169" s="10" t="str">
        <f aca="false">INDEX(Bases!$M$5:$M$83,$T169)</f>
        <v>Active</v>
      </c>
      <c r="P169" s="13" t="n">
        <f aca="false">INDEX(Bases!$N$5:$N$83,$T169)</f>
        <v>1</v>
      </c>
      <c r="Q169" s="15" t="n">
        <f aca="false">INDEX(Éléments!$C$5:$C$14,$U169)</f>
        <v>70</v>
      </c>
      <c r="R169" s="11" t="str">
        <f aca="false">"Niv. "&amp;$P169&amp;IF($Q169&gt;0," · étage "&amp;$Q169&amp;" terminé","")</f>
        <v>Niv. 1 · étage 70 terminé</v>
      </c>
      <c r="S169" s="14" t="n">
        <f aca="false">IF(ISNUMBER($I169),$K169*IF($H169="Zone",Paramètres!$B$8,1)/MAX(1,$I169),0)</f>
        <v>1</v>
      </c>
      <c r="T169" s="16" t="n">
        <v>24</v>
      </c>
      <c r="U169" s="16" t="n">
        <v>7</v>
      </c>
    </row>
    <row r="170" customFormat="false" ht="15" hidden="false" customHeight="true" outlineLevel="0" collapsed="false">
      <c r="A170" s="9" t="s">
        <v>239</v>
      </c>
      <c r="B170" s="10" t="str">
        <f aca="false">INDEX(Bases!$B$5:$B$83,$T170)</f>
        <v>Mage</v>
      </c>
      <c r="C170" s="10" t="str">
        <f aca="false">INDEX(Bases!$E$5:$E$83,$T170)</f>
        <v>Attaque (arme 1)</v>
      </c>
      <c r="D170" s="10" t="str">
        <f aca="false">INDEX(Bases!$F$5:$F$83,$T170)</f>
        <v>Attaque</v>
      </c>
      <c r="E170" s="11" t="str">
        <f aca="false">INDEX(Bases!$C$5:$C$83,$T170)</f>
        <v>Boule arcanique</v>
      </c>
      <c r="F170" s="10" t="str">
        <f aca="false">INDEX(Éléments!$A$5:$A$14,$U170)</f>
        <v>Électricité</v>
      </c>
      <c r="G170" s="12" t="str">
        <f aca="false">IF(OR($F170="Neutre",$C170="Passif"),$E170,INDEX(Bases!$D$5:$D$83,$T170)&amp;" "&amp;INDEX(Éléments!$D$5:$D$14,$U170))</f>
        <v>Boule de foudre</v>
      </c>
      <c r="H170" s="10" t="str">
        <f aca="false">INDEX(Bases!$G$5:$G$83,$T170)</f>
        <v>Mono</v>
      </c>
      <c r="I170" s="13" t="n">
        <f aca="false">INDEX(Bases!$H$5:$H$83,$T170)</f>
        <v>0</v>
      </c>
      <c r="J170" s="10" t="str">
        <f aca="false">INDEX(Bases!$I$5:$I$83,$T170)</f>
        <v>Non</v>
      </c>
      <c r="K170" s="14" t="n">
        <f aca="false">INDEX(Bases!$J$5:$J$83,$T170)</f>
        <v>1</v>
      </c>
      <c r="L170" s="10" t="str">
        <f aca="false">INDEX(Bases!$K$5:$K$83,$T170)</f>
        <v>Magie</v>
      </c>
      <c r="M170" s="11" t="str">
        <f aca="false">INDEX(Bases!$L$5:$L$83,$T170)</f>
        <v>Projectile magique fiable.</v>
      </c>
      <c r="N170" s="11" t="str">
        <f aca="false">IF($C170="Passif","—",IF($C170="Attaque (arme 1)",INDEX(Éléments!$F$5:$F$14,$U170),INDEX(Éléments!$G$5:$G$14,$U170)))</f>
        <v>Rebondit sur 1 autre ennemi (40 % des dégâts) ; 10 % : Étourdissement (1 tour).</v>
      </c>
      <c r="O170" s="10" t="str">
        <f aca="false">INDEX(Bases!$M$5:$M$83,$T170)</f>
        <v>Active</v>
      </c>
      <c r="P170" s="13" t="n">
        <f aca="false">INDEX(Bases!$N$5:$N$83,$T170)</f>
        <v>1</v>
      </c>
      <c r="Q170" s="15" t="n">
        <f aca="false">INDEX(Éléments!$C$5:$C$14,$U170)</f>
        <v>80</v>
      </c>
      <c r="R170" s="11" t="str">
        <f aca="false">"Niv. "&amp;$P170&amp;IF($Q170&gt;0," · étage "&amp;$Q170&amp;" terminé","")</f>
        <v>Niv. 1 · étage 80 terminé</v>
      </c>
      <c r="S170" s="14" t="n">
        <f aca="false">IF(ISNUMBER($I170),$K170*IF($H170="Zone",Paramètres!$B$8,1)/MAX(1,$I170),0)</f>
        <v>1</v>
      </c>
      <c r="T170" s="16" t="n">
        <v>24</v>
      </c>
      <c r="U170" s="16" t="n">
        <v>8</v>
      </c>
    </row>
    <row r="171" customFormat="false" ht="15" hidden="false" customHeight="true" outlineLevel="0" collapsed="false">
      <c r="A171" s="9" t="s">
        <v>240</v>
      </c>
      <c r="B171" s="10" t="str">
        <f aca="false">INDEX(Bases!$B$5:$B$83,$T171)</f>
        <v>Mage</v>
      </c>
      <c r="C171" s="10" t="str">
        <f aca="false">INDEX(Bases!$E$5:$E$83,$T171)</f>
        <v>Attaque (arme 1)</v>
      </c>
      <c r="D171" s="10" t="str">
        <f aca="false">INDEX(Bases!$F$5:$F$83,$T171)</f>
        <v>Attaque</v>
      </c>
      <c r="E171" s="11" t="str">
        <f aca="false">INDEX(Bases!$C$5:$C$83,$T171)</f>
        <v>Boule arcanique</v>
      </c>
      <c r="F171" s="10" t="str">
        <f aca="false">INDEX(Éléments!$A$5:$A$14,$U171)</f>
        <v>Lumière</v>
      </c>
      <c r="G171" s="12" t="str">
        <f aca="false">IF(OR($F171="Neutre",$C171="Passif"),$E171,INDEX(Bases!$D$5:$D$83,$T171)&amp;" "&amp;INDEX(Éléments!$D$5:$D$14,$U171))</f>
        <v>Boule de lumière</v>
      </c>
      <c r="H171" s="10" t="str">
        <f aca="false">INDEX(Bases!$G$5:$G$83,$T171)</f>
        <v>Mono</v>
      </c>
      <c r="I171" s="13" t="n">
        <f aca="false">INDEX(Bases!$H$5:$H$83,$T171)</f>
        <v>0</v>
      </c>
      <c r="J171" s="10" t="str">
        <f aca="false">INDEX(Bases!$I$5:$I$83,$T171)</f>
        <v>Non</v>
      </c>
      <c r="K171" s="14" t="n">
        <f aca="false">INDEX(Bases!$J$5:$J$83,$T171)</f>
        <v>1</v>
      </c>
      <c r="L171" s="10" t="str">
        <f aca="false">INDEX(Bases!$K$5:$K$83,$T171)</f>
        <v>Magie</v>
      </c>
      <c r="M171" s="11" t="str">
        <f aca="false">INDEX(Bases!$L$5:$L$83,$T171)</f>
        <v>Projectile magique fiable.</v>
      </c>
      <c r="N171" s="11" t="str">
        <f aca="false">IF($C171="Passif","—",IF($C171="Attaque (arme 1)",INDEX(Éléments!$F$5:$F$14,$U171),INDEX(Éléments!$G$5:$G$14,$U171)))</f>
        <v>Soigne le lanceur de 5 % des dégâts infligés ; 25 % : Éblouissement (−20 % chance de critique, 2 tours).</v>
      </c>
      <c r="O171" s="10" t="str">
        <f aca="false">INDEX(Bases!$M$5:$M$83,$T171)</f>
        <v>Active</v>
      </c>
      <c r="P171" s="13" t="n">
        <f aca="false">INDEX(Bases!$N$5:$N$83,$T171)</f>
        <v>1</v>
      </c>
      <c r="Q171" s="15" t="n">
        <f aca="false">INDEX(Éléments!$C$5:$C$14,$U171)</f>
        <v>90</v>
      </c>
      <c r="R171" s="11" t="str">
        <f aca="false">"Niv. "&amp;$P171&amp;IF($Q171&gt;0," · étage "&amp;$Q171&amp;" terminé","")</f>
        <v>Niv. 1 · étage 90 terminé</v>
      </c>
      <c r="S171" s="14" t="n">
        <f aca="false">IF(ISNUMBER($I171),$K171*IF($H171="Zone",Paramètres!$B$8,1)/MAX(1,$I171),0)</f>
        <v>1</v>
      </c>
      <c r="T171" s="16" t="n">
        <v>24</v>
      </c>
      <c r="U171" s="16" t="n">
        <v>9</v>
      </c>
    </row>
    <row r="172" customFormat="false" ht="15" hidden="false" customHeight="true" outlineLevel="0" collapsed="false">
      <c r="A172" s="9" t="s">
        <v>241</v>
      </c>
      <c r="B172" s="10" t="str">
        <f aca="false">INDEX(Bases!$B$5:$B$83,$T172)</f>
        <v>Mage</v>
      </c>
      <c r="C172" s="10" t="str">
        <f aca="false">INDEX(Bases!$E$5:$E$83,$T172)</f>
        <v>Attaque (arme 1)</v>
      </c>
      <c r="D172" s="10" t="str">
        <f aca="false">INDEX(Bases!$F$5:$F$83,$T172)</f>
        <v>Attaque</v>
      </c>
      <c r="E172" s="11" t="str">
        <f aca="false">INDEX(Bases!$C$5:$C$83,$T172)</f>
        <v>Boule arcanique</v>
      </c>
      <c r="F172" s="10" t="str">
        <f aca="false">INDEX(Éléments!$A$5:$A$14,$U172)</f>
        <v>Ombre</v>
      </c>
      <c r="G172" s="12" t="str">
        <f aca="false">IF(OR($F172="Neutre",$C172="Passif"),$E172,INDEX(Bases!$D$5:$D$83,$T172)&amp;" "&amp;INDEX(Éléments!$D$5:$D$14,$U172))</f>
        <v>Boule d'ombre</v>
      </c>
      <c r="H172" s="10" t="str">
        <f aca="false">INDEX(Bases!$G$5:$G$83,$T172)</f>
        <v>Mono</v>
      </c>
      <c r="I172" s="13" t="n">
        <f aca="false">INDEX(Bases!$H$5:$H$83,$T172)</f>
        <v>0</v>
      </c>
      <c r="J172" s="10" t="str">
        <f aca="false">INDEX(Bases!$I$5:$I$83,$T172)</f>
        <v>Non</v>
      </c>
      <c r="K172" s="14" t="n">
        <f aca="false">INDEX(Bases!$J$5:$J$83,$T172)</f>
        <v>1</v>
      </c>
      <c r="L172" s="10" t="str">
        <f aca="false">INDEX(Bases!$K$5:$K$83,$T172)</f>
        <v>Magie</v>
      </c>
      <c r="M172" s="11" t="str">
        <f aca="false">INDEX(Bases!$L$5:$L$83,$T172)</f>
        <v>Projectile magique fiable.</v>
      </c>
      <c r="N172" s="11" t="str">
        <f aca="false">IF($C172="Passif","—",IF($C172="Attaque (arme 1)",INDEX(Éléments!$F$5:$F$14,$U172),INDEX(Éléments!$G$5:$G$14,$U172)))</f>
        <v>Vol de vie 5 % ; 30 % : Corruption (+10 % de dégâts subis, 2 tours).</v>
      </c>
      <c r="O172" s="10" t="str">
        <f aca="false">INDEX(Bases!$M$5:$M$83,$T172)</f>
        <v>Active</v>
      </c>
      <c r="P172" s="13" t="n">
        <f aca="false">INDEX(Bases!$N$5:$N$83,$T172)</f>
        <v>1</v>
      </c>
      <c r="Q172" s="15" t="n">
        <f aca="false">INDEX(Éléments!$C$5:$C$14,$U172)</f>
        <v>100</v>
      </c>
      <c r="R172" s="11" t="str">
        <f aca="false">"Niv. "&amp;$P172&amp;IF($Q172&gt;0," · étage "&amp;$Q172&amp;" terminé","")</f>
        <v>Niv. 1 · étage 100 terminé</v>
      </c>
      <c r="S172" s="14" t="n">
        <f aca="false">IF(ISNUMBER($I172),$K172*IF($H172="Zone",Paramètres!$B$8,1)/MAX(1,$I172),0)</f>
        <v>1</v>
      </c>
      <c r="T172" s="16" t="n">
        <v>24</v>
      </c>
      <c r="U172" s="16" t="n">
        <v>10</v>
      </c>
    </row>
    <row r="173" customFormat="false" ht="15" hidden="false" customHeight="true" outlineLevel="0" collapsed="false">
      <c r="A173" s="9" t="s">
        <v>242</v>
      </c>
      <c r="B173" s="10" t="str">
        <f aca="false">INDEX(Bases!$B$5:$B$83,$T173)</f>
        <v>Mage</v>
      </c>
      <c r="C173" s="10" t="str">
        <f aca="false">INDEX(Bases!$E$5:$E$83,$T173)</f>
        <v>Attaque (arme 1)</v>
      </c>
      <c r="D173" s="10" t="str">
        <f aca="false">INDEX(Bases!$F$5:$F$83,$T173)</f>
        <v>Attaque</v>
      </c>
      <c r="E173" s="11" t="str">
        <f aca="false">INDEX(Bases!$C$5:$C$83,$T173)</f>
        <v>Lance arcanique</v>
      </c>
      <c r="F173" s="10" t="str">
        <f aca="false">INDEX(Éléments!$A$5:$A$14,$U173)</f>
        <v>Neutre</v>
      </c>
      <c r="G173" s="12" t="str">
        <f aca="false">IF(OR($F173="Neutre",$C173="Passif"),$E173,INDEX(Bases!$D$5:$D$83,$T173)&amp;" "&amp;INDEX(Éléments!$D$5:$D$14,$U173))</f>
        <v>Lance arcanique</v>
      </c>
      <c r="H173" s="10" t="str">
        <f aca="false">INDEX(Bases!$G$5:$G$83,$T173)</f>
        <v>Mono</v>
      </c>
      <c r="I173" s="13" t="n">
        <f aca="false">INDEX(Bases!$H$5:$H$83,$T173)</f>
        <v>0</v>
      </c>
      <c r="J173" s="10" t="str">
        <f aca="false">INDEX(Bases!$I$5:$I$83,$T173)</f>
        <v>Non</v>
      </c>
      <c r="K173" s="14" t="n">
        <f aca="false">INDEX(Bases!$J$5:$J$83,$T173)</f>
        <v>0.9</v>
      </c>
      <c r="L173" s="10" t="str">
        <f aca="false">INDEX(Bases!$K$5:$K$83,$T173)</f>
        <v>Magie</v>
      </c>
      <c r="M173" s="11" t="str">
        <f aca="false">INDEX(Bases!$L$5:$L$83,$T173)</f>
        <v>Ignore 15 % de la Résistance.</v>
      </c>
      <c r="N173" s="11" t="str">
        <f aca="false">IF($C173="Passif","—",IF($C173="Attaque (arme 1)",INDEX(Éléments!$F$5:$F$14,$U173),INDEX(Éléments!$G$5:$G$14,$U173)))</f>
        <v>Aucune altération ; ignore 10 % de la Résistance de la cible. Fiable contre tous les biomes.</v>
      </c>
      <c r="O173" s="10" t="str">
        <f aca="false">INDEX(Bases!$M$5:$M$83,$T173)</f>
        <v>Active</v>
      </c>
      <c r="P173" s="13" t="n">
        <f aca="false">INDEX(Bases!$N$5:$N$83,$T173)</f>
        <v>1</v>
      </c>
      <c r="Q173" s="15" t="n">
        <f aca="false">INDEX(Éléments!$C$5:$C$14,$U173)</f>
        <v>0</v>
      </c>
      <c r="R173" s="11" t="str">
        <f aca="false">"Niv. "&amp;$P173&amp;IF($Q173&gt;0," · étage "&amp;$Q173&amp;" terminé","")</f>
        <v>Niv. 1</v>
      </c>
      <c r="S173" s="14" t="n">
        <f aca="false">IF(ISNUMBER($I173),$K173*IF($H173="Zone",Paramètres!$B$8,1)/MAX(1,$I173),0)</f>
        <v>0.9</v>
      </c>
      <c r="T173" s="16" t="n">
        <v>25</v>
      </c>
      <c r="U173" s="16" t="n">
        <v>1</v>
      </c>
    </row>
    <row r="174" customFormat="false" ht="15" hidden="false" customHeight="true" outlineLevel="0" collapsed="false">
      <c r="A174" s="9" t="s">
        <v>243</v>
      </c>
      <c r="B174" s="10" t="str">
        <f aca="false">INDEX(Bases!$B$5:$B$83,$T174)</f>
        <v>Mage</v>
      </c>
      <c r="C174" s="10" t="str">
        <f aca="false">INDEX(Bases!$E$5:$E$83,$T174)</f>
        <v>Attaque (arme 1)</v>
      </c>
      <c r="D174" s="10" t="str">
        <f aca="false">INDEX(Bases!$F$5:$F$83,$T174)</f>
        <v>Attaque</v>
      </c>
      <c r="E174" s="11" t="str">
        <f aca="false">INDEX(Bases!$C$5:$C$83,$T174)</f>
        <v>Lance arcanique</v>
      </c>
      <c r="F174" s="10" t="str">
        <f aca="false">INDEX(Éléments!$A$5:$A$14,$U174)</f>
        <v>Terre</v>
      </c>
      <c r="G174" s="12" t="str">
        <f aca="false">IF(OR($F174="Neutre",$C174="Passif"),$E174,INDEX(Bases!$D$5:$D$83,$T174)&amp;" "&amp;INDEX(Éléments!$D$5:$D$14,$U174))</f>
        <v>Lance de pierre</v>
      </c>
      <c r="H174" s="10" t="str">
        <f aca="false">INDEX(Bases!$G$5:$G$83,$T174)</f>
        <v>Mono</v>
      </c>
      <c r="I174" s="13" t="n">
        <f aca="false">INDEX(Bases!$H$5:$H$83,$T174)</f>
        <v>0</v>
      </c>
      <c r="J174" s="10" t="str">
        <f aca="false">INDEX(Bases!$I$5:$I$83,$T174)</f>
        <v>Non</v>
      </c>
      <c r="K174" s="14" t="n">
        <f aca="false">INDEX(Bases!$J$5:$J$83,$T174)</f>
        <v>0.9</v>
      </c>
      <c r="L174" s="10" t="str">
        <f aca="false">INDEX(Bases!$K$5:$K$83,$T174)</f>
        <v>Magie</v>
      </c>
      <c r="M174" s="11" t="str">
        <f aca="false">INDEX(Bases!$L$5:$L$83,$T174)</f>
        <v>Ignore 15 % de la Résistance.</v>
      </c>
      <c r="N174" s="11" t="str">
        <f aca="false">IF($C174="Passif","—",IF($C174="Attaque (arme 1)",INDEX(Éléments!$F$5:$F$14,$U174),INDEX(Éléments!$G$5:$G$14,$U174)))</f>
        <v>30 % : Garde brisée (−15 % Résistance, 2 tours).</v>
      </c>
      <c r="O174" s="10" t="str">
        <f aca="false">INDEX(Bases!$M$5:$M$83,$T174)</f>
        <v>Active</v>
      </c>
      <c r="P174" s="13" t="n">
        <f aca="false">INDEX(Bases!$N$5:$N$83,$T174)</f>
        <v>1</v>
      </c>
      <c r="Q174" s="15" t="n">
        <f aca="false">INDEX(Éléments!$C$5:$C$14,$U174)</f>
        <v>20</v>
      </c>
      <c r="R174" s="11" t="str">
        <f aca="false">"Niv. "&amp;$P174&amp;IF($Q174&gt;0," · étage "&amp;$Q174&amp;" terminé","")</f>
        <v>Niv. 1 · étage 20 terminé</v>
      </c>
      <c r="S174" s="14" t="n">
        <f aca="false">IF(ISNUMBER($I174),$K174*IF($H174="Zone",Paramètres!$B$8,1)/MAX(1,$I174),0)</f>
        <v>0.9</v>
      </c>
      <c r="T174" s="16" t="n">
        <v>25</v>
      </c>
      <c r="U174" s="16" t="n">
        <v>2</v>
      </c>
    </row>
    <row r="175" customFormat="false" ht="15" hidden="false" customHeight="true" outlineLevel="0" collapsed="false">
      <c r="A175" s="9" t="s">
        <v>244</v>
      </c>
      <c r="B175" s="10" t="str">
        <f aca="false">INDEX(Bases!$B$5:$B$83,$T175)</f>
        <v>Mage</v>
      </c>
      <c r="C175" s="10" t="str">
        <f aca="false">INDEX(Bases!$E$5:$E$83,$T175)</f>
        <v>Attaque (arme 1)</v>
      </c>
      <c r="D175" s="10" t="str">
        <f aca="false">INDEX(Bases!$F$5:$F$83,$T175)</f>
        <v>Attaque</v>
      </c>
      <c r="E175" s="11" t="str">
        <f aca="false">INDEX(Bases!$C$5:$C$83,$T175)</f>
        <v>Lance arcanique</v>
      </c>
      <c r="F175" s="10" t="str">
        <f aca="false">INDEX(Éléments!$A$5:$A$14,$U175)</f>
        <v>Feu</v>
      </c>
      <c r="G175" s="12" t="str">
        <f aca="false">IF(OR($F175="Neutre",$C175="Passif"),$E175,INDEX(Bases!$D$5:$D$83,$T175)&amp;" "&amp;INDEX(Éléments!$D$5:$D$14,$U175))</f>
        <v>Lance de feu</v>
      </c>
      <c r="H175" s="10" t="str">
        <f aca="false">INDEX(Bases!$G$5:$G$83,$T175)</f>
        <v>Mono</v>
      </c>
      <c r="I175" s="13" t="n">
        <f aca="false">INDEX(Bases!$H$5:$H$83,$T175)</f>
        <v>0</v>
      </c>
      <c r="J175" s="10" t="str">
        <f aca="false">INDEX(Bases!$I$5:$I$83,$T175)</f>
        <v>Non</v>
      </c>
      <c r="K175" s="14" t="n">
        <f aca="false">INDEX(Bases!$J$5:$J$83,$T175)</f>
        <v>0.9</v>
      </c>
      <c r="L175" s="10" t="str">
        <f aca="false">INDEX(Bases!$K$5:$K$83,$T175)</f>
        <v>Magie</v>
      </c>
      <c r="M175" s="11" t="str">
        <f aca="false">INDEX(Bases!$L$5:$L$83,$T175)</f>
        <v>Ignore 15 % de la Résistance.</v>
      </c>
      <c r="N175" s="11" t="str">
        <f aca="false">IF($C175="Passif","—",IF($C175="Attaque (arme 1)",INDEX(Éléments!$F$5:$F$14,$U175),INDEX(Éléments!$G$5:$G$14,$U175)))</f>
        <v>35 % : Brûlure (8 % de la stat d'attaque par tour, 3 tours, non cumulable).</v>
      </c>
      <c r="O175" s="10" t="str">
        <f aca="false">INDEX(Bases!$M$5:$M$83,$T175)</f>
        <v>Active</v>
      </c>
      <c r="P175" s="13" t="n">
        <f aca="false">INDEX(Bases!$N$5:$N$83,$T175)</f>
        <v>1</v>
      </c>
      <c r="Q175" s="15" t="n">
        <f aca="false">INDEX(Éléments!$C$5:$C$14,$U175)</f>
        <v>30</v>
      </c>
      <c r="R175" s="11" t="str">
        <f aca="false">"Niv. "&amp;$P175&amp;IF($Q175&gt;0," · étage "&amp;$Q175&amp;" terminé","")</f>
        <v>Niv. 1 · étage 30 terminé</v>
      </c>
      <c r="S175" s="14" t="n">
        <f aca="false">IF(ISNUMBER($I175),$K175*IF($H175="Zone",Paramètres!$B$8,1)/MAX(1,$I175),0)</f>
        <v>0.9</v>
      </c>
      <c r="T175" s="16" t="n">
        <v>25</v>
      </c>
      <c r="U175" s="16" t="n">
        <v>3</v>
      </c>
    </row>
    <row r="176" customFormat="false" ht="15" hidden="false" customHeight="true" outlineLevel="0" collapsed="false">
      <c r="A176" s="9" t="s">
        <v>245</v>
      </c>
      <c r="B176" s="10" t="str">
        <f aca="false">INDEX(Bases!$B$5:$B$83,$T176)</f>
        <v>Mage</v>
      </c>
      <c r="C176" s="10" t="str">
        <f aca="false">INDEX(Bases!$E$5:$E$83,$T176)</f>
        <v>Attaque (arme 1)</v>
      </c>
      <c r="D176" s="10" t="str">
        <f aca="false">INDEX(Bases!$F$5:$F$83,$T176)</f>
        <v>Attaque</v>
      </c>
      <c r="E176" s="11" t="str">
        <f aca="false">INDEX(Bases!$C$5:$C$83,$T176)</f>
        <v>Lance arcanique</v>
      </c>
      <c r="F176" s="10" t="str">
        <f aca="false">INDEX(Éléments!$A$5:$A$14,$U176)</f>
        <v>Vent</v>
      </c>
      <c r="G176" s="12" t="str">
        <f aca="false">IF(OR($F176="Neutre",$C176="Passif"),$E176,INDEX(Bases!$D$5:$D$83,$T176)&amp;" "&amp;INDEX(Éléments!$D$5:$D$14,$U176))</f>
        <v>Lance de vent</v>
      </c>
      <c r="H176" s="10" t="str">
        <f aca="false">INDEX(Bases!$G$5:$G$83,$T176)</f>
        <v>Mono</v>
      </c>
      <c r="I176" s="13" t="n">
        <f aca="false">INDEX(Bases!$H$5:$H$83,$T176)</f>
        <v>0</v>
      </c>
      <c r="J176" s="10" t="str">
        <f aca="false">INDEX(Bases!$I$5:$I$83,$T176)</f>
        <v>Non</v>
      </c>
      <c r="K176" s="14" t="n">
        <f aca="false">INDEX(Bases!$J$5:$J$83,$T176)</f>
        <v>0.9</v>
      </c>
      <c r="L176" s="10" t="str">
        <f aca="false">INDEX(Bases!$K$5:$K$83,$T176)</f>
        <v>Magie</v>
      </c>
      <c r="M176" s="11" t="str">
        <f aca="false">INDEX(Bases!$L$5:$L$83,$T176)</f>
        <v>Ignore 15 % de la Résistance.</v>
      </c>
      <c r="N176" s="11" t="str">
        <f aca="false">IF($C176="Passif","—",IF($C176="Attaque (arme 1)",INDEX(Éléments!$F$5:$F$14,$U176),INDEX(Éléments!$G$5:$G$14,$U176)))</f>
        <v>+10 % de chance de critique ; 30 % : Désorienté (−15 % Précision, 2 tours).</v>
      </c>
      <c r="O176" s="10" t="str">
        <f aca="false">INDEX(Bases!$M$5:$M$83,$T176)</f>
        <v>Active</v>
      </c>
      <c r="P176" s="13" t="n">
        <f aca="false">INDEX(Bases!$N$5:$N$83,$T176)</f>
        <v>1</v>
      </c>
      <c r="Q176" s="15" t="n">
        <f aca="false">INDEX(Éléments!$C$5:$C$14,$U176)</f>
        <v>40</v>
      </c>
      <c r="R176" s="11" t="str">
        <f aca="false">"Niv. "&amp;$P176&amp;IF($Q176&gt;0," · étage "&amp;$Q176&amp;" terminé","")</f>
        <v>Niv. 1 · étage 40 terminé</v>
      </c>
      <c r="S176" s="14" t="n">
        <f aca="false">IF(ISNUMBER($I176),$K176*IF($H176="Zone",Paramètres!$B$8,1)/MAX(1,$I176),0)</f>
        <v>0.9</v>
      </c>
      <c r="T176" s="16" t="n">
        <v>25</v>
      </c>
      <c r="U176" s="16" t="n">
        <v>4</v>
      </c>
    </row>
    <row r="177" customFormat="false" ht="15" hidden="false" customHeight="true" outlineLevel="0" collapsed="false">
      <c r="A177" s="9" t="s">
        <v>246</v>
      </c>
      <c r="B177" s="10" t="str">
        <f aca="false">INDEX(Bases!$B$5:$B$83,$T177)</f>
        <v>Mage</v>
      </c>
      <c r="C177" s="10" t="str">
        <f aca="false">INDEX(Bases!$E$5:$E$83,$T177)</f>
        <v>Attaque (arme 1)</v>
      </c>
      <c r="D177" s="10" t="str">
        <f aca="false">INDEX(Bases!$F$5:$F$83,$T177)</f>
        <v>Attaque</v>
      </c>
      <c r="E177" s="11" t="str">
        <f aca="false">INDEX(Bases!$C$5:$C$83,$T177)</f>
        <v>Lance arcanique</v>
      </c>
      <c r="F177" s="10" t="str">
        <f aca="false">INDEX(Éléments!$A$5:$A$14,$U177)</f>
        <v>Acide</v>
      </c>
      <c r="G177" s="12" t="str">
        <f aca="false">IF(OR($F177="Neutre",$C177="Passif"),$E177,INDEX(Bases!$D$5:$D$83,$T177)&amp;" "&amp;INDEX(Éléments!$D$5:$D$14,$U177))</f>
        <v>Lance d'acide</v>
      </c>
      <c r="H177" s="10" t="str">
        <f aca="false">INDEX(Bases!$G$5:$G$83,$T177)</f>
        <v>Mono</v>
      </c>
      <c r="I177" s="13" t="n">
        <f aca="false">INDEX(Bases!$H$5:$H$83,$T177)</f>
        <v>0</v>
      </c>
      <c r="J177" s="10" t="str">
        <f aca="false">INDEX(Bases!$I$5:$I$83,$T177)</f>
        <v>Non</v>
      </c>
      <c r="K177" s="14" t="n">
        <f aca="false">INDEX(Bases!$J$5:$J$83,$T177)</f>
        <v>0.9</v>
      </c>
      <c r="L177" s="10" t="str">
        <f aca="false">INDEX(Bases!$K$5:$K$83,$T177)</f>
        <v>Magie</v>
      </c>
      <c r="M177" s="11" t="str">
        <f aca="false">INDEX(Bases!$L$5:$L$83,$T177)</f>
        <v>Ignore 15 % de la Résistance.</v>
      </c>
      <c r="N177" s="11" t="str">
        <f aca="false">IF($C177="Passif","—",IF($C177="Attaque (arme 1)",INDEX(Éléments!$F$5:$F$14,$U177),INDEX(Éléments!$G$5:$G$14,$U177)))</f>
        <v>50 % : 1 pile de Corrosion (−5 % Armure par pile, 4 piles max, 3 tours).</v>
      </c>
      <c r="O177" s="10" t="str">
        <f aca="false">INDEX(Bases!$M$5:$M$83,$T177)</f>
        <v>Active</v>
      </c>
      <c r="P177" s="13" t="n">
        <f aca="false">INDEX(Bases!$N$5:$N$83,$T177)</f>
        <v>1</v>
      </c>
      <c r="Q177" s="15" t="n">
        <f aca="false">INDEX(Éléments!$C$5:$C$14,$U177)</f>
        <v>50</v>
      </c>
      <c r="R177" s="11" t="str">
        <f aca="false">"Niv. "&amp;$P177&amp;IF($Q177&gt;0," · étage "&amp;$Q177&amp;" terminé","")</f>
        <v>Niv. 1 · étage 50 terminé</v>
      </c>
      <c r="S177" s="14" t="n">
        <f aca="false">IF(ISNUMBER($I177),$K177*IF($H177="Zone",Paramètres!$B$8,1)/MAX(1,$I177),0)</f>
        <v>0.9</v>
      </c>
      <c r="T177" s="16" t="n">
        <v>25</v>
      </c>
      <c r="U177" s="16" t="n">
        <v>5</v>
      </c>
    </row>
    <row r="178" customFormat="false" ht="15" hidden="false" customHeight="true" outlineLevel="0" collapsed="false">
      <c r="A178" s="9" t="s">
        <v>247</v>
      </c>
      <c r="B178" s="10" t="str">
        <f aca="false">INDEX(Bases!$B$5:$B$83,$T178)</f>
        <v>Mage</v>
      </c>
      <c r="C178" s="10" t="str">
        <f aca="false">INDEX(Bases!$E$5:$E$83,$T178)</f>
        <v>Attaque (arme 1)</v>
      </c>
      <c r="D178" s="10" t="str">
        <f aca="false">INDEX(Bases!$F$5:$F$83,$T178)</f>
        <v>Attaque</v>
      </c>
      <c r="E178" s="11" t="str">
        <f aca="false">INDEX(Bases!$C$5:$C$83,$T178)</f>
        <v>Lance arcanique</v>
      </c>
      <c r="F178" s="10" t="str">
        <f aca="false">INDEX(Éléments!$A$5:$A$14,$U178)</f>
        <v>Eau</v>
      </c>
      <c r="G178" s="12" t="str">
        <f aca="false">IF(OR($F178="Neutre",$C178="Passif"),$E178,INDEX(Bases!$D$5:$D$83,$T178)&amp;" "&amp;INDEX(Éléments!$D$5:$D$14,$U178))</f>
        <v>Lance d'eau</v>
      </c>
      <c r="H178" s="10" t="str">
        <f aca="false">INDEX(Bases!$G$5:$G$83,$T178)</f>
        <v>Mono</v>
      </c>
      <c r="I178" s="13" t="n">
        <f aca="false">INDEX(Bases!$H$5:$H$83,$T178)</f>
        <v>0</v>
      </c>
      <c r="J178" s="10" t="str">
        <f aca="false">INDEX(Bases!$I$5:$I$83,$T178)</f>
        <v>Non</v>
      </c>
      <c r="K178" s="14" t="n">
        <f aca="false">INDEX(Bases!$J$5:$J$83,$T178)</f>
        <v>0.9</v>
      </c>
      <c r="L178" s="10" t="str">
        <f aca="false">INDEX(Bases!$K$5:$K$83,$T178)</f>
        <v>Magie</v>
      </c>
      <c r="M178" s="11" t="str">
        <f aca="false">INDEX(Bases!$L$5:$L$83,$T178)</f>
        <v>Ignore 15 % de la Résistance.</v>
      </c>
      <c r="N178" s="11" t="str">
        <f aca="false">IF($C178="Passif","—",IF($C178="Attaque (arme 1)",INDEX(Éléments!$F$5:$F$14,$U178),INDEX(Éléments!$G$5:$G$14,$U178)))</f>
        <v>50 % : Mouillé (+25 % de dégâts d'Électricité subis, retire Brûlure, 3 tours).</v>
      </c>
      <c r="O178" s="10" t="str">
        <f aca="false">INDEX(Bases!$M$5:$M$83,$T178)</f>
        <v>Active</v>
      </c>
      <c r="P178" s="13" t="n">
        <f aca="false">INDEX(Bases!$N$5:$N$83,$T178)</f>
        <v>1</v>
      </c>
      <c r="Q178" s="15" t="n">
        <f aca="false">INDEX(Éléments!$C$5:$C$14,$U178)</f>
        <v>60</v>
      </c>
      <c r="R178" s="11" t="str">
        <f aca="false">"Niv. "&amp;$P178&amp;IF($Q178&gt;0," · étage "&amp;$Q178&amp;" terminé","")</f>
        <v>Niv. 1 · étage 60 terminé</v>
      </c>
      <c r="S178" s="14" t="n">
        <f aca="false">IF(ISNUMBER($I178),$K178*IF($H178="Zone",Paramètres!$B$8,1)/MAX(1,$I178),0)</f>
        <v>0.9</v>
      </c>
      <c r="T178" s="16" t="n">
        <v>25</v>
      </c>
      <c r="U178" s="16" t="n">
        <v>6</v>
      </c>
    </row>
    <row r="179" customFormat="false" ht="15" hidden="false" customHeight="true" outlineLevel="0" collapsed="false">
      <c r="A179" s="9" t="s">
        <v>248</v>
      </c>
      <c r="B179" s="10" t="str">
        <f aca="false">INDEX(Bases!$B$5:$B$83,$T179)</f>
        <v>Mage</v>
      </c>
      <c r="C179" s="10" t="str">
        <f aca="false">INDEX(Bases!$E$5:$E$83,$T179)</f>
        <v>Attaque (arme 1)</v>
      </c>
      <c r="D179" s="10" t="str">
        <f aca="false">INDEX(Bases!$F$5:$F$83,$T179)</f>
        <v>Attaque</v>
      </c>
      <c r="E179" s="11" t="str">
        <f aca="false">INDEX(Bases!$C$5:$C$83,$T179)</f>
        <v>Lance arcanique</v>
      </c>
      <c r="F179" s="10" t="str">
        <f aca="false">INDEX(Éléments!$A$5:$A$14,$U179)</f>
        <v>Glace</v>
      </c>
      <c r="G179" s="12" t="str">
        <f aca="false">IF(OR($F179="Neutre",$C179="Passif"),$E179,INDEX(Bases!$D$5:$D$83,$T179)&amp;" "&amp;INDEX(Éléments!$D$5:$D$14,$U179))</f>
        <v>Lance de glace</v>
      </c>
      <c r="H179" s="10" t="str">
        <f aca="false">INDEX(Bases!$G$5:$G$83,$T179)</f>
        <v>Mono</v>
      </c>
      <c r="I179" s="13" t="n">
        <f aca="false">INDEX(Bases!$H$5:$H$83,$T179)</f>
        <v>0</v>
      </c>
      <c r="J179" s="10" t="str">
        <f aca="false">INDEX(Bases!$I$5:$I$83,$T179)</f>
        <v>Non</v>
      </c>
      <c r="K179" s="14" t="n">
        <f aca="false">INDEX(Bases!$J$5:$J$83,$T179)</f>
        <v>0.9</v>
      </c>
      <c r="L179" s="10" t="str">
        <f aca="false">INDEX(Bases!$K$5:$K$83,$T179)</f>
        <v>Magie</v>
      </c>
      <c r="M179" s="11" t="str">
        <f aca="false">INDEX(Bases!$L$5:$L$83,$T179)</f>
        <v>Ignore 15 % de la Résistance.</v>
      </c>
      <c r="N179" s="11" t="str">
        <f aca="false">IF($C179="Passif","—",IF($C179="Attaque (arme 1)",INDEX(Éléments!$F$5:$F$14,$U179),INDEX(Éléments!$G$5:$G$14,$U179)))</f>
        <v>40 % : 1 pile de Froid (−8 % Agilité ; à 3 piles : Gel, la cible perd 1 tour).</v>
      </c>
      <c r="O179" s="10" t="str">
        <f aca="false">INDEX(Bases!$M$5:$M$83,$T179)</f>
        <v>Active</v>
      </c>
      <c r="P179" s="13" t="n">
        <f aca="false">INDEX(Bases!$N$5:$N$83,$T179)</f>
        <v>1</v>
      </c>
      <c r="Q179" s="15" t="n">
        <f aca="false">INDEX(Éléments!$C$5:$C$14,$U179)</f>
        <v>70</v>
      </c>
      <c r="R179" s="11" t="str">
        <f aca="false">"Niv. "&amp;$P179&amp;IF($Q179&gt;0," · étage "&amp;$Q179&amp;" terminé","")</f>
        <v>Niv. 1 · étage 70 terminé</v>
      </c>
      <c r="S179" s="14" t="n">
        <f aca="false">IF(ISNUMBER($I179),$K179*IF($H179="Zone",Paramètres!$B$8,1)/MAX(1,$I179),0)</f>
        <v>0.9</v>
      </c>
      <c r="T179" s="16" t="n">
        <v>25</v>
      </c>
      <c r="U179" s="16" t="n">
        <v>7</v>
      </c>
    </row>
    <row r="180" customFormat="false" ht="15" hidden="false" customHeight="true" outlineLevel="0" collapsed="false">
      <c r="A180" s="9" t="s">
        <v>249</v>
      </c>
      <c r="B180" s="10" t="str">
        <f aca="false">INDEX(Bases!$B$5:$B$83,$T180)</f>
        <v>Mage</v>
      </c>
      <c r="C180" s="10" t="str">
        <f aca="false">INDEX(Bases!$E$5:$E$83,$T180)</f>
        <v>Attaque (arme 1)</v>
      </c>
      <c r="D180" s="10" t="str">
        <f aca="false">INDEX(Bases!$F$5:$F$83,$T180)</f>
        <v>Attaque</v>
      </c>
      <c r="E180" s="11" t="str">
        <f aca="false">INDEX(Bases!$C$5:$C$83,$T180)</f>
        <v>Lance arcanique</v>
      </c>
      <c r="F180" s="10" t="str">
        <f aca="false">INDEX(Éléments!$A$5:$A$14,$U180)</f>
        <v>Électricité</v>
      </c>
      <c r="G180" s="12" t="str">
        <f aca="false">IF(OR($F180="Neutre",$C180="Passif"),$E180,INDEX(Bases!$D$5:$D$83,$T180)&amp;" "&amp;INDEX(Éléments!$D$5:$D$14,$U180))</f>
        <v>Lance de foudre</v>
      </c>
      <c r="H180" s="10" t="str">
        <f aca="false">INDEX(Bases!$G$5:$G$83,$T180)</f>
        <v>Mono</v>
      </c>
      <c r="I180" s="13" t="n">
        <f aca="false">INDEX(Bases!$H$5:$H$83,$T180)</f>
        <v>0</v>
      </c>
      <c r="J180" s="10" t="str">
        <f aca="false">INDEX(Bases!$I$5:$I$83,$T180)</f>
        <v>Non</v>
      </c>
      <c r="K180" s="14" t="n">
        <f aca="false">INDEX(Bases!$J$5:$J$83,$T180)</f>
        <v>0.9</v>
      </c>
      <c r="L180" s="10" t="str">
        <f aca="false">INDEX(Bases!$K$5:$K$83,$T180)</f>
        <v>Magie</v>
      </c>
      <c r="M180" s="11" t="str">
        <f aca="false">INDEX(Bases!$L$5:$L$83,$T180)</f>
        <v>Ignore 15 % de la Résistance.</v>
      </c>
      <c r="N180" s="11" t="str">
        <f aca="false">IF($C180="Passif","—",IF($C180="Attaque (arme 1)",INDEX(Éléments!$F$5:$F$14,$U180),INDEX(Éléments!$G$5:$G$14,$U180)))</f>
        <v>Rebondit sur 1 autre ennemi (40 % des dégâts) ; 10 % : Étourdissement (1 tour).</v>
      </c>
      <c r="O180" s="10" t="str">
        <f aca="false">INDEX(Bases!$M$5:$M$83,$T180)</f>
        <v>Active</v>
      </c>
      <c r="P180" s="13" t="n">
        <f aca="false">INDEX(Bases!$N$5:$N$83,$T180)</f>
        <v>1</v>
      </c>
      <c r="Q180" s="15" t="n">
        <f aca="false">INDEX(Éléments!$C$5:$C$14,$U180)</f>
        <v>80</v>
      </c>
      <c r="R180" s="11" t="str">
        <f aca="false">"Niv. "&amp;$P180&amp;IF($Q180&gt;0," · étage "&amp;$Q180&amp;" terminé","")</f>
        <v>Niv. 1 · étage 80 terminé</v>
      </c>
      <c r="S180" s="14" t="n">
        <f aca="false">IF(ISNUMBER($I180),$K180*IF($H180="Zone",Paramètres!$B$8,1)/MAX(1,$I180),0)</f>
        <v>0.9</v>
      </c>
      <c r="T180" s="16" t="n">
        <v>25</v>
      </c>
      <c r="U180" s="16" t="n">
        <v>8</v>
      </c>
    </row>
    <row r="181" customFormat="false" ht="15" hidden="false" customHeight="true" outlineLevel="0" collapsed="false">
      <c r="A181" s="9" t="s">
        <v>250</v>
      </c>
      <c r="B181" s="10" t="str">
        <f aca="false">INDEX(Bases!$B$5:$B$83,$T181)</f>
        <v>Mage</v>
      </c>
      <c r="C181" s="10" t="str">
        <f aca="false">INDEX(Bases!$E$5:$E$83,$T181)</f>
        <v>Attaque (arme 1)</v>
      </c>
      <c r="D181" s="10" t="str">
        <f aca="false">INDEX(Bases!$F$5:$F$83,$T181)</f>
        <v>Attaque</v>
      </c>
      <c r="E181" s="11" t="str">
        <f aca="false">INDEX(Bases!$C$5:$C$83,$T181)</f>
        <v>Lance arcanique</v>
      </c>
      <c r="F181" s="10" t="str">
        <f aca="false">INDEX(Éléments!$A$5:$A$14,$U181)</f>
        <v>Lumière</v>
      </c>
      <c r="G181" s="12" t="str">
        <f aca="false">IF(OR($F181="Neutre",$C181="Passif"),$E181,INDEX(Bases!$D$5:$D$83,$T181)&amp;" "&amp;INDEX(Éléments!$D$5:$D$14,$U181))</f>
        <v>Lance de lumière</v>
      </c>
      <c r="H181" s="10" t="str">
        <f aca="false">INDEX(Bases!$G$5:$G$83,$T181)</f>
        <v>Mono</v>
      </c>
      <c r="I181" s="13" t="n">
        <f aca="false">INDEX(Bases!$H$5:$H$83,$T181)</f>
        <v>0</v>
      </c>
      <c r="J181" s="10" t="str">
        <f aca="false">INDEX(Bases!$I$5:$I$83,$T181)</f>
        <v>Non</v>
      </c>
      <c r="K181" s="14" t="n">
        <f aca="false">INDEX(Bases!$J$5:$J$83,$T181)</f>
        <v>0.9</v>
      </c>
      <c r="L181" s="10" t="str">
        <f aca="false">INDEX(Bases!$K$5:$K$83,$T181)</f>
        <v>Magie</v>
      </c>
      <c r="M181" s="11" t="str">
        <f aca="false">INDEX(Bases!$L$5:$L$83,$T181)</f>
        <v>Ignore 15 % de la Résistance.</v>
      </c>
      <c r="N181" s="11" t="str">
        <f aca="false">IF($C181="Passif","—",IF($C181="Attaque (arme 1)",INDEX(Éléments!$F$5:$F$14,$U181),INDEX(Éléments!$G$5:$G$14,$U181)))</f>
        <v>Soigne le lanceur de 5 % des dégâts infligés ; 25 % : Éblouissement (−20 % chance de critique, 2 tours).</v>
      </c>
      <c r="O181" s="10" t="str">
        <f aca="false">INDEX(Bases!$M$5:$M$83,$T181)</f>
        <v>Active</v>
      </c>
      <c r="P181" s="13" t="n">
        <f aca="false">INDEX(Bases!$N$5:$N$83,$T181)</f>
        <v>1</v>
      </c>
      <c r="Q181" s="15" t="n">
        <f aca="false">INDEX(Éléments!$C$5:$C$14,$U181)</f>
        <v>90</v>
      </c>
      <c r="R181" s="11" t="str">
        <f aca="false">"Niv. "&amp;$P181&amp;IF($Q181&gt;0," · étage "&amp;$Q181&amp;" terminé","")</f>
        <v>Niv. 1 · étage 90 terminé</v>
      </c>
      <c r="S181" s="14" t="n">
        <f aca="false">IF(ISNUMBER($I181),$K181*IF($H181="Zone",Paramètres!$B$8,1)/MAX(1,$I181),0)</f>
        <v>0.9</v>
      </c>
      <c r="T181" s="16" t="n">
        <v>25</v>
      </c>
      <c r="U181" s="16" t="n">
        <v>9</v>
      </c>
    </row>
    <row r="182" customFormat="false" ht="15" hidden="false" customHeight="true" outlineLevel="0" collapsed="false">
      <c r="A182" s="9" t="s">
        <v>251</v>
      </c>
      <c r="B182" s="10" t="str">
        <f aca="false">INDEX(Bases!$B$5:$B$83,$T182)</f>
        <v>Mage</v>
      </c>
      <c r="C182" s="10" t="str">
        <f aca="false">INDEX(Bases!$E$5:$E$83,$T182)</f>
        <v>Attaque (arme 1)</v>
      </c>
      <c r="D182" s="10" t="str">
        <f aca="false">INDEX(Bases!$F$5:$F$83,$T182)</f>
        <v>Attaque</v>
      </c>
      <c r="E182" s="11" t="str">
        <f aca="false">INDEX(Bases!$C$5:$C$83,$T182)</f>
        <v>Lance arcanique</v>
      </c>
      <c r="F182" s="10" t="str">
        <f aca="false">INDEX(Éléments!$A$5:$A$14,$U182)</f>
        <v>Ombre</v>
      </c>
      <c r="G182" s="12" t="str">
        <f aca="false">IF(OR($F182="Neutre",$C182="Passif"),$E182,INDEX(Bases!$D$5:$D$83,$T182)&amp;" "&amp;INDEX(Éléments!$D$5:$D$14,$U182))</f>
        <v>Lance d'ombre</v>
      </c>
      <c r="H182" s="10" t="str">
        <f aca="false">INDEX(Bases!$G$5:$G$83,$T182)</f>
        <v>Mono</v>
      </c>
      <c r="I182" s="13" t="n">
        <f aca="false">INDEX(Bases!$H$5:$H$83,$T182)</f>
        <v>0</v>
      </c>
      <c r="J182" s="10" t="str">
        <f aca="false">INDEX(Bases!$I$5:$I$83,$T182)</f>
        <v>Non</v>
      </c>
      <c r="K182" s="14" t="n">
        <f aca="false">INDEX(Bases!$J$5:$J$83,$T182)</f>
        <v>0.9</v>
      </c>
      <c r="L182" s="10" t="str">
        <f aca="false">INDEX(Bases!$K$5:$K$83,$T182)</f>
        <v>Magie</v>
      </c>
      <c r="M182" s="11" t="str">
        <f aca="false">INDEX(Bases!$L$5:$L$83,$T182)</f>
        <v>Ignore 15 % de la Résistance.</v>
      </c>
      <c r="N182" s="11" t="str">
        <f aca="false">IF($C182="Passif","—",IF($C182="Attaque (arme 1)",INDEX(Éléments!$F$5:$F$14,$U182),INDEX(Éléments!$G$5:$G$14,$U182)))</f>
        <v>Vol de vie 5 % ; 30 % : Corruption (+10 % de dégâts subis, 2 tours).</v>
      </c>
      <c r="O182" s="10" t="str">
        <f aca="false">INDEX(Bases!$M$5:$M$83,$T182)</f>
        <v>Active</v>
      </c>
      <c r="P182" s="13" t="n">
        <f aca="false">INDEX(Bases!$N$5:$N$83,$T182)</f>
        <v>1</v>
      </c>
      <c r="Q182" s="15" t="n">
        <f aca="false">INDEX(Éléments!$C$5:$C$14,$U182)</f>
        <v>100</v>
      </c>
      <c r="R182" s="11" t="str">
        <f aca="false">"Niv. "&amp;$P182&amp;IF($Q182&gt;0," · étage "&amp;$Q182&amp;" terminé","")</f>
        <v>Niv. 1 · étage 100 terminé</v>
      </c>
      <c r="S182" s="14" t="n">
        <f aca="false">IF(ISNUMBER($I182),$K182*IF($H182="Zone",Paramètres!$B$8,1)/MAX(1,$I182),0)</f>
        <v>0.9</v>
      </c>
      <c r="T182" s="16" t="n">
        <v>25</v>
      </c>
      <c r="U182" s="16" t="n">
        <v>10</v>
      </c>
    </row>
    <row r="183" customFormat="false" ht="15" hidden="false" customHeight="true" outlineLevel="0" collapsed="false">
      <c r="A183" s="9" t="s">
        <v>252</v>
      </c>
      <c r="B183" s="10" t="str">
        <f aca="false">INDEX(Bases!$B$5:$B$83,$T183)</f>
        <v>Mage</v>
      </c>
      <c r="C183" s="10" t="str">
        <f aca="false">INDEX(Bases!$E$5:$E$83,$T183)</f>
        <v>Attaque (arme 1)</v>
      </c>
      <c r="D183" s="10" t="str">
        <f aca="false">INDEX(Bases!$F$5:$F$83,$T183)</f>
        <v>Attaque</v>
      </c>
      <c r="E183" s="11" t="str">
        <f aca="false">INDEX(Bases!$C$5:$C$83,$T183)</f>
        <v>Tornade arcanique</v>
      </c>
      <c r="F183" s="10" t="str">
        <f aca="false">INDEX(Éléments!$A$5:$A$14,$U183)</f>
        <v>Neutre</v>
      </c>
      <c r="G183" s="12" t="str">
        <f aca="false">IF(OR($F183="Neutre",$C183="Passif"),$E183,INDEX(Bases!$D$5:$D$83,$T183)&amp;" "&amp;INDEX(Éléments!$D$5:$D$14,$U183))</f>
        <v>Tornade arcanique</v>
      </c>
      <c r="H183" s="10" t="str">
        <f aca="false">INDEX(Bases!$G$5:$G$83,$T183)</f>
        <v>Zone</v>
      </c>
      <c r="I183" s="13" t="n">
        <f aca="false">INDEX(Bases!$H$5:$H$83,$T183)</f>
        <v>2</v>
      </c>
      <c r="J183" s="10" t="str">
        <f aca="false">INDEX(Bases!$I$5:$I$83,$T183)</f>
        <v>Non</v>
      </c>
      <c r="K183" s="14" t="n">
        <f aca="false">INDEX(Bases!$J$5:$J$83,$T183)</f>
        <v>0.85</v>
      </c>
      <c r="L183" s="10" t="str">
        <f aca="false">INDEX(Bases!$K$5:$K$83,$T183)</f>
        <v>Magie</v>
      </c>
      <c r="M183" s="11" t="str">
        <f aca="false">INDEX(Bases!$L$5:$L$83,$T183)</f>
        <v>Frappe tous les ennemis de la vague.</v>
      </c>
      <c r="N183" s="11" t="str">
        <f aca="false">IF($C183="Passif","—",IF($C183="Attaque (arme 1)",INDEX(Éléments!$F$5:$F$14,$U183),INDEX(Éléments!$G$5:$G$14,$U183)))</f>
        <v>Aucune altération ; ignore 10 % de la Résistance de la cible. Fiable contre tous les biomes.</v>
      </c>
      <c r="O183" s="10" t="str">
        <f aca="false">INDEX(Bases!$M$5:$M$83,$T183)</f>
        <v>Active</v>
      </c>
      <c r="P183" s="13" t="n">
        <f aca="false">INDEX(Bases!$N$5:$N$83,$T183)</f>
        <v>8</v>
      </c>
      <c r="Q183" s="15" t="n">
        <f aca="false">INDEX(Éléments!$C$5:$C$14,$U183)</f>
        <v>0</v>
      </c>
      <c r="R183" s="11" t="str">
        <f aca="false">"Niv. "&amp;$P183&amp;IF($Q183&gt;0," · étage "&amp;$Q183&amp;" terminé","")</f>
        <v>Niv. 8</v>
      </c>
      <c r="S183" s="14" t="n">
        <f aca="false">IF(ISNUMBER($I183),$K183*IF($H183="Zone",Paramètres!$B$8,1)/MAX(1,$I183),0)</f>
        <v>1.275</v>
      </c>
      <c r="T183" s="16" t="n">
        <v>26</v>
      </c>
      <c r="U183" s="16" t="n">
        <v>1</v>
      </c>
    </row>
    <row r="184" customFormat="false" ht="15" hidden="false" customHeight="true" outlineLevel="0" collapsed="false">
      <c r="A184" s="9" t="s">
        <v>253</v>
      </c>
      <c r="B184" s="10" t="str">
        <f aca="false">INDEX(Bases!$B$5:$B$83,$T184)</f>
        <v>Mage</v>
      </c>
      <c r="C184" s="10" t="str">
        <f aca="false">INDEX(Bases!$E$5:$E$83,$T184)</f>
        <v>Attaque (arme 1)</v>
      </c>
      <c r="D184" s="10" t="str">
        <f aca="false">INDEX(Bases!$F$5:$F$83,$T184)</f>
        <v>Attaque</v>
      </c>
      <c r="E184" s="11" t="str">
        <f aca="false">INDEX(Bases!$C$5:$C$83,$T184)</f>
        <v>Tornade arcanique</v>
      </c>
      <c r="F184" s="10" t="str">
        <f aca="false">INDEX(Éléments!$A$5:$A$14,$U184)</f>
        <v>Terre</v>
      </c>
      <c r="G184" s="12" t="str">
        <f aca="false">IF(OR($F184="Neutre",$C184="Passif"),$E184,INDEX(Bases!$D$5:$D$83,$T184)&amp;" "&amp;INDEX(Éléments!$D$5:$D$14,$U184))</f>
        <v>Tornade de pierre</v>
      </c>
      <c r="H184" s="10" t="str">
        <f aca="false">INDEX(Bases!$G$5:$G$83,$T184)</f>
        <v>Zone</v>
      </c>
      <c r="I184" s="13" t="n">
        <f aca="false">INDEX(Bases!$H$5:$H$83,$T184)</f>
        <v>2</v>
      </c>
      <c r="J184" s="10" t="str">
        <f aca="false">INDEX(Bases!$I$5:$I$83,$T184)</f>
        <v>Non</v>
      </c>
      <c r="K184" s="14" t="n">
        <f aca="false">INDEX(Bases!$J$5:$J$83,$T184)</f>
        <v>0.85</v>
      </c>
      <c r="L184" s="10" t="str">
        <f aca="false">INDEX(Bases!$K$5:$K$83,$T184)</f>
        <v>Magie</v>
      </c>
      <c r="M184" s="11" t="str">
        <f aca="false">INDEX(Bases!$L$5:$L$83,$T184)</f>
        <v>Frappe tous les ennemis de la vague.</v>
      </c>
      <c r="N184" s="11" t="str">
        <f aca="false">IF($C184="Passif","—",IF($C184="Attaque (arme 1)",INDEX(Éléments!$F$5:$F$14,$U184),INDEX(Éléments!$G$5:$G$14,$U184)))</f>
        <v>30 % : Garde brisée (−15 % Résistance, 2 tours).</v>
      </c>
      <c r="O184" s="10" t="str">
        <f aca="false">INDEX(Bases!$M$5:$M$83,$T184)</f>
        <v>Active</v>
      </c>
      <c r="P184" s="13" t="n">
        <f aca="false">INDEX(Bases!$N$5:$N$83,$T184)</f>
        <v>8</v>
      </c>
      <c r="Q184" s="15" t="n">
        <f aca="false">INDEX(Éléments!$C$5:$C$14,$U184)</f>
        <v>20</v>
      </c>
      <c r="R184" s="11" t="str">
        <f aca="false">"Niv. "&amp;$P184&amp;IF($Q184&gt;0," · étage "&amp;$Q184&amp;" terminé","")</f>
        <v>Niv. 8 · étage 20 terminé</v>
      </c>
      <c r="S184" s="14" t="n">
        <f aca="false">IF(ISNUMBER($I184),$K184*IF($H184="Zone",Paramètres!$B$8,1)/MAX(1,$I184),0)</f>
        <v>1.275</v>
      </c>
      <c r="T184" s="16" t="n">
        <v>26</v>
      </c>
      <c r="U184" s="16" t="n">
        <v>2</v>
      </c>
    </row>
    <row r="185" customFormat="false" ht="15" hidden="false" customHeight="true" outlineLevel="0" collapsed="false">
      <c r="A185" s="9" t="s">
        <v>254</v>
      </c>
      <c r="B185" s="10" t="str">
        <f aca="false">INDEX(Bases!$B$5:$B$83,$T185)</f>
        <v>Mage</v>
      </c>
      <c r="C185" s="10" t="str">
        <f aca="false">INDEX(Bases!$E$5:$E$83,$T185)</f>
        <v>Attaque (arme 1)</v>
      </c>
      <c r="D185" s="10" t="str">
        <f aca="false">INDEX(Bases!$F$5:$F$83,$T185)</f>
        <v>Attaque</v>
      </c>
      <c r="E185" s="11" t="str">
        <f aca="false">INDEX(Bases!$C$5:$C$83,$T185)</f>
        <v>Tornade arcanique</v>
      </c>
      <c r="F185" s="10" t="str">
        <f aca="false">INDEX(Éléments!$A$5:$A$14,$U185)</f>
        <v>Feu</v>
      </c>
      <c r="G185" s="12" t="str">
        <f aca="false">IF(OR($F185="Neutre",$C185="Passif"),$E185,INDEX(Bases!$D$5:$D$83,$T185)&amp;" "&amp;INDEX(Éléments!$D$5:$D$14,$U185))</f>
        <v>Tornade de feu</v>
      </c>
      <c r="H185" s="10" t="str">
        <f aca="false">INDEX(Bases!$G$5:$G$83,$T185)</f>
        <v>Zone</v>
      </c>
      <c r="I185" s="13" t="n">
        <f aca="false">INDEX(Bases!$H$5:$H$83,$T185)</f>
        <v>2</v>
      </c>
      <c r="J185" s="10" t="str">
        <f aca="false">INDEX(Bases!$I$5:$I$83,$T185)</f>
        <v>Non</v>
      </c>
      <c r="K185" s="14" t="n">
        <f aca="false">INDEX(Bases!$J$5:$J$83,$T185)</f>
        <v>0.85</v>
      </c>
      <c r="L185" s="10" t="str">
        <f aca="false">INDEX(Bases!$K$5:$K$83,$T185)</f>
        <v>Magie</v>
      </c>
      <c r="M185" s="11" t="str">
        <f aca="false">INDEX(Bases!$L$5:$L$83,$T185)</f>
        <v>Frappe tous les ennemis de la vague.</v>
      </c>
      <c r="N185" s="11" t="str">
        <f aca="false">IF($C185="Passif","—",IF($C185="Attaque (arme 1)",INDEX(Éléments!$F$5:$F$14,$U185),INDEX(Éléments!$G$5:$G$14,$U185)))</f>
        <v>35 % : Brûlure (8 % de la stat d'attaque par tour, 3 tours, non cumulable).</v>
      </c>
      <c r="O185" s="10" t="str">
        <f aca="false">INDEX(Bases!$M$5:$M$83,$T185)</f>
        <v>Active</v>
      </c>
      <c r="P185" s="13" t="n">
        <f aca="false">INDEX(Bases!$N$5:$N$83,$T185)</f>
        <v>8</v>
      </c>
      <c r="Q185" s="15" t="n">
        <f aca="false">INDEX(Éléments!$C$5:$C$14,$U185)</f>
        <v>30</v>
      </c>
      <c r="R185" s="11" t="str">
        <f aca="false">"Niv. "&amp;$P185&amp;IF($Q185&gt;0," · étage "&amp;$Q185&amp;" terminé","")</f>
        <v>Niv. 8 · étage 30 terminé</v>
      </c>
      <c r="S185" s="14" t="n">
        <f aca="false">IF(ISNUMBER($I185),$K185*IF($H185="Zone",Paramètres!$B$8,1)/MAX(1,$I185),0)</f>
        <v>1.275</v>
      </c>
      <c r="T185" s="16" t="n">
        <v>26</v>
      </c>
      <c r="U185" s="16" t="n">
        <v>3</v>
      </c>
    </row>
    <row r="186" customFormat="false" ht="15" hidden="false" customHeight="true" outlineLevel="0" collapsed="false">
      <c r="A186" s="9" t="s">
        <v>255</v>
      </c>
      <c r="B186" s="10" t="str">
        <f aca="false">INDEX(Bases!$B$5:$B$83,$T186)</f>
        <v>Mage</v>
      </c>
      <c r="C186" s="10" t="str">
        <f aca="false">INDEX(Bases!$E$5:$E$83,$T186)</f>
        <v>Attaque (arme 1)</v>
      </c>
      <c r="D186" s="10" t="str">
        <f aca="false">INDEX(Bases!$F$5:$F$83,$T186)</f>
        <v>Attaque</v>
      </c>
      <c r="E186" s="11" t="str">
        <f aca="false">INDEX(Bases!$C$5:$C$83,$T186)</f>
        <v>Tornade arcanique</v>
      </c>
      <c r="F186" s="10" t="str">
        <f aca="false">INDEX(Éléments!$A$5:$A$14,$U186)</f>
        <v>Vent</v>
      </c>
      <c r="G186" s="12" t="str">
        <f aca="false">IF(OR($F186="Neutre",$C186="Passif"),$E186,INDEX(Bases!$D$5:$D$83,$T186)&amp;" "&amp;INDEX(Éléments!$D$5:$D$14,$U186))</f>
        <v>Tornade de vent</v>
      </c>
      <c r="H186" s="10" t="str">
        <f aca="false">INDEX(Bases!$G$5:$G$83,$T186)</f>
        <v>Zone</v>
      </c>
      <c r="I186" s="13" t="n">
        <f aca="false">INDEX(Bases!$H$5:$H$83,$T186)</f>
        <v>2</v>
      </c>
      <c r="J186" s="10" t="str">
        <f aca="false">INDEX(Bases!$I$5:$I$83,$T186)</f>
        <v>Non</v>
      </c>
      <c r="K186" s="14" t="n">
        <f aca="false">INDEX(Bases!$J$5:$J$83,$T186)</f>
        <v>0.85</v>
      </c>
      <c r="L186" s="10" t="str">
        <f aca="false">INDEX(Bases!$K$5:$K$83,$T186)</f>
        <v>Magie</v>
      </c>
      <c r="M186" s="11" t="str">
        <f aca="false">INDEX(Bases!$L$5:$L$83,$T186)</f>
        <v>Frappe tous les ennemis de la vague.</v>
      </c>
      <c r="N186" s="11" t="str">
        <f aca="false">IF($C186="Passif","—",IF($C186="Attaque (arme 1)",INDEX(Éléments!$F$5:$F$14,$U186),INDEX(Éléments!$G$5:$G$14,$U186)))</f>
        <v>+10 % de chance de critique ; 30 % : Désorienté (−15 % Précision, 2 tours).</v>
      </c>
      <c r="O186" s="10" t="str">
        <f aca="false">INDEX(Bases!$M$5:$M$83,$T186)</f>
        <v>Active</v>
      </c>
      <c r="P186" s="13" t="n">
        <f aca="false">INDEX(Bases!$N$5:$N$83,$T186)</f>
        <v>8</v>
      </c>
      <c r="Q186" s="15" t="n">
        <f aca="false">INDEX(Éléments!$C$5:$C$14,$U186)</f>
        <v>40</v>
      </c>
      <c r="R186" s="11" t="str">
        <f aca="false">"Niv. "&amp;$P186&amp;IF($Q186&gt;0," · étage "&amp;$Q186&amp;" terminé","")</f>
        <v>Niv. 8 · étage 40 terminé</v>
      </c>
      <c r="S186" s="14" t="n">
        <f aca="false">IF(ISNUMBER($I186),$K186*IF($H186="Zone",Paramètres!$B$8,1)/MAX(1,$I186),0)</f>
        <v>1.275</v>
      </c>
      <c r="T186" s="16" t="n">
        <v>26</v>
      </c>
      <c r="U186" s="16" t="n">
        <v>4</v>
      </c>
    </row>
    <row r="187" customFormat="false" ht="15" hidden="false" customHeight="true" outlineLevel="0" collapsed="false">
      <c r="A187" s="9" t="s">
        <v>256</v>
      </c>
      <c r="B187" s="10" t="str">
        <f aca="false">INDEX(Bases!$B$5:$B$83,$T187)</f>
        <v>Mage</v>
      </c>
      <c r="C187" s="10" t="str">
        <f aca="false">INDEX(Bases!$E$5:$E$83,$T187)</f>
        <v>Attaque (arme 1)</v>
      </c>
      <c r="D187" s="10" t="str">
        <f aca="false">INDEX(Bases!$F$5:$F$83,$T187)</f>
        <v>Attaque</v>
      </c>
      <c r="E187" s="11" t="str">
        <f aca="false">INDEX(Bases!$C$5:$C$83,$T187)</f>
        <v>Tornade arcanique</v>
      </c>
      <c r="F187" s="10" t="str">
        <f aca="false">INDEX(Éléments!$A$5:$A$14,$U187)</f>
        <v>Acide</v>
      </c>
      <c r="G187" s="12" t="str">
        <f aca="false">IF(OR($F187="Neutre",$C187="Passif"),$E187,INDEX(Bases!$D$5:$D$83,$T187)&amp;" "&amp;INDEX(Éléments!$D$5:$D$14,$U187))</f>
        <v>Tornade d'acide</v>
      </c>
      <c r="H187" s="10" t="str">
        <f aca="false">INDEX(Bases!$G$5:$G$83,$T187)</f>
        <v>Zone</v>
      </c>
      <c r="I187" s="13" t="n">
        <f aca="false">INDEX(Bases!$H$5:$H$83,$T187)</f>
        <v>2</v>
      </c>
      <c r="J187" s="10" t="str">
        <f aca="false">INDEX(Bases!$I$5:$I$83,$T187)</f>
        <v>Non</v>
      </c>
      <c r="K187" s="14" t="n">
        <f aca="false">INDEX(Bases!$J$5:$J$83,$T187)</f>
        <v>0.85</v>
      </c>
      <c r="L187" s="10" t="str">
        <f aca="false">INDEX(Bases!$K$5:$K$83,$T187)</f>
        <v>Magie</v>
      </c>
      <c r="M187" s="11" t="str">
        <f aca="false">INDEX(Bases!$L$5:$L$83,$T187)</f>
        <v>Frappe tous les ennemis de la vague.</v>
      </c>
      <c r="N187" s="11" t="str">
        <f aca="false">IF($C187="Passif","—",IF($C187="Attaque (arme 1)",INDEX(Éléments!$F$5:$F$14,$U187),INDEX(Éléments!$G$5:$G$14,$U187)))</f>
        <v>50 % : 1 pile de Corrosion (−5 % Armure par pile, 4 piles max, 3 tours).</v>
      </c>
      <c r="O187" s="10" t="str">
        <f aca="false">INDEX(Bases!$M$5:$M$83,$T187)</f>
        <v>Active</v>
      </c>
      <c r="P187" s="13" t="n">
        <f aca="false">INDEX(Bases!$N$5:$N$83,$T187)</f>
        <v>8</v>
      </c>
      <c r="Q187" s="15" t="n">
        <f aca="false">INDEX(Éléments!$C$5:$C$14,$U187)</f>
        <v>50</v>
      </c>
      <c r="R187" s="11" t="str">
        <f aca="false">"Niv. "&amp;$P187&amp;IF($Q187&gt;0," · étage "&amp;$Q187&amp;" terminé","")</f>
        <v>Niv. 8 · étage 50 terminé</v>
      </c>
      <c r="S187" s="14" t="n">
        <f aca="false">IF(ISNUMBER($I187),$K187*IF($H187="Zone",Paramètres!$B$8,1)/MAX(1,$I187),0)</f>
        <v>1.275</v>
      </c>
      <c r="T187" s="16" t="n">
        <v>26</v>
      </c>
      <c r="U187" s="16" t="n">
        <v>5</v>
      </c>
    </row>
    <row r="188" customFormat="false" ht="15" hidden="false" customHeight="true" outlineLevel="0" collapsed="false">
      <c r="A188" s="9" t="s">
        <v>257</v>
      </c>
      <c r="B188" s="10" t="str">
        <f aca="false">INDEX(Bases!$B$5:$B$83,$T188)</f>
        <v>Mage</v>
      </c>
      <c r="C188" s="10" t="str">
        <f aca="false">INDEX(Bases!$E$5:$E$83,$T188)</f>
        <v>Attaque (arme 1)</v>
      </c>
      <c r="D188" s="10" t="str">
        <f aca="false">INDEX(Bases!$F$5:$F$83,$T188)</f>
        <v>Attaque</v>
      </c>
      <c r="E188" s="11" t="str">
        <f aca="false">INDEX(Bases!$C$5:$C$83,$T188)</f>
        <v>Tornade arcanique</v>
      </c>
      <c r="F188" s="10" t="str">
        <f aca="false">INDEX(Éléments!$A$5:$A$14,$U188)</f>
        <v>Eau</v>
      </c>
      <c r="G188" s="12" t="str">
        <f aca="false">IF(OR($F188="Neutre",$C188="Passif"),$E188,INDEX(Bases!$D$5:$D$83,$T188)&amp;" "&amp;INDEX(Éléments!$D$5:$D$14,$U188))</f>
        <v>Tornade d'eau</v>
      </c>
      <c r="H188" s="10" t="str">
        <f aca="false">INDEX(Bases!$G$5:$G$83,$T188)</f>
        <v>Zone</v>
      </c>
      <c r="I188" s="13" t="n">
        <f aca="false">INDEX(Bases!$H$5:$H$83,$T188)</f>
        <v>2</v>
      </c>
      <c r="J188" s="10" t="str">
        <f aca="false">INDEX(Bases!$I$5:$I$83,$T188)</f>
        <v>Non</v>
      </c>
      <c r="K188" s="14" t="n">
        <f aca="false">INDEX(Bases!$J$5:$J$83,$T188)</f>
        <v>0.85</v>
      </c>
      <c r="L188" s="10" t="str">
        <f aca="false">INDEX(Bases!$K$5:$K$83,$T188)</f>
        <v>Magie</v>
      </c>
      <c r="M188" s="11" t="str">
        <f aca="false">INDEX(Bases!$L$5:$L$83,$T188)</f>
        <v>Frappe tous les ennemis de la vague.</v>
      </c>
      <c r="N188" s="11" t="str">
        <f aca="false">IF($C188="Passif","—",IF($C188="Attaque (arme 1)",INDEX(Éléments!$F$5:$F$14,$U188),INDEX(Éléments!$G$5:$G$14,$U188)))</f>
        <v>50 % : Mouillé (+25 % de dégâts d'Électricité subis, retire Brûlure, 3 tours).</v>
      </c>
      <c r="O188" s="10" t="str">
        <f aca="false">INDEX(Bases!$M$5:$M$83,$T188)</f>
        <v>Active</v>
      </c>
      <c r="P188" s="13" t="n">
        <f aca="false">INDEX(Bases!$N$5:$N$83,$T188)</f>
        <v>8</v>
      </c>
      <c r="Q188" s="15" t="n">
        <f aca="false">INDEX(Éléments!$C$5:$C$14,$U188)</f>
        <v>60</v>
      </c>
      <c r="R188" s="11" t="str">
        <f aca="false">"Niv. "&amp;$P188&amp;IF($Q188&gt;0," · étage "&amp;$Q188&amp;" terminé","")</f>
        <v>Niv. 8 · étage 60 terminé</v>
      </c>
      <c r="S188" s="14" t="n">
        <f aca="false">IF(ISNUMBER($I188),$K188*IF($H188="Zone",Paramètres!$B$8,1)/MAX(1,$I188),0)</f>
        <v>1.275</v>
      </c>
      <c r="T188" s="16" t="n">
        <v>26</v>
      </c>
      <c r="U188" s="16" t="n">
        <v>6</v>
      </c>
    </row>
    <row r="189" customFormat="false" ht="15" hidden="false" customHeight="true" outlineLevel="0" collapsed="false">
      <c r="A189" s="9" t="s">
        <v>258</v>
      </c>
      <c r="B189" s="10" t="str">
        <f aca="false">INDEX(Bases!$B$5:$B$83,$T189)</f>
        <v>Mage</v>
      </c>
      <c r="C189" s="10" t="str">
        <f aca="false">INDEX(Bases!$E$5:$E$83,$T189)</f>
        <v>Attaque (arme 1)</v>
      </c>
      <c r="D189" s="10" t="str">
        <f aca="false">INDEX(Bases!$F$5:$F$83,$T189)</f>
        <v>Attaque</v>
      </c>
      <c r="E189" s="11" t="str">
        <f aca="false">INDEX(Bases!$C$5:$C$83,$T189)</f>
        <v>Tornade arcanique</v>
      </c>
      <c r="F189" s="10" t="str">
        <f aca="false">INDEX(Éléments!$A$5:$A$14,$U189)</f>
        <v>Glace</v>
      </c>
      <c r="G189" s="12" t="str">
        <f aca="false">IF(OR($F189="Neutre",$C189="Passif"),$E189,INDEX(Bases!$D$5:$D$83,$T189)&amp;" "&amp;INDEX(Éléments!$D$5:$D$14,$U189))</f>
        <v>Tornade de glace</v>
      </c>
      <c r="H189" s="10" t="str">
        <f aca="false">INDEX(Bases!$G$5:$G$83,$T189)</f>
        <v>Zone</v>
      </c>
      <c r="I189" s="13" t="n">
        <f aca="false">INDEX(Bases!$H$5:$H$83,$T189)</f>
        <v>2</v>
      </c>
      <c r="J189" s="10" t="str">
        <f aca="false">INDEX(Bases!$I$5:$I$83,$T189)</f>
        <v>Non</v>
      </c>
      <c r="K189" s="14" t="n">
        <f aca="false">INDEX(Bases!$J$5:$J$83,$T189)</f>
        <v>0.85</v>
      </c>
      <c r="L189" s="10" t="str">
        <f aca="false">INDEX(Bases!$K$5:$K$83,$T189)</f>
        <v>Magie</v>
      </c>
      <c r="M189" s="11" t="str">
        <f aca="false">INDEX(Bases!$L$5:$L$83,$T189)</f>
        <v>Frappe tous les ennemis de la vague.</v>
      </c>
      <c r="N189" s="11" t="str">
        <f aca="false">IF($C189="Passif","—",IF($C189="Attaque (arme 1)",INDEX(Éléments!$F$5:$F$14,$U189),INDEX(Éléments!$G$5:$G$14,$U189)))</f>
        <v>40 % : 1 pile de Froid (−8 % Agilité ; à 3 piles : Gel, la cible perd 1 tour).</v>
      </c>
      <c r="O189" s="10" t="str">
        <f aca="false">INDEX(Bases!$M$5:$M$83,$T189)</f>
        <v>Active</v>
      </c>
      <c r="P189" s="13" t="n">
        <f aca="false">INDEX(Bases!$N$5:$N$83,$T189)</f>
        <v>8</v>
      </c>
      <c r="Q189" s="15" t="n">
        <f aca="false">INDEX(Éléments!$C$5:$C$14,$U189)</f>
        <v>70</v>
      </c>
      <c r="R189" s="11" t="str">
        <f aca="false">"Niv. "&amp;$P189&amp;IF($Q189&gt;0," · étage "&amp;$Q189&amp;" terminé","")</f>
        <v>Niv. 8 · étage 70 terminé</v>
      </c>
      <c r="S189" s="14" t="n">
        <f aca="false">IF(ISNUMBER($I189),$K189*IF($H189="Zone",Paramètres!$B$8,1)/MAX(1,$I189),0)</f>
        <v>1.275</v>
      </c>
      <c r="T189" s="16" t="n">
        <v>26</v>
      </c>
      <c r="U189" s="16" t="n">
        <v>7</v>
      </c>
    </row>
    <row r="190" customFormat="false" ht="15" hidden="false" customHeight="true" outlineLevel="0" collapsed="false">
      <c r="A190" s="9" t="s">
        <v>259</v>
      </c>
      <c r="B190" s="10" t="str">
        <f aca="false">INDEX(Bases!$B$5:$B$83,$T190)</f>
        <v>Mage</v>
      </c>
      <c r="C190" s="10" t="str">
        <f aca="false">INDEX(Bases!$E$5:$E$83,$T190)</f>
        <v>Attaque (arme 1)</v>
      </c>
      <c r="D190" s="10" t="str">
        <f aca="false">INDEX(Bases!$F$5:$F$83,$T190)</f>
        <v>Attaque</v>
      </c>
      <c r="E190" s="11" t="str">
        <f aca="false">INDEX(Bases!$C$5:$C$83,$T190)</f>
        <v>Tornade arcanique</v>
      </c>
      <c r="F190" s="10" t="str">
        <f aca="false">INDEX(Éléments!$A$5:$A$14,$U190)</f>
        <v>Électricité</v>
      </c>
      <c r="G190" s="12" t="str">
        <f aca="false">IF(OR($F190="Neutre",$C190="Passif"),$E190,INDEX(Bases!$D$5:$D$83,$T190)&amp;" "&amp;INDEX(Éléments!$D$5:$D$14,$U190))</f>
        <v>Tornade de foudre</v>
      </c>
      <c r="H190" s="10" t="str">
        <f aca="false">INDEX(Bases!$G$5:$G$83,$T190)</f>
        <v>Zone</v>
      </c>
      <c r="I190" s="13" t="n">
        <f aca="false">INDEX(Bases!$H$5:$H$83,$T190)</f>
        <v>2</v>
      </c>
      <c r="J190" s="10" t="str">
        <f aca="false">INDEX(Bases!$I$5:$I$83,$T190)</f>
        <v>Non</v>
      </c>
      <c r="K190" s="14" t="n">
        <f aca="false">INDEX(Bases!$J$5:$J$83,$T190)</f>
        <v>0.85</v>
      </c>
      <c r="L190" s="10" t="str">
        <f aca="false">INDEX(Bases!$K$5:$K$83,$T190)</f>
        <v>Magie</v>
      </c>
      <c r="M190" s="11" t="str">
        <f aca="false">INDEX(Bases!$L$5:$L$83,$T190)</f>
        <v>Frappe tous les ennemis de la vague.</v>
      </c>
      <c r="N190" s="11" t="str">
        <f aca="false">IF($C190="Passif","—",IF($C190="Attaque (arme 1)",INDEX(Éléments!$F$5:$F$14,$U190),INDEX(Éléments!$G$5:$G$14,$U190)))</f>
        <v>Rebondit sur 1 autre ennemi (40 % des dégâts) ; 10 % : Étourdissement (1 tour).</v>
      </c>
      <c r="O190" s="10" t="str">
        <f aca="false">INDEX(Bases!$M$5:$M$83,$T190)</f>
        <v>Active</v>
      </c>
      <c r="P190" s="13" t="n">
        <f aca="false">INDEX(Bases!$N$5:$N$83,$T190)</f>
        <v>8</v>
      </c>
      <c r="Q190" s="15" t="n">
        <f aca="false">INDEX(Éléments!$C$5:$C$14,$U190)</f>
        <v>80</v>
      </c>
      <c r="R190" s="11" t="str">
        <f aca="false">"Niv. "&amp;$P190&amp;IF($Q190&gt;0," · étage "&amp;$Q190&amp;" terminé","")</f>
        <v>Niv. 8 · étage 80 terminé</v>
      </c>
      <c r="S190" s="14" t="n">
        <f aca="false">IF(ISNUMBER($I190),$K190*IF($H190="Zone",Paramètres!$B$8,1)/MAX(1,$I190),0)</f>
        <v>1.275</v>
      </c>
      <c r="T190" s="16" t="n">
        <v>26</v>
      </c>
      <c r="U190" s="16" t="n">
        <v>8</v>
      </c>
    </row>
    <row r="191" customFormat="false" ht="15" hidden="false" customHeight="true" outlineLevel="0" collapsed="false">
      <c r="A191" s="9" t="s">
        <v>260</v>
      </c>
      <c r="B191" s="10" t="str">
        <f aca="false">INDEX(Bases!$B$5:$B$83,$T191)</f>
        <v>Mage</v>
      </c>
      <c r="C191" s="10" t="str">
        <f aca="false">INDEX(Bases!$E$5:$E$83,$T191)</f>
        <v>Attaque (arme 1)</v>
      </c>
      <c r="D191" s="10" t="str">
        <f aca="false">INDEX(Bases!$F$5:$F$83,$T191)</f>
        <v>Attaque</v>
      </c>
      <c r="E191" s="11" t="str">
        <f aca="false">INDEX(Bases!$C$5:$C$83,$T191)</f>
        <v>Tornade arcanique</v>
      </c>
      <c r="F191" s="10" t="str">
        <f aca="false">INDEX(Éléments!$A$5:$A$14,$U191)</f>
        <v>Lumière</v>
      </c>
      <c r="G191" s="12" t="str">
        <f aca="false">IF(OR($F191="Neutre",$C191="Passif"),$E191,INDEX(Bases!$D$5:$D$83,$T191)&amp;" "&amp;INDEX(Éléments!$D$5:$D$14,$U191))</f>
        <v>Tornade de lumière</v>
      </c>
      <c r="H191" s="10" t="str">
        <f aca="false">INDEX(Bases!$G$5:$G$83,$T191)</f>
        <v>Zone</v>
      </c>
      <c r="I191" s="13" t="n">
        <f aca="false">INDEX(Bases!$H$5:$H$83,$T191)</f>
        <v>2</v>
      </c>
      <c r="J191" s="10" t="str">
        <f aca="false">INDEX(Bases!$I$5:$I$83,$T191)</f>
        <v>Non</v>
      </c>
      <c r="K191" s="14" t="n">
        <f aca="false">INDEX(Bases!$J$5:$J$83,$T191)</f>
        <v>0.85</v>
      </c>
      <c r="L191" s="10" t="str">
        <f aca="false">INDEX(Bases!$K$5:$K$83,$T191)</f>
        <v>Magie</v>
      </c>
      <c r="M191" s="11" t="str">
        <f aca="false">INDEX(Bases!$L$5:$L$83,$T191)</f>
        <v>Frappe tous les ennemis de la vague.</v>
      </c>
      <c r="N191" s="11" t="str">
        <f aca="false">IF($C191="Passif","—",IF($C191="Attaque (arme 1)",INDEX(Éléments!$F$5:$F$14,$U191),INDEX(Éléments!$G$5:$G$14,$U191)))</f>
        <v>Soigne le lanceur de 5 % des dégâts infligés ; 25 % : Éblouissement (−20 % chance de critique, 2 tours).</v>
      </c>
      <c r="O191" s="10" t="str">
        <f aca="false">INDEX(Bases!$M$5:$M$83,$T191)</f>
        <v>Active</v>
      </c>
      <c r="P191" s="13" t="n">
        <f aca="false">INDEX(Bases!$N$5:$N$83,$T191)</f>
        <v>8</v>
      </c>
      <c r="Q191" s="15" t="n">
        <f aca="false">INDEX(Éléments!$C$5:$C$14,$U191)</f>
        <v>90</v>
      </c>
      <c r="R191" s="11" t="str">
        <f aca="false">"Niv. "&amp;$P191&amp;IF($Q191&gt;0," · étage "&amp;$Q191&amp;" terminé","")</f>
        <v>Niv. 8 · étage 90 terminé</v>
      </c>
      <c r="S191" s="14" t="n">
        <f aca="false">IF(ISNUMBER($I191),$K191*IF($H191="Zone",Paramètres!$B$8,1)/MAX(1,$I191),0)</f>
        <v>1.275</v>
      </c>
      <c r="T191" s="16" t="n">
        <v>26</v>
      </c>
      <c r="U191" s="16" t="n">
        <v>9</v>
      </c>
    </row>
    <row r="192" customFormat="false" ht="15" hidden="false" customHeight="true" outlineLevel="0" collapsed="false">
      <c r="A192" s="9" t="s">
        <v>261</v>
      </c>
      <c r="B192" s="10" t="str">
        <f aca="false">INDEX(Bases!$B$5:$B$83,$T192)</f>
        <v>Mage</v>
      </c>
      <c r="C192" s="10" t="str">
        <f aca="false">INDEX(Bases!$E$5:$E$83,$T192)</f>
        <v>Attaque (arme 1)</v>
      </c>
      <c r="D192" s="10" t="str">
        <f aca="false">INDEX(Bases!$F$5:$F$83,$T192)</f>
        <v>Attaque</v>
      </c>
      <c r="E192" s="11" t="str">
        <f aca="false">INDEX(Bases!$C$5:$C$83,$T192)</f>
        <v>Tornade arcanique</v>
      </c>
      <c r="F192" s="10" t="str">
        <f aca="false">INDEX(Éléments!$A$5:$A$14,$U192)</f>
        <v>Ombre</v>
      </c>
      <c r="G192" s="12" t="str">
        <f aca="false">IF(OR($F192="Neutre",$C192="Passif"),$E192,INDEX(Bases!$D$5:$D$83,$T192)&amp;" "&amp;INDEX(Éléments!$D$5:$D$14,$U192))</f>
        <v>Tornade d'ombre</v>
      </c>
      <c r="H192" s="10" t="str">
        <f aca="false">INDEX(Bases!$G$5:$G$83,$T192)</f>
        <v>Zone</v>
      </c>
      <c r="I192" s="13" t="n">
        <f aca="false">INDEX(Bases!$H$5:$H$83,$T192)</f>
        <v>2</v>
      </c>
      <c r="J192" s="10" t="str">
        <f aca="false">INDEX(Bases!$I$5:$I$83,$T192)</f>
        <v>Non</v>
      </c>
      <c r="K192" s="14" t="n">
        <f aca="false">INDEX(Bases!$J$5:$J$83,$T192)</f>
        <v>0.85</v>
      </c>
      <c r="L192" s="10" t="str">
        <f aca="false">INDEX(Bases!$K$5:$K$83,$T192)</f>
        <v>Magie</v>
      </c>
      <c r="M192" s="11" t="str">
        <f aca="false">INDEX(Bases!$L$5:$L$83,$T192)</f>
        <v>Frappe tous les ennemis de la vague.</v>
      </c>
      <c r="N192" s="11" t="str">
        <f aca="false">IF($C192="Passif","—",IF($C192="Attaque (arme 1)",INDEX(Éléments!$F$5:$F$14,$U192),INDEX(Éléments!$G$5:$G$14,$U192)))</f>
        <v>Vol de vie 5 % ; 30 % : Corruption (+10 % de dégâts subis, 2 tours).</v>
      </c>
      <c r="O192" s="10" t="str">
        <f aca="false">INDEX(Bases!$M$5:$M$83,$T192)</f>
        <v>Active</v>
      </c>
      <c r="P192" s="13" t="n">
        <f aca="false">INDEX(Bases!$N$5:$N$83,$T192)</f>
        <v>8</v>
      </c>
      <c r="Q192" s="15" t="n">
        <f aca="false">INDEX(Éléments!$C$5:$C$14,$U192)</f>
        <v>100</v>
      </c>
      <c r="R192" s="11" t="str">
        <f aca="false">"Niv. "&amp;$P192&amp;IF($Q192&gt;0," · étage "&amp;$Q192&amp;" terminé","")</f>
        <v>Niv. 8 · étage 100 terminé</v>
      </c>
      <c r="S192" s="14" t="n">
        <f aca="false">IF(ISNUMBER($I192),$K192*IF($H192="Zone",Paramètres!$B$8,1)/MAX(1,$I192),0)</f>
        <v>1.275</v>
      </c>
      <c r="T192" s="16" t="n">
        <v>26</v>
      </c>
      <c r="U192" s="16" t="n">
        <v>10</v>
      </c>
    </row>
    <row r="193" customFormat="false" ht="15" hidden="false" customHeight="true" outlineLevel="0" collapsed="false">
      <c r="A193" s="9" t="s">
        <v>262</v>
      </c>
      <c r="B193" s="10" t="str">
        <f aca="false">INDEX(Bases!$B$5:$B$83,$T193)</f>
        <v>Mage</v>
      </c>
      <c r="C193" s="10" t="str">
        <f aca="false">INDEX(Bases!$E$5:$E$83,$T193)</f>
        <v>Attaque (arme 1)</v>
      </c>
      <c r="D193" s="10" t="str">
        <f aca="false">INDEX(Bases!$F$5:$F$83,$T193)</f>
        <v>Attaque</v>
      </c>
      <c r="E193" s="11" t="str">
        <f aca="false">INDEX(Bases!$C$5:$C$83,$T193)</f>
        <v>Rayon arcanique</v>
      </c>
      <c r="F193" s="10" t="str">
        <f aca="false">INDEX(Éléments!$A$5:$A$14,$U193)</f>
        <v>Neutre</v>
      </c>
      <c r="G193" s="12" t="str">
        <f aca="false">IF(OR($F193="Neutre",$C193="Passif"),$E193,INDEX(Bases!$D$5:$D$83,$T193)&amp;" "&amp;INDEX(Éléments!$D$5:$D$14,$U193))</f>
        <v>Rayon arcanique</v>
      </c>
      <c r="H193" s="10" t="str">
        <f aca="false">INDEX(Bases!$G$5:$G$83,$T193)</f>
        <v>Mono</v>
      </c>
      <c r="I193" s="13" t="n">
        <f aca="false">INDEX(Bases!$H$5:$H$83,$T193)</f>
        <v>1</v>
      </c>
      <c r="J193" s="10" t="str">
        <f aca="false">INDEX(Bases!$I$5:$I$83,$T193)</f>
        <v>Non</v>
      </c>
      <c r="K193" s="14" t="n">
        <f aca="false">INDEX(Bases!$J$5:$J$83,$T193)</f>
        <v>0.8</v>
      </c>
      <c r="L193" s="10" t="str">
        <f aca="false">INDEX(Bases!$K$5:$K$83,$T193)</f>
        <v>Magie</v>
      </c>
      <c r="M193" s="11" t="str">
        <f aca="false">INDEX(Bases!$L$5:$L$83,$T193)</f>
        <v>Deux impacts (2 × 40 %) : deux chances d'appliquer l'effet élémentaire.</v>
      </c>
      <c r="N193" s="11" t="str">
        <f aca="false">IF($C193="Passif","—",IF($C193="Attaque (arme 1)",INDEX(Éléments!$F$5:$F$14,$U193),INDEX(Éléments!$G$5:$G$14,$U193)))</f>
        <v>Aucune altération ; ignore 10 % de la Résistance de la cible. Fiable contre tous les biomes.</v>
      </c>
      <c r="O193" s="10" t="str">
        <f aca="false">INDEX(Bases!$M$5:$M$83,$T193)</f>
        <v>Active</v>
      </c>
      <c r="P193" s="13" t="n">
        <f aca="false">INDEX(Bases!$N$5:$N$83,$T193)</f>
        <v>12</v>
      </c>
      <c r="Q193" s="15" t="n">
        <f aca="false">INDEX(Éléments!$C$5:$C$14,$U193)</f>
        <v>0</v>
      </c>
      <c r="R193" s="11" t="str">
        <f aca="false">"Niv. "&amp;$P193&amp;IF($Q193&gt;0," · étage "&amp;$Q193&amp;" terminé","")</f>
        <v>Niv. 12</v>
      </c>
      <c r="S193" s="14" t="n">
        <f aca="false">IF(ISNUMBER($I193),$K193*IF($H193="Zone",Paramètres!$B$8,1)/MAX(1,$I193),0)</f>
        <v>0.8</v>
      </c>
      <c r="T193" s="16" t="n">
        <v>27</v>
      </c>
      <c r="U193" s="16" t="n">
        <v>1</v>
      </c>
    </row>
    <row r="194" customFormat="false" ht="15" hidden="false" customHeight="true" outlineLevel="0" collapsed="false">
      <c r="A194" s="9" t="s">
        <v>263</v>
      </c>
      <c r="B194" s="10" t="str">
        <f aca="false">INDEX(Bases!$B$5:$B$83,$T194)</f>
        <v>Mage</v>
      </c>
      <c r="C194" s="10" t="str">
        <f aca="false">INDEX(Bases!$E$5:$E$83,$T194)</f>
        <v>Attaque (arme 1)</v>
      </c>
      <c r="D194" s="10" t="str">
        <f aca="false">INDEX(Bases!$F$5:$F$83,$T194)</f>
        <v>Attaque</v>
      </c>
      <c r="E194" s="11" t="str">
        <f aca="false">INDEX(Bases!$C$5:$C$83,$T194)</f>
        <v>Rayon arcanique</v>
      </c>
      <c r="F194" s="10" t="str">
        <f aca="false">INDEX(Éléments!$A$5:$A$14,$U194)</f>
        <v>Terre</v>
      </c>
      <c r="G194" s="12" t="str">
        <f aca="false">IF(OR($F194="Neutre",$C194="Passif"),$E194,INDEX(Bases!$D$5:$D$83,$T194)&amp;" "&amp;INDEX(Éléments!$D$5:$D$14,$U194))</f>
        <v>Rayon de pierre</v>
      </c>
      <c r="H194" s="10" t="str">
        <f aca="false">INDEX(Bases!$G$5:$G$83,$T194)</f>
        <v>Mono</v>
      </c>
      <c r="I194" s="13" t="n">
        <f aca="false">INDEX(Bases!$H$5:$H$83,$T194)</f>
        <v>1</v>
      </c>
      <c r="J194" s="10" t="str">
        <f aca="false">INDEX(Bases!$I$5:$I$83,$T194)</f>
        <v>Non</v>
      </c>
      <c r="K194" s="14" t="n">
        <f aca="false">INDEX(Bases!$J$5:$J$83,$T194)</f>
        <v>0.8</v>
      </c>
      <c r="L194" s="10" t="str">
        <f aca="false">INDEX(Bases!$K$5:$K$83,$T194)</f>
        <v>Magie</v>
      </c>
      <c r="M194" s="11" t="str">
        <f aca="false">INDEX(Bases!$L$5:$L$83,$T194)</f>
        <v>Deux impacts (2 × 40 %) : deux chances d'appliquer l'effet élémentaire.</v>
      </c>
      <c r="N194" s="11" t="str">
        <f aca="false">IF($C194="Passif","—",IF($C194="Attaque (arme 1)",INDEX(Éléments!$F$5:$F$14,$U194),INDEX(Éléments!$G$5:$G$14,$U194)))</f>
        <v>30 % : Garde brisée (−15 % Résistance, 2 tours).</v>
      </c>
      <c r="O194" s="10" t="str">
        <f aca="false">INDEX(Bases!$M$5:$M$83,$T194)</f>
        <v>Active</v>
      </c>
      <c r="P194" s="13" t="n">
        <f aca="false">INDEX(Bases!$N$5:$N$83,$T194)</f>
        <v>12</v>
      </c>
      <c r="Q194" s="15" t="n">
        <f aca="false">INDEX(Éléments!$C$5:$C$14,$U194)</f>
        <v>20</v>
      </c>
      <c r="R194" s="11" t="str">
        <f aca="false">"Niv. "&amp;$P194&amp;IF($Q194&gt;0," · étage "&amp;$Q194&amp;" terminé","")</f>
        <v>Niv. 12 · étage 20 terminé</v>
      </c>
      <c r="S194" s="14" t="n">
        <f aca="false">IF(ISNUMBER($I194),$K194*IF($H194="Zone",Paramètres!$B$8,1)/MAX(1,$I194),0)</f>
        <v>0.8</v>
      </c>
      <c r="T194" s="16" t="n">
        <v>27</v>
      </c>
      <c r="U194" s="16" t="n">
        <v>2</v>
      </c>
    </row>
    <row r="195" customFormat="false" ht="15" hidden="false" customHeight="true" outlineLevel="0" collapsed="false">
      <c r="A195" s="9" t="s">
        <v>264</v>
      </c>
      <c r="B195" s="10" t="str">
        <f aca="false">INDEX(Bases!$B$5:$B$83,$T195)</f>
        <v>Mage</v>
      </c>
      <c r="C195" s="10" t="str">
        <f aca="false">INDEX(Bases!$E$5:$E$83,$T195)</f>
        <v>Attaque (arme 1)</v>
      </c>
      <c r="D195" s="10" t="str">
        <f aca="false">INDEX(Bases!$F$5:$F$83,$T195)</f>
        <v>Attaque</v>
      </c>
      <c r="E195" s="11" t="str">
        <f aca="false">INDEX(Bases!$C$5:$C$83,$T195)</f>
        <v>Rayon arcanique</v>
      </c>
      <c r="F195" s="10" t="str">
        <f aca="false">INDEX(Éléments!$A$5:$A$14,$U195)</f>
        <v>Feu</v>
      </c>
      <c r="G195" s="12" t="str">
        <f aca="false">IF(OR($F195="Neutre",$C195="Passif"),$E195,INDEX(Bases!$D$5:$D$83,$T195)&amp;" "&amp;INDEX(Éléments!$D$5:$D$14,$U195))</f>
        <v>Rayon de feu</v>
      </c>
      <c r="H195" s="10" t="str">
        <f aca="false">INDEX(Bases!$G$5:$G$83,$T195)</f>
        <v>Mono</v>
      </c>
      <c r="I195" s="13" t="n">
        <f aca="false">INDEX(Bases!$H$5:$H$83,$T195)</f>
        <v>1</v>
      </c>
      <c r="J195" s="10" t="str">
        <f aca="false">INDEX(Bases!$I$5:$I$83,$T195)</f>
        <v>Non</v>
      </c>
      <c r="K195" s="14" t="n">
        <f aca="false">INDEX(Bases!$J$5:$J$83,$T195)</f>
        <v>0.8</v>
      </c>
      <c r="L195" s="10" t="str">
        <f aca="false">INDEX(Bases!$K$5:$K$83,$T195)</f>
        <v>Magie</v>
      </c>
      <c r="M195" s="11" t="str">
        <f aca="false">INDEX(Bases!$L$5:$L$83,$T195)</f>
        <v>Deux impacts (2 × 40 %) : deux chances d'appliquer l'effet élémentaire.</v>
      </c>
      <c r="N195" s="11" t="str">
        <f aca="false">IF($C195="Passif","—",IF($C195="Attaque (arme 1)",INDEX(Éléments!$F$5:$F$14,$U195),INDEX(Éléments!$G$5:$G$14,$U195)))</f>
        <v>35 % : Brûlure (8 % de la stat d'attaque par tour, 3 tours, non cumulable).</v>
      </c>
      <c r="O195" s="10" t="str">
        <f aca="false">INDEX(Bases!$M$5:$M$83,$T195)</f>
        <v>Active</v>
      </c>
      <c r="P195" s="13" t="n">
        <f aca="false">INDEX(Bases!$N$5:$N$83,$T195)</f>
        <v>12</v>
      </c>
      <c r="Q195" s="15" t="n">
        <f aca="false">INDEX(Éléments!$C$5:$C$14,$U195)</f>
        <v>30</v>
      </c>
      <c r="R195" s="11" t="str">
        <f aca="false">"Niv. "&amp;$P195&amp;IF($Q195&gt;0," · étage "&amp;$Q195&amp;" terminé","")</f>
        <v>Niv. 12 · étage 30 terminé</v>
      </c>
      <c r="S195" s="14" t="n">
        <f aca="false">IF(ISNUMBER($I195),$K195*IF($H195="Zone",Paramètres!$B$8,1)/MAX(1,$I195),0)</f>
        <v>0.8</v>
      </c>
      <c r="T195" s="16" t="n">
        <v>27</v>
      </c>
      <c r="U195" s="16" t="n">
        <v>3</v>
      </c>
    </row>
    <row r="196" customFormat="false" ht="15" hidden="false" customHeight="true" outlineLevel="0" collapsed="false">
      <c r="A196" s="9" t="s">
        <v>265</v>
      </c>
      <c r="B196" s="10" t="str">
        <f aca="false">INDEX(Bases!$B$5:$B$83,$T196)</f>
        <v>Mage</v>
      </c>
      <c r="C196" s="10" t="str">
        <f aca="false">INDEX(Bases!$E$5:$E$83,$T196)</f>
        <v>Attaque (arme 1)</v>
      </c>
      <c r="D196" s="10" t="str">
        <f aca="false">INDEX(Bases!$F$5:$F$83,$T196)</f>
        <v>Attaque</v>
      </c>
      <c r="E196" s="11" t="str">
        <f aca="false">INDEX(Bases!$C$5:$C$83,$T196)</f>
        <v>Rayon arcanique</v>
      </c>
      <c r="F196" s="10" t="str">
        <f aca="false">INDEX(Éléments!$A$5:$A$14,$U196)</f>
        <v>Vent</v>
      </c>
      <c r="G196" s="12" t="str">
        <f aca="false">IF(OR($F196="Neutre",$C196="Passif"),$E196,INDEX(Bases!$D$5:$D$83,$T196)&amp;" "&amp;INDEX(Éléments!$D$5:$D$14,$U196))</f>
        <v>Rayon de vent</v>
      </c>
      <c r="H196" s="10" t="str">
        <f aca="false">INDEX(Bases!$G$5:$G$83,$T196)</f>
        <v>Mono</v>
      </c>
      <c r="I196" s="13" t="n">
        <f aca="false">INDEX(Bases!$H$5:$H$83,$T196)</f>
        <v>1</v>
      </c>
      <c r="J196" s="10" t="str">
        <f aca="false">INDEX(Bases!$I$5:$I$83,$T196)</f>
        <v>Non</v>
      </c>
      <c r="K196" s="14" t="n">
        <f aca="false">INDEX(Bases!$J$5:$J$83,$T196)</f>
        <v>0.8</v>
      </c>
      <c r="L196" s="10" t="str">
        <f aca="false">INDEX(Bases!$K$5:$K$83,$T196)</f>
        <v>Magie</v>
      </c>
      <c r="M196" s="11" t="str">
        <f aca="false">INDEX(Bases!$L$5:$L$83,$T196)</f>
        <v>Deux impacts (2 × 40 %) : deux chances d'appliquer l'effet élémentaire.</v>
      </c>
      <c r="N196" s="11" t="str">
        <f aca="false">IF($C196="Passif","—",IF($C196="Attaque (arme 1)",INDEX(Éléments!$F$5:$F$14,$U196),INDEX(Éléments!$G$5:$G$14,$U196)))</f>
        <v>+10 % de chance de critique ; 30 % : Désorienté (−15 % Précision, 2 tours).</v>
      </c>
      <c r="O196" s="10" t="str">
        <f aca="false">INDEX(Bases!$M$5:$M$83,$T196)</f>
        <v>Active</v>
      </c>
      <c r="P196" s="13" t="n">
        <f aca="false">INDEX(Bases!$N$5:$N$83,$T196)</f>
        <v>12</v>
      </c>
      <c r="Q196" s="15" t="n">
        <f aca="false">INDEX(Éléments!$C$5:$C$14,$U196)</f>
        <v>40</v>
      </c>
      <c r="R196" s="11" t="str">
        <f aca="false">"Niv. "&amp;$P196&amp;IF($Q196&gt;0," · étage "&amp;$Q196&amp;" terminé","")</f>
        <v>Niv. 12 · étage 40 terminé</v>
      </c>
      <c r="S196" s="14" t="n">
        <f aca="false">IF(ISNUMBER($I196),$K196*IF($H196="Zone",Paramètres!$B$8,1)/MAX(1,$I196),0)</f>
        <v>0.8</v>
      </c>
      <c r="T196" s="16" t="n">
        <v>27</v>
      </c>
      <c r="U196" s="16" t="n">
        <v>4</v>
      </c>
    </row>
    <row r="197" customFormat="false" ht="15" hidden="false" customHeight="true" outlineLevel="0" collapsed="false">
      <c r="A197" s="9" t="s">
        <v>266</v>
      </c>
      <c r="B197" s="10" t="str">
        <f aca="false">INDEX(Bases!$B$5:$B$83,$T197)</f>
        <v>Mage</v>
      </c>
      <c r="C197" s="10" t="str">
        <f aca="false">INDEX(Bases!$E$5:$E$83,$T197)</f>
        <v>Attaque (arme 1)</v>
      </c>
      <c r="D197" s="10" t="str">
        <f aca="false">INDEX(Bases!$F$5:$F$83,$T197)</f>
        <v>Attaque</v>
      </c>
      <c r="E197" s="11" t="str">
        <f aca="false">INDEX(Bases!$C$5:$C$83,$T197)</f>
        <v>Rayon arcanique</v>
      </c>
      <c r="F197" s="10" t="str">
        <f aca="false">INDEX(Éléments!$A$5:$A$14,$U197)</f>
        <v>Acide</v>
      </c>
      <c r="G197" s="12" t="str">
        <f aca="false">IF(OR($F197="Neutre",$C197="Passif"),$E197,INDEX(Bases!$D$5:$D$83,$T197)&amp;" "&amp;INDEX(Éléments!$D$5:$D$14,$U197))</f>
        <v>Rayon d'acide</v>
      </c>
      <c r="H197" s="10" t="str">
        <f aca="false">INDEX(Bases!$G$5:$G$83,$T197)</f>
        <v>Mono</v>
      </c>
      <c r="I197" s="13" t="n">
        <f aca="false">INDEX(Bases!$H$5:$H$83,$T197)</f>
        <v>1</v>
      </c>
      <c r="J197" s="10" t="str">
        <f aca="false">INDEX(Bases!$I$5:$I$83,$T197)</f>
        <v>Non</v>
      </c>
      <c r="K197" s="14" t="n">
        <f aca="false">INDEX(Bases!$J$5:$J$83,$T197)</f>
        <v>0.8</v>
      </c>
      <c r="L197" s="10" t="str">
        <f aca="false">INDEX(Bases!$K$5:$K$83,$T197)</f>
        <v>Magie</v>
      </c>
      <c r="M197" s="11" t="str">
        <f aca="false">INDEX(Bases!$L$5:$L$83,$T197)</f>
        <v>Deux impacts (2 × 40 %) : deux chances d'appliquer l'effet élémentaire.</v>
      </c>
      <c r="N197" s="11" t="str">
        <f aca="false">IF($C197="Passif","—",IF($C197="Attaque (arme 1)",INDEX(Éléments!$F$5:$F$14,$U197),INDEX(Éléments!$G$5:$G$14,$U197)))</f>
        <v>50 % : 1 pile de Corrosion (−5 % Armure par pile, 4 piles max, 3 tours).</v>
      </c>
      <c r="O197" s="10" t="str">
        <f aca="false">INDEX(Bases!$M$5:$M$83,$T197)</f>
        <v>Active</v>
      </c>
      <c r="P197" s="13" t="n">
        <f aca="false">INDEX(Bases!$N$5:$N$83,$T197)</f>
        <v>12</v>
      </c>
      <c r="Q197" s="15" t="n">
        <f aca="false">INDEX(Éléments!$C$5:$C$14,$U197)</f>
        <v>50</v>
      </c>
      <c r="R197" s="11" t="str">
        <f aca="false">"Niv. "&amp;$P197&amp;IF($Q197&gt;0," · étage "&amp;$Q197&amp;" terminé","")</f>
        <v>Niv. 12 · étage 50 terminé</v>
      </c>
      <c r="S197" s="14" t="n">
        <f aca="false">IF(ISNUMBER($I197),$K197*IF($H197="Zone",Paramètres!$B$8,1)/MAX(1,$I197),0)</f>
        <v>0.8</v>
      </c>
      <c r="T197" s="16" t="n">
        <v>27</v>
      </c>
      <c r="U197" s="16" t="n">
        <v>5</v>
      </c>
    </row>
    <row r="198" customFormat="false" ht="15" hidden="false" customHeight="true" outlineLevel="0" collapsed="false">
      <c r="A198" s="9" t="s">
        <v>267</v>
      </c>
      <c r="B198" s="10" t="str">
        <f aca="false">INDEX(Bases!$B$5:$B$83,$T198)</f>
        <v>Mage</v>
      </c>
      <c r="C198" s="10" t="str">
        <f aca="false">INDEX(Bases!$E$5:$E$83,$T198)</f>
        <v>Attaque (arme 1)</v>
      </c>
      <c r="D198" s="10" t="str">
        <f aca="false">INDEX(Bases!$F$5:$F$83,$T198)</f>
        <v>Attaque</v>
      </c>
      <c r="E198" s="11" t="str">
        <f aca="false">INDEX(Bases!$C$5:$C$83,$T198)</f>
        <v>Rayon arcanique</v>
      </c>
      <c r="F198" s="10" t="str">
        <f aca="false">INDEX(Éléments!$A$5:$A$14,$U198)</f>
        <v>Eau</v>
      </c>
      <c r="G198" s="12" t="str">
        <f aca="false">IF(OR($F198="Neutre",$C198="Passif"),$E198,INDEX(Bases!$D$5:$D$83,$T198)&amp;" "&amp;INDEX(Éléments!$D$5:$D$14,$U198))</f>
        <v>Rayon d'eau</v>
      </c>
      <c r="H198" s="10" t="str">
        <f aca="false">INDEX(Bases!$G$5:$G$83,$T198)</f>
        <v>Mono</v>
      </c>
      <c r="I198" s="13" t="n">
        <f aca="false">INDEX(Bases!$H$5:$H$83,$T198)</f>
        <v>1</v>
      </c>
      <c r="J198" s="10" t="str">
        <f aca="false">INDEX(Bases!$I$5:$I$83,$T198)</f>
        <v>Non</v>
      </c>
      <c r="K198" s="14" t="n">
        <f aca="false">INDEX(Bases!$J$5:$J$83,$T198)</f>
        <v>0.8</v>
      </c>
      <c r="L198" s="10" t="str">
        <f aca="false">INDEX(Bases!$K$5:$K$83,$T198)</f>
        <v>Magie</v>
      </c>
      <c r="M198" s="11" t="str">
        <f aca="false">INDEX(Bases!$L$5:$L$83,$T198)</f>
        <v>Deux impacts (2 × 40 %) : deux chances d'appliquer l'effet élémentaire.</v>
      </c>
      <c r="N198" s="11" t="str">
        <f aca="false">IF($C198="Passif","—",IF($C198="Attaque (arme 1)",INDEX(Éléments!$F$5:$F$14,$U198),INDEX(Éléments!$G$5:$G$14,$U198)))</f>
        <v>50 % : Mouillé (+25 % de dégâts d'Électricité subis, retire Brûlure, 3 tours).</v>
      </c>
      <c r="O198" s="10" t="str">
        <f aca="false">INDEX(Bases!$M$5:$M$83,$T198)</f>
        <v>Active</v>
      </c>
      <c r="P198" s="13" t="n">
        <f aca="false">INDEX(Bases!$N$5:$N$83,$T198)</f>
        <v>12</v>
      </c>
      <c r="Q198" s="15" t="n">
        <f aca="false">INDEX(Éléments!$C$5:$C$14,$U198)</f>
        <v>60</v>
      </c>
      <c r="R198" s="11" t="str">
        <f aca="false">"Niv. "&amp;$P198&amp;IF($Q198&gt;0," · étage "&amp;$Q198&amp;" terminé","")</f>
        <v>Niv. 12 · étage 60 terminé</v>
      </c>
      <c r="S198" s="14" t="n">
        <f aca="false">IF(ISNUMBER($I198),$K198*IF($H198="Zone",Paramètres!$B$8,1)/MAX(1,$I198),0)</f>
        <v>0.8</v>
      </c>
      <c r="T198" s="16" t="n">
        <v>27</v>
      </c>
      <c r="U198" s="16" t="n">
        <v>6</v>
      </c>
    </row>
    <row r="199" customFormat="false" ht="15" hidden="false" customHeight="true" outlineLevel="0" collapsed="false">
      <c r="A199" s="9" t="s">
        <v>268</v>
      </c>
      <c r="B199" s="10" t="str">
        <f aca="false">INDEX(Bases!$B$5:$B$83,$T199)</f>
        <v>Mage</v>
      </c>
      <c r="C199" s="10" t="str">
        <f aca="false">INDEX(Bases!$E$5:$E$83,$T199)</f>
        <v>Attaque (arme 1)</v>
      </c>
      <c r="D199" s="10" t="str">
        <f aca="false">INDEX(Bases!$F$5:$F$83,$T199)</f>
        <v>Attaque</v>
      </c>
      <c r="E199" s="11" t="str">
        <f aca="false">INDEX(Bases!$C$5:$C$83,$T199)</f>
        <v>Rayon arcanique</v>
      </c>
      <c r="F199" s="10" t="str">
        <f aca="false">INDEX(Éléments!$A$5:$A$14,$U199)</f>
        <v>Glace</v>
      </c>
      <c r="G199" s="12" t="str">
        <f aca="false">IF(OR($F199="Neutre",$C199="Passif"),$E199,INDEX(Bases!$D$5:$D$83,$T199)&amp;" "&amp;INDEX(Éléments!$D$5:$D$14,$U199))</f>
        <v>Rayon de glace</v>
      </c>
      <c r="H199" s="10" t="str">
        <f aca="false">INDEX(Bases!$G$5:$G$83,$T199)</f>
        <v>Mono</v>
      </c>
      <c r="I199" s="13" t="n">
        <f aca="false">INDEX(Bases!$H$5:$H$83,$T199)</f>
        <v>1</v>
      </c>
      <c r="J199" s="10" t="str">
        <f aca="false">INDEX(Bases!$I$5:$I$83,$T199)</f>
        <v>Non</v>
      </c>
      <c r="K199" s="14" t="n">
        <f aca="false">INDEX(Bases!$J$5:$J$83,$T199)</f>
        <v>0.8</v>
      </c>
      <c r="L199" s="10" t="str">
        <f aca="false">INDEX(Bases!$K$5:$K$83,$T199)</f>
        <v>Magie</v>
      </c>
      <c r="M199" s="11" t="str">
        <f aca="false">INDEX(Bases!$L$5:$L$83,$T199)</f>
        <v>Deux impacts (2 × 40 %) : deux chances d'appliquer l'effet élémentaire.</v>
      </c>
      <c r="N199" s="11" t="str">
        <f aca="false">IF($C199="Passif","—",IF($C199="Attaque (arme 1)",INDEX(Éléments!$F$5:$F$14,$U199),INDEX(Éléments!$G$5:$G$14,$U199)))</f>
        <v>40 % : 1 pile de Froid (−8 % Agilité ; à 3 piles : Gel, la cible perd 1 tour).</v>
      </c>
      <c r="O199" s="10" t="str">
        <f aca="false">INDEX(Bases!$M$5:$M$83,$T199)</f>
        <v>Active</v>
      </c>
      <c r="P199" s="13" t="n">
        <f aca="false">INDEX(Bases!$N$5:$N$83,$T199)</f>
        <v>12</v>
      </c>
      <c r="Q199" s="15" t="n">
        <f aca="false">INDEX(Éléments!$C$5:$C$14,$U199)</f>
        <v>70</v>
      </c>
      <c r="R199" s="11" t="str">
        <f aca="false">"Niv. "&amp;$P199&amp;IF($Q199&gt;0," · étage "&amp;$Q199&amp;" terminé","")</f>
        <v>Niv. 12 · étage 70 terminé</v>
      </c>
      <c r="S199" s="14" t="n">
        <f aca="false">IF(ISNUMBER($I199),$K199*IF($H199="Zone",Paramètres!$B$8,1)/MAX(1,$I199),0)</f>
        <v>0.8</v>
      </c>
      <c r="T199" s="16" t="n">
        <v>27</v>
      </c>
      <c r="U199" s="16" t="n">
        <v>7</v>
      </c>
    </row>
    <row r="200" customFormat="false" ht="15" hidden="false" customHeight="true" outlineLevel="0" collapsed="false">
      <c r="A200" s="9" t="s">
        <v>269</v>
      </c>
      <c r="B200" s="10" t="str">
        <f aca="false">INDEX(Bases!$B$5:$B$83,$T200)</f>
        <v>Mage</v>
      </c>
      <c r="C200" s="10" t="str">
        <f aca="false">INDEX(Bases!$E$5:$E$83,$T200)</f>
        <v>Attaque (arme 1)</v>
      </c>
      <c r="D200" s="10" t="str">
        <f aca="false">INDEX(Bases!$F$5:$F$83,$T200)</f>
        <v>Attaque</v>
      </c>
      <c r="E200" s="11" t="str">
        <f aca="false">INDEX(Bases!$C$5:$C$83,$T200)</f>
        <v>Rayon arcanique</v>
      </c>
      <c r="F200" s="10" t="str">
        <f aca="false">INDEX(Éléments!$A$5:$A$14,$U200)</f>
        <v>Électricité</v>
      </c>
      <c r="G200" s="12" t="str">
        <f aca="false">IF(OR($F200="Neutre",$C200="Passif"),$E200,INDEX(Bases!$D$5:$D$83,$T200)&amp;" "&amp;INDEX(Éléments!$D$5:$D$14,$U200))</f>
        <v>Rayon de foudre</v>
      </c>
      <c r="H200" s="10" t="str">
        <f aca="false">INDEX(Bases!$G$5:$G$83,$T200)</f>
        <v>Mono</v>
      </c>
      <c r="I200" s="13" t="n">
        <f aca="false">INDEX(Bases!$H$5:$H$83,$T200)</f>
        <v>1</v>
      </c>
      <c r="J200" s="10" t="str">
        <f aca="false">INDEX(Bases!$I$5:$I$83,$T200)</f>
        <v>Non</v>
      </c>
      <c r="K200" s="14" t="n">
        <f aca="false">INDEX(Bases!$J$5:$J$83,$T200)</f>
        <v>0.8</v>
      </c>
      <c r="L200" s="10" t="str">
        <f aca="false">INDEX(Bases!$K$5:$K$83,$T200)</f>
        <v>Magie</v>
      </c>
      <c r="M200" s="11" t="str">
        <f aca="false">INDEX(Bases!$L$5:$L$83,$T200)</f>
        <v>Deux impacts (2 × 40 %) : deux chances d'appliquer l'effet élémentaire.</v>
      </c>
      <c r="N200" s="11" t="str">
        <f aca="false">IF($C200="Passif","—",IF($C200="Attaque (arme 1)",INDEX(Éléments!$F$5:$F$14,$U200),INDEX(Éléments!$G$5:$G$14,$U200)))</f>
        <v>Rebondit sur 1 autre ennemi (40 % des dégâts) ; 10 % : Étourdissement (1 tour).</v>
      </c>
      <c r="O200" s="10" t="str">
        <f aca="false">INDEX(Bases!$M$5:$M$83,$T200)</f>
        <v>Active</v>
      </c>
      <c r="P200" s="13" t="n">
        <f aca="false">INDEX(Bases!$N$5:$N$83,$T200)</f>
        <v>12</v>
      </c>
      <c r="Q200" s="15" t="n">
        <f aca="false">INDEX(Éléments!$C$5:$C$14,$U200)</f>
        <v>80</v>
      </c>
      <c r="R200" s="11" t="str">
        <f aca="false">"Niv. "&amp;$P200&amp;IF($Q200&gt;0," · étage "&amp;$Q200&amp;" terminé","")</f>
        <v>Niv. 12 · étage 80 terminé</v>
      </c>
      <c r="S200" s="14" t="n">
        <f aca="false">IF(ISNUMBER($I200),$K200*IF($H200="Zone",Paramètres!$B$8,1)/MAX(1,$I200),0)</f>
        <v>0.8</v>
      </c>
      <c r="T200" s="16" t="n">
        <v>27</v>
      </c>
      <c r="U200" s="16" t="n">
        <v>8</v>
      </c>
    </row>
    <row r="201" customFormat="false" ht="15" hidden="false" customHeight="true" outlineLevel="0" collapsed="false">
      <c r="A201" s="9" t="s">
        <v>270</v>
      </c>
      <c r="B201" s="10" t="str">
        <f aca="false">INDEX(Bases!$B$5:$B$83,$T201)</f>
        <v>Mage</v>
      </c>
      <c r="C201" s="10" t="str">
        <f aca="false">INDEX(Bases!$E$5:$E$83,$T201)</f>
        <v>Attaque (arme 1)</v>
      </c>
      <c r="D201" s="10" t="str">
        <f aca="false">INDEX(Bases!$F$5:$F$83,$T201)</f>
        <v>Attaque</v>
      </c>
      <c r="E201" s="11" t="str">
        <f aca="false">INDEX(Bases!$C$5:$C$83,$T201)</f>
        <v>Rayon arcanique</v>
      </c>
      <c r="F201" s="10" t="str">
        <f aca="false">INDEX(Éléments!$A$5:$A$14,$U201)</f>
        <v>Lumière</v>
      </c>
      <c r="G201" s="12" t="str">
        <f aca="false">IF(OR($F201="Neutre",$C201="Passif"),$E201,INDEX(Bases!$D$5:$D$83,$T201)&amp;" "&amp;INDEX(Éléments!$D$5:$D$14,$U201))</f>
        <v>Rayon de lumière</v>
      </c>
      <c r="H201" s="10" t="str">
        <f aca="false">INDEX(Bases!$G$5:$G$83,$T201)</f>
        <v>Mono</v>
      </c>
      <c r="I201" s="13" t="n">
        <f aca="false">INDEX(Bases!$H$5:$H$83,$T201)</f>
        <v>1</v>
      </c>
      <c r="J201" s="10" t="str">
        <f aca="false">INDEX(Bases!$I$5:$I$83,$T201)</f>
        <v>Non</v>
      </c>
      <c r="K201" s="14" t="n">
        <f aca="false">INDEX(Bases!$J$5:$J$83,$T201)</f>
        <v>0.8</v>
      </c>
      <c r="L201" s="10" t="str">
        <f aca="false">INDEX(Bases!$K$5:$K$83,$T201)</f>
        <v>Magie</v>
      </c>
      <c r="M201" s="11" t="str">
        <f aca="false">INDEX(Bases!$L$5:$L$83,$T201)</f>
        <v>Deux impacts (2 × 40 %) : deux chances d'appliquer l'effet élémentaire.</v>
      </c>
      <c r="N201" s="11" t="str">
        <f aca="false">IF($C201="Passif","—",IF($C201="Attaque (arme 1)",INDEX(Éléments!$F$5:$F$14,$U201),INDEX(Éléments!$G$5:$G$14,$U201)))</f>
        <v>Soigne le lanceur de 5 % des dégâts infligés ; 25 % : Éblouissement (−20 % chance de critique, 2 tours).</v>
      </c>
      <c r="O201" s="10" t="str">
        <f aca="false">INDEX(Bases!$M$5:$M$83,$T201)</f>
        <v>Active</v>
      </c>
      <c r="P201" s="13" t="n">
        <f aca="false">INDEX(Bases!$N$5:$N$83,$T201)</f>
        <v>12</v>
      </c>
      <c r="Q201" s="15" t="n">
        <f aca="false">INDEX(Éléments!$C$5:$C$14,$U201)</f>
        <v>90</v>
      </c>
      <c r="R201" s="11" t="str">
        <f aca="false">"Niv. "&amp;$P201&amp;IF($Q201&gt;0," · étage "&amp;$Q201&amp;" terminé","")</f>
        <v>Niv. 12 · étage 90 terminé</v>
      </c>
      <c r="S201" s="14" t="n">
        <f aca="false">IF(ISNUMBER($I201),$K201*IF($H201="Zone",Paramètres!$B$8,1)/MAX(1,$I201),0)</f>
        <v>0.8</v>
      </c>
      <c r="T201" s="16" t="n">
        <v>27</v>
      </c>
      <c r="U201" s="16" t="n">
        <v>9</v>
      </c>
    </row>
    <row r="202" customFormat="false" ht="15" hidden="false" customHeight="true" outlineLevel="0" collapsed="false">
      <c r="A202" s="9" t="s">
        <v>271</v>
      </c>
      <c r="B202" s="10" t="str">
        <f aca="false">INDEX(Bases!$B$5:$B$83,$T202)</f>
        <v>Mage</v>
      </c>
      <c r="C202" s="10" t="str">
        <f aca="false">INDEX(Bases!$E$5:$E$83,$T202)</f>
        <v>Attaque (arme 1)</v>
      </c>
      <c r="D202" s="10" t="str">
        <f aca="false">INDEX(Bases!$F$5:$F$83,$T202)</f>
        <v>Attaque</v>
      </c>
      <c r="E202" s="11" t="str">
        <f aca="false">INDEX(Bases!$C$5:$C$83,$T202)</f>
        <v>Rayon arcanique</v>
      </c>
      <c r="F202" s="10" t="str">
        <f aca="false">INDEX(Éléments!$A$5:$A$14,$U202)</f>
        <v>Ombre</v>
      </c>
      <c r="G202" s="12" t="str">
        <f aca="false">IF(OR($F202="Neutre",$C202="Passif"),$E202,INDEX(Bases!$D$5:$D$83,$T202)&amp;" "&amp;INDEX(Éléments!$D$5:$D$14,$U202))</f>
        <v>Rayon d'ombre</v>
      </c>
      <c r="H202" s="10" t="str">
        <f aca="false">INDEX(Bases!$G$5:$G$83,$T202)</f>
        <v>Mono</v>
      </c>
      <c r="I202" s="13" t="n">
        <f aca="false">INDEX(Bases!$H$5:$H$83,$T202)</f>
        <v>1</v>
      </c>
      <c r="J202" s="10" t="str">
        <f aca="false">INDEX(Bases!$I$5:$I$83,$T202)</f>
        <v>Non</v>
      </c>
      <c r="K202" s="14" t="n">
        <f aca="false">INDEX(Bases!$J$5:$J$83,$T202)</f>
        <v>0.8</v>
      </c>
      <c r="L202" s="10" t="str">
        <f aca="false">INDEX(Bases!$K$5:$K$83,$T202)</f>
        <v>Magie</v>
      </c>
      <c r="M202" s="11" t="str">
        <f aca="false">INDEX(Bases!$L$5:$L$83,$T202)</f>
        <v>Deux impacts (2 × 40 %) : deux chances d'appliquer l'effet élémentaire.</v>
      </c>
      <c r="N202" s="11" t="str">
        <f aca="false">IF($C202="Passif","—",IF($C202="Attaque (arme 1)",INDEX(Éléments!$F$5:$F$14,$U202),INDEX(Éléments!$G$5:$G$14,$U202)))</f>
        <v>Vol de vie 5 % ; 30 % : Corruption (+10 % de dégâts subis, 2 tours).</v>
      </c>
      <c r="O202" s="10" t="str">
        <f aca="false">INDEX(Bases!$M$5:$M$83,$T202)</f>
        <v>Active</v>
      </c>
      <c r="P202" s="13" t="n">
        <f aca="false">INDEX(Bases!$N$5:$N$83,$T202)</f>
        <v>12</v>
      </c>
      <c r="Q202" s="15" t="n">
        <f aca="false">INDEX(Éléments!$C$5:$C$14,$U202)</f>
        <v>100</v>
      </c>
      <c r="R202" s="11" t="str">
        <f aca="false">"Niv. "&amp;$P202&amp;IF($Q202&gt;0," · étage "&amp;$Q202&amp;" terminé","")</f>
        <v>Niv. 12 · étage 100 terminé</v>
      </c>
      <c r="S202" s="14" t="n">
        <f aca="false">IF(ISNUMBER($I202),$K202*IF($H202="Zone",Paramètres!$B$8,1)/MAX(1,$I202),0)</f>
        <v>0.8</v>
      </c>
      <c r="T202" s="16" t="n">
        <v>27</v>
      </c>
      <c r="U202" s="16" t="n">
        <v>10</v>
      </c>
    </row>
    <row r="203" customFormat="false" ht="15" hidden="false" customHeight="true" outlineLevel="0" collapsed="false">
      <c r="A203" s="9" t="s">
        <v>272</v>
      </c>
      <c r="B203" s="10" t="str">
        <f aca="false">INDEX(Bases!$B$5:$B$83,$T203)</f>
        <v>Mage</v>
      </c>
      <c r="C203" s="10" t="str">
        <f aca="false">INDEX(Bases!$E$5:$E$83,$T203)</f>
        <v>Attaque (arme 1)</v>
      </c>
      <c r="D203" s="10" t="str">
        <f aca="false">INDEX(Bases!$F$5:$F$83,$T203)</f>
        <v>Attaque</v>
      </c>
      <c r="E203" s="11" t="str">
        <f aca="false">INDEX(Bases!$C$5:$C$83,$T203)</f>
        <v>Pluie arcanique</v>
      </c>
      <c r="F203" s="10" t="str">
        <f aca="false">INDEX(Éléments!$A$5:$A$14,$U203)</f>
        <v>Neutre</v>
      </c>
      <c r="G203" s="12" t="str">
        <f aca="false">IF(OR($F203="Neutre",$C203="Passif"),$E203,INDEX(Bases!$D$5:$D$83,$T203)&amp;" "&amp;INDEX(Éléments!$D$5:$D$14,$U203))</f>
        <v>Pluie arcanique</v>
      </c>
      <c r="H203" s="10" t="str">
        <f aca="false">INDEX(Bases!$G$5:$G$83,$T203)</f>
        <v>Zone</v>
      </c>
      <c r="I203" s="13" t="n">
        <f aca="false">INDEX(Bases!$H$5:$H$83,$T203)</f>
        <v>2</v>
      </c>
      <c r="J203" s="10" t="str">
        <f aca="false">INDEX(Bases!$I$5:$I$83,$T203)</f>
        <v>Non</v>
      </c>
      <c r="K203" s="14" t="n">
        <f aca="false">INDEX(Bases!$J$5:$J$83,$T203)</f>
        <v>0.7</v>
      </c>
      <c r="L203" s="10" t="str">
        <f aca="false">INDEX(Bases!$K$5:$K$83,$T203)</f>
        <v>Magie</v>
      </c>
      <c r="M203" s="11" t="str">
        <f aca="false">INDEX(Bases!$L$5:$L$83,$T203)</f>
        <v>Frappe toute la vague ; +50 % de chance d'appliquer l'effet élémentaire.</v>
      </c>
      <c r="N203" s="11" t="str">
        <f aca="false">IF($C203="Passif","—",IF($C203="Attaque (arme 1)",INDEX(Éléments!$F$5:$F$14,$U203),INDEX(Éléments!$G$5:$G$14,$U203)))</f>
        <v>Aucune altération ; ignore 10 % de la Résistance de la cible. Fiable contre tous les biomes.</v>
      </c>
      <c r="O203" s="10" t="str">
        <f aca="false">INDEX(Bases!$M$5:$M$83,$T203)</f>
        <v>Active</v>
      </c>
      <c r="P203" s="13" t="n">
        <f aca="false">INDEX(Bases!$N$5:$N$83,$T203)</f>
        <v>18</v>
      </c>
      <c r="Q203" s="15" t="n">
        <f aca="false">INDEX(Éléments!$C$5:$C$14,$U203)</f>
        <v>0</v>
      </c>
      <c r="R203" s="11" t="str">
        <f aca="false">"Niv. "&amp;$P203&amp;IF($Q203&gt;0," · étage "&amp;$Q203&amp;" terminé","")</f>
        <v>Niv. 18</v>
      </c>
      <c r="S203" s="14" t="n">
        <f aca="false">IF(ISNUMBER($I203),$K203*IF($H203="Zone",Paramètres!$B$8,1)/MAX(1,$I203),0)</f>
        <v>1.05</v>
      </c>
      <c r="T203" s="16" t="n">
        <v>28</v>
      </c>
      <c r="U203" s="16" t="n">
        <v>1</v>
      </c>
    </row>
    <row r="204" customFormat="false" ht="15" hidden="false" customHeight="true" outlineLevel="0" collapsed="false">
      <c r="A204" s="9" t="s">
        <v>273</v>
      </c>
      <c r="B204" s="10" t="str">
        <f aca="false">INDEX(Bases!$B$5:$B$83,$T204)</f>
        <v>Mage</v>
      </c>
      <c r="C204" s="10" t="str">
        <f aca="false">INDEX(Bases!$E$5:$E$83,$T204)</f>
        <v>Attaque (arme 1)</v>
      </c>
      <c r="D204" s="10" t="str">
        <f aca="false">INDEX(Bases!$F$5:$F$83,$T204)</f>
        <v>Attaque</v>
      </c>
      <c r="E204" s="11" t="str">
        <f aca="false">INDEX(Bases!$C$5:$C$83,$T204)</f>
        <v>Pluie arcanique</v>
      </c>
      <c r="F204" s="10" t="str">
        <f aca="false">INDEX(Éléments!$A$5:$A$14,$U204)</f>
        <v>Terre</v>
      </c>
      <c r="G204" s="12" t="str">
        <f aca="false">IF(OR($F204="Neutre",$C204="Passif"),$E204,INDEX(Bases!$D$5:$D$83,$T204)&amp;" "&amp;INDEX(Éléments!$D$5:$D$14,$U204))</f>
        <v>Pluie de pierre</v>
      </c>
      <c r="H204" s="10" t="str">
        <f aca="false">INDEX(Bases!$G$5:$G$83,$T204)</f>
        <v>Zone</v>
      </c>
      <c r="I204" s="13" t="n">
        <f aca="false">INDEX(Bases!$H$5:$H$83,$T204)</f>
        <v>2</v>
      </c>
      <c r="J204" s="10" t="str">
        <f aca="false">INDEX(Bases!$I$5:$I$83,$T204)</f>
        <v>Non</v>
      </c>
      <c r="K204" s="14" t="n">
        <f aca="false">INDEX(Bases!$J$5:$J$83,$T204)</f>
        <v>0.7</v>
      </c>
      <c r="L204" s="10" t="str">
        <f aca="false">INDEX(Bases!$K$5:$K$83,$T204)</f>
        <v>Magie</v>
      </c>
      <c r="M204" s="11" t="str">
        <f aca="false">INDEX(Bases!$L$5:$L$83,$T204)</f>
        <v>Frappe toute la vague ; +50 % de chance d'appliquer l'effet élémentaire.</v>
      </c>
      <c r="N204" s="11" t="str">
        <f aca="false">IF($C204="Passif","—",IF($C204="Attaque (arme 1)",INDEX(Éléments!$F$5:$F$14,$U204),INDEX(Éléments!$G$5:$G$14,$U204)))</f>
        <v>30 % : Garde brisée (−15 % Résistance, 2 tours).</v>
      </c>
      <c r="O204" s="10" t="str">
        <f aca="false">INDEX(Bases!$M$5:$M$83,$T204)</f>
        <v>Active</v>
      </c>
      <c r="P204" s="13" t="n">
        <f aca="false">INDEX(Bases!$N$5:$N$83,$T204)</f>
        <v>18</v>
      </c>
      <c r="Q204" s="15" t="n">
        <f aca="false">INDEX(Éléments!$C$5:$C$14,$U204)</f>
        <v>20</v>
      </c>
      <c r="R204" s="11" t="str">
        <f aca="false">"Niv. "&amp;$P204&amp;IF($Q204&gt;0," · étage "&amp;$Q204&amp;" terminé","")</f>
        <v>Niv. 18 · étage 20 terminé</v>
      </c>
      <c r="S204" s="14" t="n">
        <f aca="false">IF(ISNUMBER($I204),$K204*IF($H204="Zone",Paramètres!$B$8,1)/MAX(1,$I204),0)</f>
        <v>1.05</v>
      </c>
      <c r="T204" s="16" t="n">
        <v>28</v>
      </c>
      <c r="U204" s="16" t="n">
        <v>2</v>
      </c>
    </row>
    <row r="205" customFormat="false" ht="15" hidden="false" customHeight="true" outlineLevel="0" collapsed="false">
      <c r="A205" s="9" t="s">
        <v>274</v>
      </c>
      <c r="B205" s="10" t="str">
        <f aca="false">INDEX(Bases!$B$5:$B$83,$T205)</f>
        <v>Mage</v>
      </c>
      <c r="C205" s="10" t="str">
        <f aca="false">INDEX(Bases!$E$5:$E$83,$T205)</f>
        <v>Attaque (arme 1)</v>
      </c>
      <c r="D205" s="10" t="str">
        <f aca="false">INDEX(Bases!$F$5:$F$83,$T205)</f>
        <v>Attaque</v>
      </c>
      <c r="E205" s="11" t="str">
        <f aca="false">INDEX(Bases!$C$5:$C$83,$T205)</f>
        <v>Pluie arcanique</v>
      </c>
      <c r="F205" s="10" t="str">
        <f aca="false">INDEX(Éléments!$A$5:$A$14,$U205)</f>
        <v>Feu</v>
      </c>
      <c r="G205" s="12" t="str">
        <f aca="false">IF(OR($F205="Neutre",$C205="Passif"),$E205,INDEX(Bases!$D$5:$D$83,$T205)&amp;" "&amp;INDEX(Éléments!$D$5:$D$14,$U205))</f>
        <v>Pluie de feu</v>
      </c>
      <c r="H205" s="10" t="str">
        <f aca="false">INDEX(Bases!$G$5:$G$83,$T205)</f>
        <v>Zone</v>
      </c>
      <c r="I205" s="13" t="n">
        <f aca="false">INDEX(Bases!$H$5:$H$83,$T205)</f>
        <v>2</v>
      </c>
      <c r="J205" s="10" t="str">
        <f aca="false">INDEX(Bases!$I$5:$I$83,$T205)</f>
        <v>Non</v>
      </c>
      <c r="K205" s="14" t="n">
        <f aca="false">INDEX(Bases!$J$5:$J$83,$T205)</f>
        <v>0.7</v>
      </c>
      <c r="L205" s="10" t="str">
        <f aca="false">INDEX(Bases!$K$5:$K$83,$T205)</f>
        <v>Magie</v>
      </c>
      <c r="M205" s="11" t="str">
        <f aca="false">INDEX(Bases!$L$5:$L$83,$T205)</f>
        <v>Frappe toute la vague ; +50 % de chance d'appliquer l'effet élémentaire.</v>
      </c>
      <c r="N205" s="11" t="str">
        <f aca="false">IF($C205="Passif","—",IF($C205="Attaque (arme 1)",INDEX(Éléments!$F$5:$F$14,$U205),INDEX(Éléments!$G$5:$G$14,$U205)))</f>
        <v>35 % : Brûlure (8 % de la stat d'attaque par tour, 3 tours, non cumulable).</v>
      </c>
      <c r="O205" s="10" t="str">
        <f aca="false">INDEX(Bases!$M$5:$M$83,$T205)</f>
        <v>Active</v>
      </c>
      <c r="P205" s="13" t="n">
        <f aca="false">INDEX(Bases!$N$5:$N$83,$T205)</f>
        <v>18</v>
      </c>
      <c r="Q205" s="15" t="n">
        <f aca="false">INDEX(Éléments!$C$5:$C$14,$U205)</f>
        <v>30</v>
      </c>
      <c r="R205" s="11" t="str">
        <f aca="false">"Niv. "&amp;$P205&amp;IF($Q205&gt;0," · étage "&amp;$Q205&amp;" terminé","")</f>
        <v>Niv. 18 · étage 30 terminé</v>
      </c>
      <c r="S205" s="14" t="n">
        <f aca="false">IF(ISNUMBER($I205),$K205*IF($H205="Zone",Paramètres!$B$8,1)/MAX(1,$I205),0)</f>
        <v>1.05</v>
      </c>
      <c r="T205" s="16" t="n">
        <v>28</v>
      </c>
      <c r="U205" s="16" t="n">
        <v>3</v>
      </c>
    </row>
    <row r="206" customFormat="false" ht="15" hidden="false" customHeight="true" outlineLevel="0" collapsed="false">
      <c r="A206" s="9" t="s">
        <v>275</v>
      </c>
      <c r="B206" s="10" t="str">
        <f aca="false">INDEX(Bases!$B$5:$B$83,$T206)</f>
        <v>Mage</v>
      </c>
      <c r="C206" s="10" t="str">
        <f aca="false">INDEX(Bases!$E$5:$E$83,$T206)</f>
        <v>Attaque (arme 1)</v>
      </c>
      <c r="D206" s="10" t="str">
        <f aca="false">INDEX(Bases!$F$5:$F$83,$T206)</f>
        <v>Attaque</v>
      </c>
      <c r="E206" s="11" t="str">
        <f aca="false">INDEX(Bases!$C$5:$C$83,$T206)</f>
        <v>Pluie arcanique</v>
      </c>
      <c r="F206" s="10" t="str">
        <f aca="false">INDEX(Éléments!$A$5:$A$14,$U206)</f>
        <v>Vent</v>
      </c>
      <c r="G206" s="12" t="str">
        <f aca="false">IF(OR($F206="Neutre",$C206="Passif"),$E206,INDEX(Bases!$D$5:$D$83,$T206)&amp;" "&amp;INDEX(Éléments!$D$5:$D$14,$U206))</f>
        <v>Pluie de vent</v>
      </c>
      <c r="H206" s="10" t="str">
        <f aca="false">INDEX(Bases!$G$5:$G$83,$T206)</f>
        <v>Zone</v>
      </c>
      <c r="I206" s="13" t="n">
        <f aca="false">INDEX(Bases!$H$5:$H$83,$T206)</f>
        <v>2</v>
      </c>
      <c r="J206" s="10" t="str">
        <f aca="false">INDEX(Bases!$I$5:$I$83,$T206)</f>
        <v>Non</v>
      </c>
      <c r="K206" s="14" t="n">
        <f aca="false">INDEX(Bases!$J$5:$J$83,$T206)</f>
        <v>0.7</v>
      </c>
      <c r="L206" s="10" t="str">
        <f aca="false">INDEX(Bases!$K$5:$K$83,$T206)</f>
        <v>Magie</v>
      </c>
      <c r="M206" s="11" t="str">
        <f aca="false">INDEX(Bases!$L$5:$L$83,$T206)</f>
        <v>Frappe toute la vague ; +50 % de chance d'appliquer l'effet élémentaire.</v>
      </c>
      <c r="N206" s="11" t="str">
        <f aca="false">IF($C206="Passif","—",IF($C206="Attaque (arme 1)",INDEX(Éléments!$F$5:$F$14,$U206),INDEX(Éléments!$G$5:$G$14,$U206)))</f>
        <v>+10 % de chance de critique ; 30 % : Désorienté (−15 % Précision, 2 tours).</v>
      </c>
      <c r="O206" s="10" t="str">
        <f aca="false">INDEX(Bases!$M$5:$M$83,$T206)</f>
        <v>Active</v>
      </c>
      <c r="P206" s="13" t="n">
        <f aca="false">INDEX(Bases!$N$5:$N$83,$T206)</f>
        <v>18</v>
      </c>
      <c r="Q206" s="15" t="n">
        <f aca="false">INDEX(Éléments!$C$5:$C$14,$U206)</f>
        <v>40</v>
      </c>
      <c r="R206" s="11" t="str">
        <f aca="false">"Niv. "&amp;$P206&amp;IF($Q206&gt;0," · étage "&amp;$Q206&amp;" terminé","")</f>
        <v>Niv. 18 · étage 40 terminé</v>
      </c>
      <c r="S206" s="14" t="n">
        <f aca="false">IF(ISNUMBER($I206),$K206*IF($H206="Zone",Paramètres!$B$8,1)/MAX(1,$I206),0)</f>
        <v>1.05</v>
      </c>
      <c r="T206" s="16" t="n">
        <v>28</v>
      </c>
      <c r="U206" s="16" t="n">
        <v>4</v>
      </c>
    </row>
    <row r="207" customFormat="false" ht="15" hidden="false" customHeight="true" outlineLevel="0" collapsed="false">
      <c r="A207" s="9" t="s">
        <v>276</v>
      </c>
      <c r="B207" s="10" t="str">
        <f aca="false">INDEX(Bases!$B$5:$B$83,$T207)</f>
        <v>Mage</v>
      </c>
      <c r="C207" s="10" t="str">
        <f aca="false">INDEX(Bases!$E$5:$E$83,$T207)</f>
        <v>Attaque (arme 1)</v>
      </c>
      <c r="D207" s="10" t="str">
        <f aca="false">INDEX(Bases!$F$5:$F$83,$T207)</f>
        <v>Attaque</v>
      </c>
      <c r="E207" s="11" t="str">
        <f aca="false">INDEX(Bases!$C$5:$C$83,$T207)</f>
        <v>Pluie arcanique</v>
      </c>
      <c r="F207" s="10" t="str">
        <f aca="false">INDEX(Éléments!$A$5:$A$14,$U207)</f>
        <v>Acide</v>
      </c>
      <c r="G207" s="12" t="str">
        <f aca="false">IF(OR($F207="Neutre",$C207="Passif"),$E207,INDEX(Bases!$D$5:$D$83,$T207)&amp;" "&amp;INDEX(Éléments!$D$5:$D$14,$U207))</f>
        <v>Pluie d'acide</v>
      </c>
      <c r="H207" s="10" t="str">
        <f aca="false">INDEX(Bases!$G$5:$G$83,$T207)</f>
        <v>Zone</v>
      </c>
      <c r="I207" s="13" t="n">
        <f aca="false">INDEX(Bases!$H$5:$H$83,$T207)</f>
        <v>2</v>
      </c>
      <c r="J207" s="10" t="str">
        <f aca="false">INDEX(Bases!$I$5:$I$83,$T207)</f>
        <v>Non</v>
      </c>
      <c r="K207" s="14" t="n">
        <f aca="false">INDEX(Bases!$J$5:$J$83,$T207)</f>
        <v>0.7</v>
      </c>
      <c r="L207" s="10" t="str">
        <f aca="false">INDEX(Bases!$K$5:$K$83,$T207)</f>
        <v>Magie</v>
      </c>
      <c r="M207" s="11" t="str">
        <f aca="false">INDEX(Bases!$L$5:$L$83,$T207)</f>
        <v>Frappe toute la vague ; +50 % de chance d'appliquer l'effet élémentaire.</v>
      </c>
      <c r="N207" s="11" t="str">
        <f aca="false">IF($C207="Passif","—",IF($C207="Attaque (arme 1)",INDEX(Éléments!$F$5:$F$14,$U207),INDEX(Éléments!$G$5:$G$14,$U207)))</f>
        <v>50 % : 1 pile de Corrosion (−5 % Armure par pile, 4 piles max, 3 tours).</v>
      </c>
      <c r="O207" s="10" t="str">
        <f aca="false">INDEX(Bases!$M$5:$M$83,$T207)</f>
        <v>Active</v>
      </c>
      <c r="P207" s="13" t="n">
        <f aca="false">INDEX(Bases!$N$5:$N$83,$T207)</f>
        <v>18</v>
      </c>
      <c r="Q207" s="15" t="n">
        <f aca="false">INDEX(Éléments!$C$5:$C$14,$U207)</f>
        <v>50</v>
      </c>
      <c r="R207" s="11" t="str">
        <f aca="false">"Niv. "&amp;$P207&amp;IF($Q207&gt;0," · étage "&amp;$Q207&amp;" terminé","")</f>
        <v>Niv. 18 · étage 50 terminé</v>
      </c>
      <c r="S207" s="14" t="n">
        <f aca="false">IF(ISNUMBER($I207),$K207*IF($H207="Zone",Paramètres!$B$8,1)/MAX(1,$I207),0)</f>
        <v>1.05</v>
      </c>
      <c r="T207" s="16" t="n">
        <v>28</v>
      </c>
      <c r="U207" s="16" t="n">
        <v>5</v>
      </c>
    </row>
    <row r="208" customFormat="false" ht="15" hidden="false" customHeight="true" outlineLevel="0" collapsed="false">
      <c r="A208" s="9" t="s">
        <v>277</v>
      </c>
      <c r="B208" s="10" t="str">
        <f aca="false">INDEX(Bases!$B$5:$B$83,$T208)</f>
        <v>Mage</v>
      </c>
      <c r="C208" s="10" t="str">
        <f aca="false">INDEX(Bases!$E$5:$E$83,$T208)</f>
        <v>Attaque (arme 1)</v>
      </c>
      <c r="D208" s="10" t="str">
        <f aca="false">INDEX(Bases!$F$5:$F$83,$T208)</f>
        <v>Attaque</v>
      </c>
      <c r="E208" s="11" t="str">
        <f aca="false">INDEX(Bases!$C$5:$C$83,$T208)</f>
        <v>Pluie arcanique</v>
      </c>
      <c r="F208" s="10" t="str">
        <f aca="false">INDEX(Éléments!$A$5:$A$14,$U208)</f>
        <v>Eau</v>
      </c>
      <c r="G208" s="12" t="str">
        <f aca="false">IF(OR($F208="Neutre",$C208="Passif"),$E208,INDEX(Bases!$D$5:$D$83,$T208)&amp;" "&amp;INDEX(Éléments!$D$5:$D$14,$U208))</f>
        <v>Pluie d'eau</v>
      </c>
      <c r="H208" s="10" t="str">
        <f aca="false">INDEX(Bases!$G$5:$G$83,$T208)</f>
        <v>Zone</v>
      </c>
      <c r="I208" s="13" t="n">
        <f aca="false">INDEX(Bases!$H$5:$H$83,$T208)</f>
        <v>2</v>
      </c>
      <c r="J208" s="10" t="str">
        <f aca="false">INDEX(Bases!$I$5:$I$83,$T208)</f>
        <v>Non</v>
      </c>
      <c r="K208" s="14" t="n">
        <f aca="false">INDEX(Bases!$J$5:$J$83,$T208)</f>
        <v>0.7</v>
      </c>
      <c r="L208" s="10" t="str">
        <f aca="false">INDEX(Bases!$K$5:$K$83,$T208)</f>
        <v>Magie</v>
      </c>
      <c r="M208" s="11" t="str">
        <f aca="false">INDEX(Bases!$L$5:$L$83,$T208)</f>
        <v>Frappe toute la vague ; +50 % de chance d'appliquer l'effet élémentaire.</v>
      </c>
      <c r="N208" s="11" t="str">
        <f aca="false">IF($C208="Passif","—",IF($C208="Attaque (arme 1)",INDEX(Éléments!$F$5:$F$14,$U208),INDEX(Éléments!$G$5:$G$14,$U208)))</f>
        <v>50 % : Mouillé (+25 % de dégâts d'Électricité subis, retire Brûlure, 3 tours).</v>
      </c>
      <c r="O208" s="10" t="str">
        <f aca="false">INDEX(Bases!$M$5:$M$83,$T208)</f>
        <v>Active</v>
      </c>
      <c r="P208" s="13" t="n">
        <f aca="false">INDEX(Bases!$N$5:$N$83,$T208)</f>
        <v>18</v>
      </c>
      <c r="Q208" s="15" t="n">
        <f aca="false">INDEX(Éléments!$C$5:$C$14,$U208)</f>
        <v>60</v>
      </c>
      <c r="R208" s="11" t="str">
        <f aca="false">"Niv. "&amp;$P208&amp;IF($Q208&gt;0," · étage "&amp;$Q208&amp;" terminé","")</f>
        <v>Niv. 18 · étage 60 terminé</v>
      </c>
      <c r="S208" s="14" t="n">
        <f aca="false">IF(ISNUMBER($I208),$K208*IF($H208="Zone",Paramètres!$B$8,1)/MAX(1,$I208),0)</f>
        <v>1.05</v>
      </c>
      <c r="T208" s="16" t="n">
        <v>28</v>
      </c>
      <c r="U208" s="16" t="n">
        <v>6</v>
      </c>
    </row>
    <row r="209" customFormat="false" ht="15" hidden="false" customHeight="true" outlineLevel="0" collapsed="false">
      <c r="A209" s="9" t="s">
        <v>278</v>
      </c>
      <c r="B209" s="10" t="str">
        <f aca="false">INDEX(Bases!$B$5:$B$83,$T209)</f>
        <v>Mage</v>
      </c>
      <c r="C209" s="10" t="str">
        <f aca="false">INDEX(Bases!$E$5:$E$83,$T209)</f>
        <v>Attaque (arme 1)</v>
      </c>
      <c r="D209" s="10" t="str">
        <f aca="false">INDEX(Bases!$F$5:$F$83,$T209)</f>
        <v>Attaque</v>
      </c>
      <c r="E209" s="11" t="str">
        <f aca="false">INDEX(Bases!$C$5:$C$83,$T209)</f>
        <v>Pluie arcanique</v>
      </c>
      <c r="F209" s="10" t="str">
        <f aca="false">INDEX(Éléments!$A$5:$A$14,$U209)</f>
        <v>Glace</v>
      </c>
      <c r="G209" s="12" t="str">
        <f aca="false">IF(OR($F209="Neutre",$C209="Passif"),$E209,INDEX(Bases!$D$5:$D$83,$T209)&amp;" "&amp;INDEX(Éléments!$D$5:$D$14,$U209))</f>
        <v>Pluie de glace</v>
      </c>
      <c r="H209" s="10" t="str">
        <f aca="false">INDEX(Bases!$G$5:$G$83,$T209)</f>
        <v>Zone</v>
      </c>
      <c r="I209" s="13" t="n">
        <f aca="false">INDEX(Bases!$H$5:$H$83,$T209)</f>
        <v>2</v>
      </c>
      <c r="J209" s="10" t="str">
        <f aca="false">INDEX(Bases!$I$5:$I$83,$T209)</f>
        <v>Non</v>
      </c>
      <c r="K209" s="14" t="n">
        <f aca="false">INDEX(Bases!$J$5:$J$83,$T209)</f>
        <v>0.7</v>
      </c>
      <c r="L209" s="10" t="str">
        <f aca="false">INDEX(Bases!$K$5:$K$83,$T209)</f>
        <v>Magie</v>
      </c>
      <c r="M209" s="11" t="str">
        <f aca="false">INDEX(Bases!$L$5:$L$83,$T209)</f>
        <v>Frappe toute la vague ; +50 % de chance d'appliquer l'effet élémentaire.</v>
      </c>
      <c r="N209" s="11" t="str">
        <f aca="false">IF($C209="Passif","—",IF($C209="Attaque (arme 1)",INDEX(Éléments!$F$5:$F$14,$U209),INDEX(Éléments!$G$5:$G$14,$U209)))</f>
        <v>40 % : 1 pile de Froid (−8 % Agilité ; à 3 piles : Gel, la cible perd 1 tour).</v>
      </c>
      <c r="O209" s="10" t="str">
        <f aca="false">INDEX(Bases!$M$5:$M$83,$T209)</f>
        <v>Active</v>
      </c>
      <c r="P209" s="13" t="n">
        <f aca="false">INDEX(Bases!$N$5:$N$83,$T209)</f>
        <v>18</v>
      </c>
      <c r="Q209" s="15" t="n">
        <f aca="false">INDEX(Éléments!$C$5:$C$14,$U209)</f>
        <v>70</v>
      </c>
      <c r="R209" s="11" t="str">
        <f aca="false">"Niv. "&amp;$P209&amp;IF($Q209&gt;0," · étage "&amp;$Q209&amp;" terminé","")</f>
        <v>Niv. 18 · étage 70 terminé</v>
      </c>
      <c r="S209" s="14" t="n">
        <f aca="false">IF(ISNUMBER($I209),$K209*IF($H209="Zone",Paramètres!$B$8,1)/MAX(1,$I209),0)</f>
        <v>1.05</v>
      </c>
      <c r="T209" s="16" t="n">
        <v>28</v>
      </c>
      <c r="U209" s="16" t="n">
        <v>7</v>
      </c>
    </row>
    <row r="210" customFormat="false" ht="15" hidden="false" customHeight="true" outlineLevel="0" collapsed="false">
      <c r="A210" s="9" t="s">
        <v>279</v>
      </c>
      <c r="B210" s="10" t="str">
        <f aca="false">INDEX(Bases!$B$5:$B$83,$T210)</f>
        <v>Mage</v>
      </c>
      <c r="C210" s="10" t="str">
        <f aca="false">INDEX(Bases!$E$5:$E$83,$T210)</f>
        <v>Attaque (arme 1)</v>
      </c>
      <c r="D210" s="10" t="str">
        <f aca="false">INDEX(Bases!$F$5:$F$83,$T210)</f>
        <v>Attaque</v>
      </c>
      <c r="E210" s="11" t="str">
        <f aca="false">INDEX(Bases!$C$5:$C$83,$T210)</f>
        <v>Pluie arcanique</v>
      </c>
      <c r="F210" s="10" t="str">
        <f aca="false">INDEX(Éléments!$A$5:$A$14,$U210)</f>
        <v>Électricité</v>
      </c>
      <c r="G210" s="12" t="str">
        <f aca="false">IF(OR($F210="Neutre",$C210="Passif"),$E210,INDEX(Bases!$D$5:$D$83,$T210)&amp;" "&amp;INDEX(Éléments!$D$5:$D$14,$U210))</f>
        <v>Pluie de foudre</v>
      </c>
      <c r="H210" s="10" t="str">
        <f aca="false">INDEX(Bases!$G$5:$G$83,$T210)</f>
        <v>Zone</v>
      </c>
      <c r="I210" s="13" t="n">
        <f aca="false">INDEX(Bases!$H$5:$H$83,$T210)</f>
        <v>2</v>
      </c>
      <c r="J210" s="10" t="str">
        <f aca="false">INDEX(Bases!$I$5:$I$83,$T210)</f>
        <v>Non</v>
      </c>
      <c r="K210" s="14" t="n">
        <f aca="false">INDEX(Bases!$J$5:$J$83,$T210)</f>
        <v>0.7</v>
      </c>
      <c r="L210" s="10" t="str">
        <f aca="false">INDEX(Bases!$K$5:$K$83,$T210)</f>
        <v>Magie</v>
      </c>
      <c r="M210" s="11" t="str">
        <f aca="false">INDEX(Bases!$L$5:$L$83,$T210)</f>
        <v>Frappe toute la vague ; +50 % de chance d'appliquer l'effet élémentaire.</v>
      </c>
      <c r="N210" s="11" t="str">
        <f aca="false">IF($C210="Passif","—",IF($C210="Attaque (arme 1)",INDEX(Éléments!$F$5:$F$14,$U210),INDEX(Éléments!$G$5:$G$14,$U210)))</f>
        <v>Rebondit sur 1 autre ennemi (40 % des dégâts) ; 10 % : Étourdissement (1 tour).</v>
      </c>
      <c r="O210" s="10" t="str">
        <f aca="false">INDEX(Bases!$M$5:$M$83,$T210)</f>
        <v>Active</v>
      </c>
      <c r="P210" s="13" t="n">
        <f aca="false">INDEX(Bases!$N$5:$N$83,$T210)</f>
        <v>18</v>
      </c>
      <c r="Q210" s="15" t="n">
        <f aca="false">INDEX(Éléments!$C$5:$C$14,$U210)</f>
        <v>80</v>
      </c>
      <c r="R210" s="11" t="str">
        <f aca="false">"Niv. "&amp;$P210&amp;IF($Q210&gt;0," · étage "&amp;$Q210&amp;" terminé","")</f>
        <v>Niv. 18 · étage 80 terminé</v>
      </c>
      <c r="S210" s="14" t="n">
        <f aca="false">IF(ISNUMBER($I210),$K210*IF($H210="Zone",Paramètres!$B$8,1)/MAX(1,$I210),0)</f>
        <v>1.05</v>
      </c>
      <c r="T210" s="16" t="n">
        <v>28</v>
      </c>
      <c r="U210" s="16" t="n">
        <v>8</v>
      </c>
    </row>
    <row r="211" customFormat="false" ht="15" hidden="false" customHeight="true" outlineLevel="0" collapsed="false">
      <c r="A211" s="9" t="s">
        <v>280</v>
      </c>
      <c r="B211" s="10" t="str">
        <f aca="false">INDEX(Bases!$B$5:$B$83,$T211)</f>
        <v>Mage</v>
      </c>
      <c r="C211" s="10" t="str">
        <f aca="false">INDEX(Bases!$E$5:$E$83,$T211)</f>
        <v>Attaque (arme 1)</v>
      </c>
      <c r="D211" s="10" t="str">
        <f aca="false">INDEX(Bases!$F$5:$F$83,$T211)</f>
        <v>Attaque</v>
      </c>
      <c r="E211" s="11" t="str">
        <f aca="false">INDEX(Bases!$C$5:$C$83,$T211)</f>
        <v>Pluie arcanique</v>
      </c>
      <c r="F211" s="10" t="str">
        <f aca="false">INDEX(Éléments!$A$5:$A$14,$U211)</f>
        <v>Lumière</v>
      </c>
      <c r="G211" s="12" t="str">
        <f aca="false">IF(OR($F211="Neutre",$C211="Passif"),$E211,INDEX(Bases!$D$5:$D$83,$T211)&amp;" "&amp;INDEX(Éléments!$D$5:$D$14,$U211))</f>
        <v>Pluie de lumière</v>
      </c>
      <c r="H211" s="10" t="str">
        <f aca="false">INDEX(Bases!$G$5:$G$83,$T211)</f>
        <v>Zone</v>
      </c>
      <c r="I211" s="13" t="n">
        <f aca="false">INDEX(Bases!$H$5:$H$83,$T211)</f>
        <v>2</v>
      </c>
      <c r="J211" s="10" t="str">
        <f aca="false">INDEX(Bases!$I$5:$I$83,$T211)</f>
        <v>Non</v>
      </c>
      <c r="K211" s="14" t="n">
        <f aca="false">INDEX(Bases!$J$5:$J$83,$T211)</f>
        <v>0.7</v>
      </c>
      <c r="L211" s="10" t="str">
        <f aca="false">INDEX(Bases!$K$5:$K$83,$T211)</f>
        <v>Magie</v>
      </c>
      <c r="M211" s="11" t="str">
        <f aca="false">INDEX(Bases!$L$5:$L$83,$T211)</f>
        <v>Frappe toute la vague ; +50 % de chance d'appliquer l'effet élémentaire.</v>
      </c>
      <c r="N211" s="11" t="str">
        <f aca="false">IF($C211="Passif","—",IF($C211="Attaque (arme 1)",INDEX(Éléments!$F$5:$F$14,$U211),INDEX(Éléments!$G$5:$G$14,$U211)))</f>
        <v>Soigne le lanceur de 5 % des dégâts infligés ; 25 % : Éblouissement (−20 % chance de critique, 2 tours).</v>
      </c>
      <c r="O211" s="10" t="str">
        <f aca="false">INDEX(Bases!$M$5:$M$83,$T211)</f>
        <v>Active</v>
      </c>
      <c r="P211" s="13" t="n">
        <f aca="false">INDEX(Bases!$N$5:$N$83,$T211)</f>
        <v>18</v>
      </c>
      <c r="Q211" s="15" t="n">
        <f aca="false">INDEX(Éléments!$C$5:$C$14,$U211)</f>
        <v>90</v>
      </c>
      <c r="R211" s="11" t="str">
        <f aca="false">"Niv. "&amp;$P211&amp;IF($Q211&gt;0," · étage "&amp;$Q211&amp;" terminé","")</f>
        <v>Niv. 18 · étage 90 terminé</v>
      </c>
      <c r="S211" s="14" t="n">
        <f aca="false">IF(ISNUMBER($I211),$K211*IF($H211="Zone",Paramètres!$B$8,1)/MAX(1,$I211),0)</f>
        <v>1.05</v>
      </c>
      <c r="T211" s="16" t="n">
        <v>28</v>
      </c>
      <c r="U211" s="16" t="n">
        <v>9</v>
      </c>
    </row>
    <row r="212" customFormat="false" ht="15" hidden="false" customHeight="true" outlineLevel="0" collapsed="false">
      <c r="A212" s="9" t="s">
        <v>281</v>
      </c>
      <c r="B212" s="10" t="str">
        <f aca="false">INDEX(Bases!$B$5:$B$83,$T212)</f>
        <v>Mage</v>
      </c>
      <c r="C212" s="10" t="str">
        <f aca="false">INDEX(Bases!$E$5:$E$83,$T212)</f>
        <v>Attaque (arme 1)</v>
      </c>
      <c r="D212" s="10" t="str">
        <f aca="false">INDEX(Bases!$F$5:$F$83,$T212)</f>
        <v>Attaque</v>
      </c>
      <c r="E212" s="11" t="str">
        <f aca="false">INDEX(Bases!$C$5:$C$83,$T212)</f>
        <v>Pluie arcanique</v>
      </c>
      <c r="F212" s="10" t="str">
        <f aca="false">INDEX(Éléments!$A$5:$A$14,$U212)</f>
        <v>Ombre</v>
      </c>
      <c r="G212" s="12" t="str">
        <f aca="false">IF(OR($F212="Neutre",$C212="Passif"),$E212,INDEX(Bases!$D$5:$D$83,$T212)&amp;" "&amp;INDEX(Éléments!$D$5:$D$14,$U212))</f>
        <v>Pluie d'ombre</v>
      </c>
      <c r="H212" s="10" t="str">
        <f aca="false">INDEX(Bases!$G$5:$G$83,$T212)</f>
        <v>Zone</v>
      </c>
      <c r="I212" s="13" t="n">
        <f aca="false">INDEX(Bases!$H$5:$H$83,$T212)</f>
        <v>2</v>
      </c>
      <c r="J212" s="10" t="str">
        <f aca="false">INDEX(Bases!$I$5:$I$83,$T212)</f>
        <v>Non</v>
      </c>
      <c r="K212" s="14" t="n">
        <f aca="false">INDEX(Bases!$J$5:$J$83,$T212)</f>
        <v>0.7</v>
      </c>
      <c r="L212" s="10" t="str">
        <f aca="false">INDEX(Bases!$K$5:$K$83,$T212)</f>
        <v>Magie</v>
      </c>
      <c r="M212" s="11" t="str">
        <f aca="false">INDEX(Bases!$L$5:$L$83,$T212)</f>
        <v>Frappe toute la vague ; +50 % de chance d'appliquer l'effet élémentaire.</v>
      </c>
      <c r="N212" s="11" t="str">
        <f aca="false">IF($C212="Passif","—",IF($C212="Attaque (arme 1)",INDEX(Éléments!$F$5:$F$14,$U212),INDEX(Éléments!$G$5:$G$14,$U212)))</f>
        <v>Vol de vie 5 % ; 30 % : Corruption (+10 % de dégâts subis, 2 tours).</v>
      </c>
      <c r="O212" s="10" t="str">
        <f aca="false">INDEX(Bases!$M$5:$M$83,$T212)</f>
        <v>Active</v>
      </c>
      <c r="P212" s="13" t="n">
        <f aca="false">INDEX(Bases!$N$5:$N$83,$T212)</f>
        <v>18</v>
      </c>
      <c r="Q212" s="15" t="n">
        <f aca="false">INDEX(Éléments!$C$5:$C$14,$U212)</f>
        <v>100</v>
      </c>
      <c r="R212" s="11" t="str">
        <f aca="false">"Niv. "&amp;$P212&amp;IF($Q212&gt;0," · étage "&amp;$Q212&amp;" terminé","")</f>
        <v>Niv. 18 · étage 100 terminé</v>
      </c>
      <c r="S212" s="14" t="n">
        <f aca="false">IF(ISNUMBER($I212),$K212*IF($H212="Zone",Paramètres!$B$8,1)/MAX(1,$I212),0)</f>
        <v>1.05</v>
      </c>
      <c r="T212" s="16" t="n">
        <v>28</v>
      </c>
      <c r="U212" s="16" t="n">
        <v>10</v>
      </c>
    </row>
    <row r="213" customFormat="false" ht="15" hidden="false" customHeight="true" outlineLevel="0" collapsed="false">
      <c r="A213" s="9" t="s">
        <v>282</v>
      </c>
      <c r="B213" s="10" t="str">
        <f aca="false">INDEX(Bases!$B$5:$B$83,$T213)</f>
        <v>Mage</v>
      </c>
      <c r="C213" s="10" t="str">
        <f aca="false">INDEX(Bases!$E$5:$E$83,$T213)</f>
        <v>Attaque (arme 1)</v>
      </c>
      <c r="D213" s="10" t="str">
        <f aca="false">INDEX(Bases!$F$5:$F$83,$T213)</f>
        <v>Attaque</v>
      </c>
      <c r="E213" s="11" t="str">
        <f aca="false">INDEX(Bases!$C$5:$C$83,$T213)</f>
        <v>Nova arcanique</v>
      </c>
      <c r="F213" s="10" t="str">
        <f aca="false">INDEX(Éléments!$A$5:$A$14,$U213)</f>
        <v>Neutre</v>
      </c>
      <c r="G213" s="12" t="str">
        <f aca="false">IF(OR($F213="Neutre",$C213="Passif"),$E213,INDEX(Bases!$D$5:$D$83,$T213)&amp;" "&amp;INDEX(Éléments!$D$5:$D$14,$U213))</f>
        <v>Nova arcanique</v>
      </c>
      <c r="H213" s="10" t="str">
        <f aca="false">INDEX(Bases!$G$5:$G$83,$T213)</f>
        <v>Zone</v>
      </c>
      <c r="I213" s="13" t="n">
        <f aca="false">INDEX(Bases!$H$5:$H$83,$T213)</f>
        <v>2</v>
      </c>
      <c r="J213" s="10" t="str">
        <f aca="false">INDEX(Bases!$I$5:$I$83,$T213)</f>
        <v>Non</v>
      </c>
      <c r="K213" s="14" t="n">
        <f aca="false">INDEX(Bases!$J$5:$J$83,$T213)</f>
        <v>0.95</v>
      </c>
      <c r="L213" s="10" t="str">
        <f aca="false">INDEX(Bases!$K$5:$K$83,$T213)</f>
        <v>Magie</v>
      </c>
      <c r="M213" s="11" t="str">
        <f aca="false">INDEX(Bases!$L$5:$L$83,$T213)</f>
        <v>Frappe toute la vague ; les ennemis touchés infligent −10 % de dégâts (1 tour).</v>
      </c>
      <c r="N213" s="11" t="str">
        <f aca="false">IF($C213="Passif","—",IF($C213="Attaque (arme 1)",INDEX(Éléments!$F$5:$F$14,$U213),INDEX(Éléments!$G$5:$G$14,$U213)))</f>
        <v>Aucune altération ; ignore 10 % de la Résistance de la cible. Fiable contre tous les biomes.</v>
      </c>
      <c r="O213" s="10" t="str">
        <f aca="false">INDEX(Bases!$M$5:$M$83,$T213)</f>
        <v>Active</v>
      </c>
      <c r="P213" s="13" t="n">
        <f aca="false">INDEX(Bases!$N$5:$N$83,$T213)</f>
        <v>25</v>
      </c>
      <c r="Q213" s="15" t="n">
        <f aca="false">INDEX(Éléments!$C$5:$C$14,$U213)</f>
        <v>0</v>
      </c>
      <c r="R213" s="11" t="str">
        <f aca="false">"Niv. "&amp;$P213&amp;IF($Q213&gt;0," · étage "&amp;$Q213&amp;" terminé","")</f>
        <v>Niv. 25</v>
      </c>
      <c r="S213" s="14" t="n">
        <f aca="false">IF(ISNUMBER($I213),$K213*IF($H213="Zone",Paramètres!$B$8,1)/MAX(1,$I213),0)</f>
        <v>1.425</v>
      </c>
      <c r="T213" s="16" t="n">
        <v>29</v>
      </c>
      <c r="U213" s="16" t="n">
        <v>1</v>
      </c>
    </row>
    <row r="214" customFormat="false" ht="15" hidden="false" customHeight="true" outlineLevel="0" collapsed="false">
      <c r="A214" s="9" t="s">
        <v>283</v>
      </c>
      <c r="B214" s="10" t="str">
        <f aca="false">INDEX(Bases!$B$5:$B$83,$T214)</f>
        <v>Mage</v>
      </c>
      <c r="C214" s="10" t="str">
        <f aca="false">INDEX(Bases!$E$5:$E$83,$T214)</f>
        <v>Attaque (arme 1)</v>
      </c>
      <c r="D214" s="10" t="str">
        <f aca="false">INDEX(Bases!$F$5:$F$83,$T214)</f>
        <v>Attaque</v>
      </c>
      <c r="E214" s="11" t="str">
        <f aca="false">INDEX(Bases!$C$5:$C$83,$T214)</f>
        <v>Nova arcanique</v>
      </c>
      <c r="F214" s="10" t="str">
        <f aca="false">INDEX(Éléments!$A$5:$A$14,$U214)</f>
        <v>Terre</v>
      </c>
      <c r="G214" s="12" t="str">
        <f aca="false">IF(OR($F214="Neutre",$C214="Passif"),$E214,INDEX(Bases!$D$5:$D$83,$T214)&amp;" "&amp;INDEX(Éléments!$D$5:$D$14,$U214))</f>
        <v>Nova de pierre</v>
      </c>
      <c r="H214" s="10" t="str">
        <f aca="false">INDEX(Bases!$G$5:$G$83,$T214)</f>
        <v>Zone</v>
      </c>
      <c r="I214" s="13" t="n">
        <f aca="false">INDEX(Bases!$H$5:$H$83,$T214)</f>
        <v>2</v>
      </c>
      <c r="J214" s="10" t="str">
        <f aca="false">INDEX(Bases!$I$5:$I$83,$T214)</f>
        <v>Non</v>
      </c>
      <c r="K214" s="14" t="n">
        <f aca="false">INDEX(Bases!$J$5:$J$83,$T214)</f>
        <v>0.95</v>
      </c>
      <c r="L214" s="10" t="str">
        <f aca="false">INDEX(Bases!$K$5:$K$83,$T214)</f>
        <v>Magie</v>
      </c>
      <c r="M214" s="11" t="str">
        <f aca="false">INDEX(Bases!$L$5:$L$83,$T214)</f>
        <v>Frappe toute la vague ; les ennemis touchés infligent −10 % de dégâts (1 tour).</v>
      </c>
      <c r="N214" s="11" t="str">
        <f aca="false">IF($C214="Passif","—",IF($C214="Attaque (arme 1)",INDEX(Éléments!$F$5:$F$14,$U214),INDEX(Éléments!$G$5:$G$14,$U214)))</f>
        <v>30 % : Garde brisée (−15 % Résistance, 2 tours).</v>
      </c>
      <c r="O214" s="10" t="str">
        <f aca="false">INDEX(Bases!$M$5:$M$83,$T214)</f>
        <v>Active</v>
      </c>
      <c r="P214" s="13" t="n">
        <f aca="false">INDEX(Bases!$N$5:$N$83,$T214)</f>
        <v>25</v>
      </c>
      <c r="Q214" s="15" t="n">
        <f aca="false">INDEX(Éléments!$C$5:$C$14,$U214)</f>
        <v>20</v>
      </c>
      <c r="R214" s="11" t="str">
        <f aca="false">"Niv. "&amp;$P214&amp;IF($Q214&gt;0," · étage "&amp;$Q214&amp;" terminé","")</f>
        <v>Niv. 25 · étage 20 terminé</v>
      </c>
      <c r="S214" s="14" t="n">
        <f aca="false">IF(ISNUMBER($I214),$K214*IF($H214="Zone",Paramètres!$B$8,1)/MAX(1,$I214),0)</f>
        <v>1.425</v>
      </c>
      <c r="T214" s="16" t="n">
        <v>29</v>
      </c>
      <c r="U214" s="16" t="n">
        <v>2</v>
      </c>
    </row>
    <row r="215" customFormat="false" ht="15" hidden="false" customHeight="true" outlineLevel="0" collapsed="false">
      <c r="A215" s="9" t="s">
        <v>284</v>
      </c>
      <c r="B215" s="10" t="str">
        <f aca="false">INDEX(Bases!$B$5:$B$83,$T215)</f>
        <v>Mage</v>
      </c>
      <c r="C215" s="10" t="str">
        <f aca="false">INDEX(Bases!$E$5:$E$83,$T215)</f>
        <v>Attaque (arme 1)</v>
      </c>
      <c r="D215" s="10" t="str">
        <f aca="false">INDEX(Bases!$F$5:$F$83,$T215)</f>
        <v>Attaque</v>
      </c>
      <c r="E215" s="11" t="str">
        <f aca="false">INDEX(Bases!$C$5:$C$83,$T215)</f>
        <v>Nova arcanique</v>
      </c>
      <c r="F215" s="10" t="str">
        <f aca="false">INDEX(Éléments!$A$5:$A$14,$U215)</f>
        <v>Feu</v>
      </c>
      <c r="G215" s="12" t="str">
        <f aca="false">IF(OR($F215="Neutre",$C215="Passif"),$E215,INDEX(Bases!$D$5:$D$83,$T215)&amp;" "&amp;INDEX(Éléments!$D$5:$D$14,$U215))</f>
        <v>Nova de feu</v>
      </c>
      <c r="H215" s="10" t="str">
        <f aca="false">INDEX(Bases!$G$5:$G$83,$T215)</f>
        <v>Zone</v>
      </c>
      <c r="I215" s="13" t="n">
        <f aca="false">INDEX(Bases!$H$5:$H$83,$T215)</f>
        <v>2</v>
      </c>
      <c r="J215" s="10" t="str">
        <f aca="false">INDEX(Bases!$I$5:$I$83,$T215)</f>
        <v>Non</v>
      </c>
      <c r="K215" s="14" t="n">
        <f aca="false">INDEX(Bases!$J$5:$J$83,$T215)</f>
        <v>0.95</v>
      </c>
      <c r="L215" s="10" t="str">
        <f aca="false">INDEX(Bases!$K$5:$K$83,$T215)</f>
        <v>Magie</v>
      </c>
      <c r="M215" s="11" t="str">
        <f aca="false">INDEX(Bases!$L$5:$L$83,$T215)</f>
        <v>Frappe toute la vague ; les ennemis touchés infligent −10 % de dégâts (1 tour).</v>
      </c>
      <c r="N215" s="11" t="str">
        <f aca="false">IF($C215="Passif","—",IF($C215="Attaque (arme 1)",INDEX(Éléments!$F$5:$F$14,$U215),INDEX(Éléments!$G$5:$G$14,$U215)))</f>
        <v>35 % : Brûlure (8 % de la stat d'attaque par tour, 3 tours, non cumulable).</v>
      </c>
      <c r="O215" s="10" t="str">
        <f aca="false">INDEX(Bases!$M$5:$M$83,$T215)</f>
        <v>Active</v>
      </c>
      <c r="P215" s="13" t="n">
        <f aca="false">INDEX(Bases!$N$5:$N$83,$T215)</f>
        <v>25</v>
      </c>
      <c r="Q215" s="15" t="n">
        <f aca="false">INDEX(Éléments!$C$5:$C$14,$U215)</f>
        <v>30</v>
      </c>
      <c r="R215" s="11" t="str">
        <f aca="false">"Niv. "&amp;$P215&amp;IF($Q215&gt;0," · étage "&amp;$Q215&amp;" terminé","")</f>
        <v>Niv. 25 · étage 30 terminé</v>
      </c>
      <c r="S215" s="14" t="n">
        <f aca="false">IF(ISNUMBER($I215),$K215*IF($H215="Zone",Paramètres!$B$8,1)/MAX(1,$I215),0)</f>
        <v>1.425</v>
      </c>
      <c r="T215" s="16" t="n">
        <v>29</v>
      </c>
      <c r="U215" s="16" t="n">
        <v>3</v>
      </c>
    </row>
    <row r="216" customFormat="false" ht="15" hidden="false" customHeight="true" outlineLevel="0" collapsed="false">
      <c r="A216" s="9" t="s">
        <v>285</v>
      </c>
      <c r="B216" s="10" t="str">
        <f aca="false">INDEX(Bases!$B$5:$B$83,$T216)</f>
        <v>Mage</v>
      </c>
      <c r="C216" s="10" t="str">
        <f aca="false">INDEX(Bases!$E$5:$E$83,$T216)</f>
        <v>Attaque (arme 1)</v>
      </c>
      <c r="D216" s="10" t="str">
        <f aca="false">INDEX(Bases!$F$5:$F$83,$T216)</f>
        <v>Attaque</v>
      </c>
      <c r="E216" s="11" t="str">
        <f aca="false">INDEX(Bases!$C$5:$C$83,$T216)</f>
        <v>Nova arcanique</v>
      </c>
      <c r="F216" s="10" t="str">
        <f aca="false">INDEX(Éléments!$A$5:$A$14,$U216)</f>
        <v>Vent</v>
      </c>
      <c r="G216" s="12" t="str">
        <f aca="false">IF(OR($F216="Neutre",$C216="Passif"),$E216,INDEX(Bases!$D$5:$D$83,$T216)&amp;" "&amp;INDEX(Éléments!$D$5:$D$14,$U216))</f>
        <v>Nova de vent</v>
      </c>
      <c r="H216" s="10" t="str">
        <f aca="false">INDEX(Bases!$G$5:$G$83,$T216)</f>
        <v>Zone</v>
      </c>
      <c r="I216" s="13" t="n">
        <f aca="false">INDEX(Bases!$H$5:$H$83,$T216)</f>
        <v>2</v>
      </c>
      <c r="J216" s="10" t="str">
        <f aca="false">INDEX(Bases!$I$5:$I$83,$T216)</f>
        <v>Non</v>
      </c>
      <c r="K216" s="14" t="n">
        <f aca="false">INDEX(Bases!$J$5:$J$83,$T216)</f>
        <v>0.95</v>
      </c>
      <c r="L216" s="10" t="str">
        <f aca="false">INDEX(Bases!$K$5:$K$83,$T216)</f>
        <v>Magie</v>
      </c>
      <c r="M216" s="11" t="str">
        <f aca="false">INDEX(Bases!$L$5:$L$83,$T216)</f>
        <v>Frappe toute la vague ; les ennemis touchés infligent −10 % de dégâts (1 tour).</v>
      </c>
      <c r="N216" s="11" t="str">
        <f aca="false">IF($C216="Passif","—",IF($C216="Attaque (arme 1)",INDEX(Éléments!$F$5:$F$14,$U216),INDEX(Éléments!$G$5:$G$14,$U216)))</f>
        <v>+10 % de chance de critique ; 30 % : Désorienté (−15 % Précision, 2 tours).</v>
      </c>
      <c r="O216" s="10" t="str">
        <f aca="false">INDEX(Bases!$M$5:$M$83,$T216)</f>
        <v>Active</v>
      </c>
      <c r="P216" s="13" t="n">
        <f aca="false">INDEX(Bases!$N$5:$N$83,$T216)</f>
        <v>25</v>
      </c>
      <c r="Q216" s="15" t="n">
        <f aca="false">INDEX(Éléments!$C$5:$C$14,$U216)</f>
        <v>40</v>
      </c>
      <c r="R216" s="11" t="str">
        <f aca="false">"Niv. "&amp;$P216&amp;IF($Q216&gt;0," · étage "&amp;$Q216&amp;" terminé","")</f>
        <v>Niv. 25 · étage 40 terminé</v>
      </c>
      <c r="S216" s="14" t="n">
        <f aca="false">IF(ISNUMBER($I216),$K216*IF($H216="Zone",Paramètres!$B$8,1)/MAX(1,$I216),0)</f>
        <v>1.425</v>
      </c>
      <c r="T216" s="16" t="n">
        <v>29</v>
      </c>
      <c r="U216" s="16" t="n">
        <v>4</v>
      </c>
    </row>
    <row r="217" customFormat="false" ht="15" hidden="false" customHeight="true" outlineLevel="0" collapsed="false">
      <c r="A217" s="9" t="s">
        <v>286</v>
      </c>
      <c r="B217" s="10" t="str">
        <f aca="false">INDEX(Bases!$B$5:$B$83,$T217)</f>
        <v>Mage</v>
      </c>
      <c r="C217" s="10" t="str">
        <f aca="false">INDEX(Bases!$E$5:$E$83,$T217)</f>
        <v>Attaque (arme 1)</v>
      </c>
      <c r="D217" s="10" t="str">
        <f aca="false">INDEX(Bases!$F$5:$F$83,$T217)</f>
        <v>Attaque</v>
      </c>
      <c r="E217" s="11" t="str">
        <f aca="false">INDEX(Bases!$C$5:$C$83,$T217)</f>
        <v>Nova arcanique</v>
      </c>
      <c r="F217" s="10" t="str">
        <f aca="false">INDEX(Éléments!$A$5:$A$14,$U217)</f>
        <v>Acide</v>
      </c>
      <c r="G217" s="12" t="str">
        <f aca="false">IF(OR($F217="Neutre",$C217="Passif"),$E217,INDEX(Bases!$D$5:$D$83,$T217)&amp;" "&amp;INDEX(Éléments!$D$5:$D$14,$U217))</f>
        <v>Nova d'acide</v>
      </c>
      <c r="H217" s="10" t="str">
        <f aca="false">INDEX(Bases!$G$5:$G$83,$T217)</f>
        <v>Zone</v>
      </c>
      <c r="I217" s="13" t="n">
        <f aca="false">INDEX(Bases!$H$5:$H$83,$T217)</f>
        <v>2</v>
      </c>
      <c r="J217" s="10" t="str">
        <f aca="false">INDEX(Bases!$I$5:$I$83,$T217)</f>
        <v>Non</v>
      </c>
      <c r="K217" s="14" t="n">
        <f aca="false">INDEX(Bases!$J$5:$J$83,$T217)</f>
        <v>0.95</v>
      </c>
      <c r="L217" s="10" t="str">
        <f aca="false">INDEX(Bases!$K$5:$K$83,$T217)</f>
        <v>Magie</v>
      </c>
      <c r="M217" s="11" t="str">
        <f aca="false">INDEX(Bases!$L$5:$L$83,$T217)</f>
        <v>Frappe toute la vague ; les ennemis touchés infligent −10 % de dégâts (1 tour).</v>
      </c>
      <c r="N217" s="11" t="str">
        <f aca="false">IF($C217="Passif","—",IF($C217="Attaque (arme 1)",INDEX(Éléments!$F$5:$F$14,$U217),INDEX(Éléments!$G$5:$G$14,$U217)))</f>
        <v>50 % : 1 pile de Corrosion (−5 % Armure par pile, 4 piles max, 3 tours).</v>
      </c>
      <c r="O217" s="10" t="str">
        <f aca="false">INDEX(Bases!$M$5:$M$83,$T217)</f>
        <v>Active</v>
      </c>
      <c r="P217" s="13" t="n">
        <f aca="false">INDEX(Bases!$N$5:$N$83,$T217)</f>
        <v>25</v>
      </c>
      <c r="Q217" s="15" t="n">
        <f aca="false">INDEX(Éléments!$C$5:$C$14,$U217)</f>
        <v>50</v>
      </c>
      <c r="R217" s="11" t="str">
        <f aca="false">"Niv. "&amp;$P217&amp;IF($Q217&gt;0," · étage "&amp;$Q217&amp;" terminé","")</f>
        <v>Niv. 25 · étage 50 terminé</v>
      </c>
      <c r="S217" s="14" t="n">
        <f aca="false">IF(ISNUMBER($I217),$K217*IF($H217="Zone",Paramètres!$B$8,1)/MAX(1,$I217),0)</f>
        <v>1.425</v>
      </c>
      <c r="T217" s="16" t="n">
        <v>29</v>
      </c>
      <c r="U217" s="16" t="n">
        <v>5</v>
      </c>
    </row>
    <row r="218" customFormat="false" ht="15" hidden="false" customHeight="true" outlineLevel="0" collapsed="false">
      <c r="A218" s="9" t="s">
        <v>287</v>
      </c>
      <c r="B218" s="10" t="str">
        <f aca="false">INDEX(Bases!$B$5:$B$83,$T218)</f>
        <v>Mage</v>
      </c>
      <c r="C218" s="10" t="str">
        <f aca="false">INDEX(Bases!$E$5:$E$83,$T218)</f>
        <v>Attaque (arme 1)</v>
      </c>
      <c r="D218" s="10" t="str">
        <f aca="false">INDEX(Bases!$F$5:$F$83,$T218)</f>
        <v>Attaque</v>
      </c>
      <c r="E218" s="11" t="str">
        <f aca="false">INDEX(Bases!$C$5:$C$83,$T218)</f>
        <v>Nova arcanique</v>
      </c>
      <c r="F218" s="10" t="str">
        <f aca="false">INDEX(Éléments!$A$5:$A$14,$U218)</f>
        <v>Eau</v>
      </c>
      <c r="G218" s="12" t="str">
        <f aca="false">IF(OR($F218="Neutre",$C218="Passif"),$E218,INDEX(Bases!$D$5:$D$83,$T218)&amp;" "&amp;INDEX(Éléments!$D$5:$D$14,$U218))</f>
        <v>Nova d'eau</v>
      </c>
      <c r="H218" s="10" t="str">
        <f aca="false">INDEX(Bases!$G$5:$G$83,$T218)</f>
        <v>Zone</v>
      </c>
      <c r="I218" s="13" t="n">
        <f aca="false">INDEX(Bases!$H$5:$H$83,$T218)</f>
        <v>2</v>
      </c>
      <c r="J218" s="10" t="str">
        <f aca="false">INDEX(Bases!$I$5:$I$83,$T218)</f>
        <v>Non</v>
      </c>
      <c r="K218" s="14" t="n">
        <f aca="false">INDEX(Bases!$J$5:$J$83,$T218)</f>
        <v>0.95</v>
      </c>
      <c r="L218" s="10" t="str">
        <f aca="false">INDEX(Bases!$K$5:$K$83,$T218)</f>
        <v>Magie</v>
      </c>
      <c r="M218" s="11" t="str">
        <f aca="false">INDEX(Bases!$L$5:$L$83,$T218)</f>
        <v>Frappe toute la vague ; les ennemis touchés infligent −10 % de dégâts (1 tour).</v>
      </c>
      <c r="N218" s="11" t="str">
        <f aca="false">IF($C218="Passif","—",IF($C218="Attaque (arme 1)",INDEX(Éléments!$F$5:$F$14,$U218),INDEX(Éléments!$G$5:$G$14,$U218)))</f>
        <v>50 % : Mouillé (+25 % de dégâts d'Électricité subis, retire Brûlure, 3 tours).</v>
      </c>
      <c r="O218" s="10" t="str">
        <f aca="false">INDEX(Bases!$M$5:$M$83,$T218)</f>
        <v>Active</v>
      </c>
      <c r="P218" s="13" t="n">
        <f aca="false">INDEX(Bases!$N$5:$N$83,$T218)</f>
        <v>25</v>
      </c>
      <c r="Q218" s="15" t="n">
        <f aca="false">INDEX(Éléments!$C$5:$C$14,$U218)</f>
        <v>60</v>
      </c>
      <c r="R218" s="11" t="str">
        <f aca="false">"Niv. "&amp;$P218&amp;IF($Q218&gt;0," · étage "&amp;$Q218&amp;" terminé","")</f>
        <v>Niv. 25 · étage 60 terminé</v>
      </c>
      <c r="S218" s="14" t="n">
        <f aca="false">IF(ISNUMBER($I218),$K218*IF($H218="Zone",Paramètres!$B$8,1)/MAX(1,$I218),0)</f>
        <v>1.425</v>
      </c>
      <c r="T218" s="16" t="n">
        <v>29</v>
      </c>
      <c r="U218" s="16" t="n">
        <v>6</v>
      </c>
    </row>
    <row r="219" customFormat="false" ht="15" hidden="false" customHeight="true" outlineLevel="0" collapsed="false">
      <c r="A219" s="9" t="s">
        <v>288</v>
      </c>
      <c r="B219" s="10" t="str">
        <f aca="false">INDEX(Bases!$B$5:$B$83,$T219)</f>
        <v>Mage</v>
      </c>
      <c r="C219" s="10" t="str">
        <f aca="false">INDEX(Bases!$E$5:$E$83,$T219)</f>
        <v>Attaque (arme 1)</v>
      </c>
      <c r="D219" s="10" t="str">
        <f aca="false">INDEX(Bases!$F$5:$F$83,$T219)</f>
        <v>Attaque</v>
      </c>
      <c r="E219" s="11" t="str">
        <f aca="false">INDEX(Bases!$C$5:$C$83,$T219)</f>
        <v>Nova arcanique</v>
      </c>
      <c r="F219" s="10" t="str">
        <f aca="false">INDEX(Éléments!$A$5:$A$14,$U219)</f>
        <v>Glace</v>
      </c>
      <c r="G219" s="12" t="str">
        <f aca="false">IF(OR($F219="Neutre",$C219="Passif"),$E219,INDEX(Bases!$D$5:$D$83,$T219)&amp;" "&amp;INDEX(Éléments!$D$5:$D$14,$U219))</f>
        <v>Nova de glace</v>
      </c>
      <c r="H219" s="10" t="str">
        <f aca="false">INDEX(Bases!$G$5:$G$83,$T219)</f>
        <v>Zone</v>
      </c>
      <c r="I219" s="13" t="n">
        <f aca="false">INDEX(Bases!$H$5:$H$83,$T219)</f>
        <v>2</v>
      </c>
      <c r="J219" s="10" t="str">
        <f aca="false">INDEX(Bases!$I$5:$I$83,$T219)</f>
        <v>Non</v>
      </c>
      <c r="K219" s="14" t="n">
        <f aca="false">INDEX(Bases!$J$5:$J$83,$T219)</f>
        <v>0.95</v>
      </c>
      <c r="L219" s="10" t="str">
        <f aca="false">INDEX(Bases!$K$5:$K$83,$T219)</f>
        <v>Magie</v>
      </c>
      <c r="M219" s="11" t="str">
        <f aca="false">INDEX(Bases!$L$5:$L$83,$T219)</f>
        <v>Frappe toute la vague ; les ennemis touchés infligent −10 % de dégâts (1 tour).</v>
      </c>
      <c r="N219" s="11" t="str">
        <f aca="false">IF($C219="Passif","—",IF($C219="Attaque (arme 1)",INDEX(Éléments!$F$5:$F$14,$U219),INDEX(Éléments!$G$5:$G$14,$U219)))</f>
        <v>40 % : 1 pile de Froid (−8 % Agilité ; à 3 piles : Gel, la cible perd 1 tour).</v>
      </c>
      <c r="O219" s="10" t="str">
        <f aca="false">INDEX(Bases!$M$5:$M$83,$T219)</f>
        <v>Active</v>
      </c>
      <c r="P219" s="13" t="n">
        <f aca="false">INDEX(Bases!$N$5:$N$83,$T219)</f>
        <v>25</v>
      </c>
      <c r="Q219" s="15" t="n">
        <f aca="false">INDEX(Éléments!$C$5:$C$14,$U219)</f>
        <v>70</v>
      </c>
      <c r="R219" s="11" t="str">
        <f aca="false">"Niv. "&amp;$P219&amp;IF($Q219&gt;0," · étage "&amp;$Q219&amp;" terminé","")</f>
        <v>Niv. 25 · étage 70 terminé</v>
      </c>
      <c r="S219" s="14" t="n">
        <f aca="false">IF(ISNUMBER($I219),$K219*IF($H219="Zone",Paramètres!$B$8,1)/MAX(1,$I219),0)</f>
        <v>1.425</v>
      </c>
      <c r="T219" s="16" t="n">
        <v>29</v>
      </c>
      <c r="U219" s="16" t="n">
        <v>7</v>
      </c>
    </row>
    <row r="220" customFormat="false" ht="15" hidden="false" customHeight="true" outlineLevel="0" collapsed="false">
      <c r="A220" s="9" t="s">
        <v>289</v>
      </c>
      <c r="B220" s="10" t="str">
        <f aca="false">INDEX(Bases!$B$5:$B$83,$T220)</f>
        <v>Mage</v>
      </c>
      <c r="C220" s="10" t="str">
        <f aca="false">INDEX(Bases!$E$5:$E$83,$T220)</f>
        <v>Attaque (arme 1)</v>
      </c>
      <c r="D220" s="10" t="str">
        <f aca="false">INDEX(Bases!$F$5:$F$83,$T220)</f>
        <v>Attaque</v>
      </c>
      <c r="E220" s="11" t="str">
        <f aca="false">INDEX(Bases!$C$5:$C$83,$T220)</f>
        <v>Nova arcanique</v>
      </c>
      <c r="F220" s="10" t="str">
        <f aca="false">INDEX(Éléments!$A$5:$A$14,$U220)</f>
        <v>Électricité</v>
      </c>
      <c r="G220" s="12" t="str">
        <f aca="false">IF(OR($F220="Neutre",$C220="Passif"),$E220,INDEX(Bases!$D$5:$D$83,$T220)&amp;" "&amp;INDEX(Éléments!$D$5:$D$14,$U220))</f>
        <v>Nova de foudre</v>
      </c>
      <c r="H220" s="10" t="str">
        <f aca="false">INDEX(Bases!$G$5:$G$83,$T220)</f>
        <v>Zone</v>
      </c>
      <c r="I220" s="13" t="n">
        <f aca="false">INDEX(Bases!$H$5:$H$83,$T220)</f>
        <v>2</v>
      </c>
      <c r="J220" s="10" t="str">
        <f aca="false">INDEX(Bases!$I$5:$I$83,$T220)</f>
        <v>Non</v>
      </c>
      <c r="K220" s="14" t="n">
        <f aca="false">INDEX(Bases!$J$5:$J$83,$T220)</f>
        <v>0.95</v>
      </c>
      <c r="L220" s="10" t="str">
        <f aca="false">INDEX(Bases!$K$5:$K$83,$T220)</f>
        <v>Magie</v>
      </c>
      <c r="M220" s="11" t="str">
        <f aca="false">INDEX(Bases!$L$5:$L$83,$T220)</f>
        <v>Frappe toute la vague ; les ennemis touchés infligent −10 % de dégâts (1 tour).</v>
      </c>
      <c r="N220" s="11" t="str">
        <f aca="false">IF($C220="Passif","—",IF($C220="Attaque (arme 1)",INDEX(Éléments!$F$5:$F$14,$U220),INDEX(Éléments!$G$5:$G$14,$U220)))</f>
        <v>Rebondit sur 1 autre ennemi (40 % des dégâts) ; 10 % : Étourdissement (1 tour).</v>
      </c>
      <c r="O220" s="10" t="str">
        <f aca="false">INDEX(Bases!$M$5:$M$83,$T220)</f>
        <v>Active</v>
      </c>
      <c r="P220" s="13" t="n">
        <f aca="false">INDEX(Bases!$N$5:$N$83,$T220)</f>
        <v>25</v>
      </c>
      <c r="Q220" s="15" t="n">
        <f aca="false">INDEX(Éléments!$C$5:$C$14,$U220)</f>
        <v>80</v>
      </c>
      <c r="R220" s="11" t="str">
        <f aca="false">"Niv. "&amp;$P220&amp;IF($Q220&gt;0," · étage "&amp;$Q220&amp;" terminé","")</f>
        <v>Niv. 25 · étage 80 terminé</v>
      </c>
      <c r="S220" s="14" t="n">
        <f aca="false">IF(ISNUMBER($I220),$K220*IF($H220="Zone",Paramètres!$B$8,1)/MAX(1,$I220),0)</f>
        <v>1.425</v>
      </c>
      <c r="T220" s="16" t="n">
        <v>29</v>
      </c>
      <c r="U220" s="16" t="n">
        <v>8</v>
      </c>
    </row>
    <row r="221" customFormat="false" ht="15" hidden="false" customHeight="true" outlineLevel="0" collapsed="false">
      <c r="A221" s="9" t="s">
        <v>290</v>
      </c>
      <c r="B221" s="10" t="str">
        <f aca="false">INDEX(Bases!$B$5:$B$83,$T221)</f>
        <v>Mage</v>
      </c>
      <c r="C221" s="10" t="str">
        <f aca="false">INDEX(Bases!$E$5:$E$83,$T221)</f>
        <v>Attaque (arme 1)</v>
      </c>
      <c r="D221" s="10" t="str">
        <f aca="false">INDEX(Bases!$F$5:$F$83,$T221)</f>
        <v>Attaque</v>
      </c>
      <c r="E221" s="11" t="str">
        <f aca="false">INDEX(Bases!$C$5:$C$83,$T221)</f>
        <v>Nova arcanique</v>
      </c>
      <c r="F221" s="10" t="str">
        <f aca="false">INDEX(Éléments!$A$5:$A$14,$U221)</f>
        <v>Lumière</v>
      </c>
      <c r="G221" s="12" t="str">
        <f aca="false">IF(OR($F221="Neutre",$C221="Passif"),$E221,INDEX(Bases!$D$5:$D$83,$T221)&amp;" "&amp;INDEX(Éléments!$D$5:$D$14,$U221))</f>
        <v>Nova de lumière</v>
      </c>
      <c r="H221" s="10" t="str">
        <f aca="false">INDEX(Bases!$G$5:$G$83,$T221)</f>
        <v>Zone</v>
      </c>
      <c r="I221" s="13" t="n">
        <f aca="false">INDEX(Bases!$H$5:$H$83,$T221)</f>
        <v>2</v>
      </c>
      <c r="J221" s="10" t="str">
        <f aca="false">INDEX(Bases!$I$5:$I$83,$T221)</f>
        <v>Non</v>
      </c>
      <c r="K221" s="14" t="n">
        <f aca="false">INDEX(Bases!$J$5:$J$83,$T221)</f>
        <v>0.95</v>
      </c>
      <c r="L221" s="10" t="str">
        <f aca="false">INDEX(Bases!$K$5:$K$83,$T221)</f>
        <v>Magie</v>
      </c>
      <c r="M221" s="11" t="str">
        <f aca="false">INDEX(Bases!$L$5:$L$83,$T221)</f>
        <v>Frappe toute la vague ; les ennemis touchés infligent −10 % de dégâts (1 tour).</v>
      </c>
      <c r="N221" s="11" t="str">
        <f aca="false">IF($C221="Passif","—",IF($C221="Attaque (arme 1)",INDEX(Éléments!$F$5:$F$14,$U221),INDEX(Éléments!$G$5:$G$14,$U221)))</f>
        <v>Soigne le lanceur de 5 % des dégâts infligés ; 25 % : Éblouissement (−20 % chance de critique, 2 tours).</v>
      </c>
      <c r="O221" s="10" t="str">
        <f aca="false">INDEX(Bases!$M$5:$M$83,$T221)</f>
        <v>Active</v>
      </c>
      <c r="P221" s="13" t="n">
        <f aca="false">INDEX(Bases!$N$5:$N$83,$T221)</f>
        <v>25</v>
      </c>
      <c r="Q221" s="15" t="n">
        <f aca="false">INDEX(Éléments!$C$5:$C$14,$U221)</f>
        <v>90</v>
      </c>
      <c r="R221" s="11" t="str">
        <f aca="false">"Niv. "&amp;$P221&amp;IF($Q221&gt;0," · étage "&amp;$Q221&amp;" terminé","")</f>
        <v>Niv. 25 · étage 90 terminé</v>
      </c>
      <c r="S221" s="14" t="n">
        <f aca="false">IF(ISNUMBER($I221),$K221*IF($H221="Zone",Paramètres!$B$8,1)/MAX(1,$I221),0)</f>
        <v>1.425</v>
      </c>
      <c r="T221" s="16" t="n">
        <v>29</v>
      </c>
      <c r="U221" s="16" t="n">
        <v>9</v>
      </c>
    </row>
    <row r="222" customFormat="false" ht="15" hidden="false" customHeight="true" outlineLevel="0" collapsed="false">
      <c r="A222" s="9" t="s">
        <v>291</v>
      </c>
      <c r="B222" s="10" t="str">
        <f aca="false">INDEX(Bases!$B$5:$B$83,$T222)</f>
        <v>Mage</v>
      </c>
      <c r="C222" s="10" t="str">
        <f aca="false">INDEX(Bases!$E$5:$E$83,$T222)</f>
        <v>Attaque (arme 1)</v>
      </c>
      <c r="D222" s="10" t="str">
        <f aca="false">INDEX(Bases!$F$5:$F$83,$T222)</f>
        <v>Attaque</v>
      </c>
      <c r="E222" s="11" t="str">
        <f aca="false">INDEX(Bases!$C$5:$C$83,$T222)</f>
        <v>Nova arcanique</v>
      </c>
      <c r="F222" s="10" t="str">
        <f aca="false">INDEX(Éléments!$A$5:$A$14,$U222)</f>
        <v>Ombre</v>
      </c>
      <c r="G222" s="12" t="str">
        <f aca="false">IF(OR($F222="Neutre",$C222="Passif"),$E222,INDEX(Bases!$D$5:$D$83,$T222)&amp;" "&amp;INDEX(Éléments!$D$5:$D$14,$U222))</f>
        <v>Nova d'ombre</v>
      </c>
      <c r="H222" s="10" t="str">
        <f aca="false">INDEX(Bases!$G$5:$G$83,$T222)</f>
        <v>Zone</v>
      </c>
      <c r="I222" s="13" t="n">
        <f aca="false">INDEX(Bases!$H$5:$H$83,$T222)</f>
        <v>2</v>
      </c>
      <c r="J222" s="10" t="str">
        <f aca="false">INDEX(Bases!$I$5:$I$83,$T222)</f>
        <v>Non</v>
      </c>
      <c r="K222" s="14" t="n">
        <f aca="false">INDEX(Bases!$J$5:$J$83,$T222)</f>
        <v>0.95</v>
      </c>
      <c r="L222" s="10" t="str">
        <f aca="false">INDEX(Bases!$K$5:$K$83,$T222)</f>
        <v>Magie</v>
      </c>
      <c r="M222" s="11" t="str">
        <f aca="false">INDEX(Bases!$L$5:$L$83,$T222)</f>
        <v>Frappe toute la vague ; les ennemis touchés infligent −10 % de dégâts (1 tour).</v>
      </c>
      <c r="N222" s="11" t="str">
        <f aca="false">IF($C222="Passif","—",IF($C222="Attaque (arme 1)",INDEX(Éléments!$F$5:$F$14,$U222),INDEX(Éléments!$G$5:$G$14,$U222)))</f>
        <v>Vol de vie 5 % ; 30 % : Corruption (+10 % de dégâts subis, 2 tours).</v>
      </c>
      <c r="O222" s="10" t="str">
        <f aca="false">INDEX(Bases!$M$5:$M$83,$T222)</f>
        <v>Active</v>
      </c>
      <c r="P222" s="13" t="n">
        <f aca="false">INDEX(Bases!$N$5:$N$83,$T222)</f>
        <v>25</v>
      </c>
      <c r="Q222" s="15" t="n">
        <f aca="false">INDEX(Éléments!$C$5:$C$14,$U222)</f>
        <v>100</v>
      </c>
      <c r="R222" s="11" t="str">
        <f aca="false">"Niv. "&amp;$P222&amp;IF($Q222&gt;0," · étage "&amp;$Q222&amp;" terminé","")</f>
        <v>Niv. 25 · étage 100 terminé</v>
      </c>
      <c r="S222" s="14" t="n">
        <f aca="false">IF(ISNUMBER($I222),$K222*IF($H222="Zone",Paramètres!$B$8,1)/MAX(1,$I222),0)</f>
        <v>1.425</v>
      </c>
      <c r="T222" s="16" t="n">
        <v>29</v>
      </c>
      <c r="U222" s="16" t="n">
        <v>10</v>
      </c>
    </row>
    <row r="223" customFormat="false" ht="15" hidden="false" customHeight="true" outlineLevel="0" collapsed="false">
      <c r="A223" s="9" t="s">
        <v>292</v>
      </c>
      <c r="B223" s="10" t="str">
        <f aca="false">INDEX(Bases!$B$5:$B$83,$T223)</f>
        <v>Mage</v>
      </c>
      <c r="C223" s="10" t="str">
        <f aca="false">INDEX(Bases!$E$5:$E$83,$T223)</f>
        <v>Attaque (arme 1)</v>
      </c>
      <c r="D223" s="10" t="str">
        <f aca="false">INDEX(Bases!$F$5:$F$83,$T223)</f>
        <v>Attaque</v>
      </c>
      <c r="E223" s="11" t="str">
        <f aca="false">INDEX(Bases!$C$5:$C$83,$T223)</f>
        <v>Météore</v>
      </c>
      <c r="F223" s="10" t="str">
        <f aca="false">INDEX(Éléments!$A$5:$A$14,$U223)</f>
        <v>Neutre</v>
      </c>
      <c r="G223" s="12" t="str">
        <f aca="false">IF(OR($F223="Neutre",$C223="Passif"),$E223,INDEX(Bases!$D$5:$D$83,$T223)&amp;" "&amp;INDEX(Éléments!$D$5:$D$14,$U223))</f>
        <v>Météore</v>
      </c>
      <c r="H223" s="10" t="str">
        <f aca="false">INDEX(Bases!$G$5:$G$83,$T223)</f>
        <v>Zone</v>
      </c>
      <c r="I223" s="13" t="n">
        <f aca="false">INDEX(Bases!$H$5:$H$83,$T223)</f>
        <v>3</v>
      </c>
      <c r="J223" s="10" t="str">
        <f aca="false">INDEX(Bases!$I$5:$I$83,$T223)</f>
        <v>Oui</v>
      </c>
      <c r="K223" s="14" t="n">
        <f aca="false">INDEX(Bases!$J$5:$J$83,$T223)</f>
        <v>1.6</v>
      </c>
      <c r="L223" s="10" t="str">
        <f aca="false">INDEX(Bases!$K$5:$K$83,$T223)</f>
        <v>Magie</v>
      </c>
      <c r="M223" s="11" t="str">
        <f aca="false">INDEX(Bases!$L$5:$L$83,$T223)</f>
        <v>Frappe toute la vague ; l'effet élémentaire est garanti sur la cible principale.</v>
      </c>
      <c r="N223" s="11" t="str">
        <f aca="false">IF($C223="Passif","—",IF($C223="Attaque (arme 1)",INDEX(Éléments!$F$5:$F$14,$U223),INDEX(Éléments!$G$5:$G$14,$U223)))</f>
        <v>Aucune altération ; ignore 10 % de la Résistance de la cible. Fiable contre tous les biomes.</v>
      </c>
      <c r="O223" s="10" t="str">
        <f aca="false">INDEX(Bases!$M$5:$M$83,$T223)</f>
        <v>Active</v>
      </c>
      <c r="P223" s="13" t="n">
        <f aca="false">INDEX(Bases!$N$5:$N$83,$T223)</f>
        <v>30</v>
      </c>
      <c r="Q223" s="15" t="n">
        <f aca="false">INDEX(Éléments!$C$5:$C$14,$U223)</f>
        <v>0</v>
      </c>
      <c r="R223" s="11" t="str">
        <f aca="false">"Niv. "&amp;$P223&amp;IF($Q223&gt;0," · étage "&amp;$Q223&amp;" terminé","")</f>
        <v>Niv. 30</v>
      </c>
      <c r="S223" s="14" t="n">
        <f aca="false">IF(ISNUMBER($I223),$K223*IF($H223="Zone",Paramètres!$B$8,1)/MAX(1,$I223),0)</f>
        <v>1.6</v>
      </c>
      <c r="T223" s="16" t="n">
        <v>30</v>
      </c>
      <c r="U223" s="16" t="n">
        <v>1</v>
      </c>
    </row>
    <row r="224" customFormat="false" ht="15" hidden="false" customHeight="true" outlineLevel="0" collapsed="false">
      <c r="A224" s="9" t="s">
        <v>293</v>
      </c>
      <c r="B224" s="10" t="str">
        <f aca="false">INDEX(Bases!$B$5:$B$83,$T224)</f>
        <v>Mage</v>
      </c>
      <c r="C224" s="10" t="str">
        <f aca="false">INDEX(Bases!$E$5:$E$83,$T224)</f>
        <v>Attaque (arme 1)</v>
      </c>
      <c r="D224" s="10" t="str">
        <f aca="false">INDEX(Bases!$F$5:$F$83,$T224)</f>
        <v>Attaque</v>
      </c>
      <c r="E224" s="11" t="str">
        <f aca="false">INDEX(Bases!$C$5:$C$83,$T224)</f>
        <v>Météore</v>
      </c>
      <c r="F224" s="10" t="str">
        <f aca="false">INDEX(Éléments!$A$5:$A$14,$U224)</f>
        <v>Terre</v>
      </c>
      <c r="G224" s="12" t="str">
        <f aca="false">IF(OR($F224="Neutre",$C224="Passif"),$E224,INDEX(Bases!$D$5:$D$83,$T224)&amp;" "&amp;INDEX(Éléments!$D$5:$D$14,$U224))</f>
        <v>Météore de pierre</v>
      </c>
      <c r="H224" s="10" t="str">
        <f aca="false">INDEX(Bases!$G$5:$G$83,$T224)</f>
        <v>Zone</v>
      </c>
      <c r="I224" s="13" t="n">
        <f aca="false">INDEX(Bases!$H$5:$H$83,$T224)</f>
        <v>3</v>
      </c>
      <c r="J224" s="10" t="str">
        <f aca="false">INDEX(Bases!$I$5:$I$83,$T224)</f>
        <v>Oui</v>
      </c>
      <c r="K224" s="14" t="n">
        <f aca="false">INDEX(Bases!$J$5:$J$83,$T224)</f>
        <v>1.6</v>
      </c>
      <c r="L224" s="10" t="str">
        <f aca="false">INDEX(Bases!$K$5:$K$83,$T224)</f>
        <v>Magie</v>
      </c>
      <c r="M224" s="11" t="str">
        <f aca="false">INDEX(Bases!$L$5:$L$83,$T224)</f>
        <v>Frappe toute la vague ; l'effet élémentaire est garanti sur la cible principale.</v>
      </c>
      <c r="N224" s="11" t="str">
        <f aca="false">IF($C224="Passif","—",IF($C224="Attaque (arme 1)",INDEX(Éléments!$F$5:$F$14,$U224),INDEX(Éléments!$G$5:$G$14,$U224)))</f>
        <v>30 % : Garde brisée (−15 % Résistance, 2 tours).</v>
      </c>
      <c r="O224" s="10" t="str">
        <f aca="false">INDEX(Bases!$M$5:$M$83,$T224)</f>
        <v>Active</v>
      </c>
      <c r="P224" s="13" t="n">
        <f aca="false">INDEX(Bases!$N$5:$N$83,$T224)</f>
        <v>30</v>
      </c>
      <c r="Q224" s="15" t="n">
        <f aca="false">INDEX(Éléments!$C$5:$C$14,$U224)</f>
        <v>20</v>
      </c>
      <c r="R224" s="11" t="str">
        <f aca="false">"Niv. "&amp;$P224&amp;IF($Q224&gt;0," · étage "&amp;$Q224&amp;" terminé","")</f>
        <v>Niv. 30 · étage 20 terminé</v>
      </c>
      <c r="S224" s="14" t="n">
        <f aca="false">IF(ISNUMBER($I224),$K224*IF($H224="Zone",Paramètres!$B$8,1)/MAX(1,$I224),0)</f>
        <v>1.6</v>
      </c>
      <c r="T224" s="16" t="n">
        <v>30</v>
      </c>
      <c r="U224" s="16" t="n">
        <v>2</v>
      </c>
    </row>
    <row r="225" customFormat="false" ht="15" hidden="false" customHeight="true" outlineLevel="0" collapsed="false">
      <c r="A225" s="9" t="s">
        <v>294</v>
      </c>
      <c r="B225" s="10" t="str">
        <f aca="false">INDEX(Bases!$B$5:$B$83,$T225)</f>
        <v>Mage</v>
      </c>
      <c r="C225" s="10" t="str">
        <f aca="false">INDEX(Bases!$E$5:$E$83,$T225)</f>
        <v>Attaque (arme 1)</v>
      </c>
      <c r="D225" s="10" t="str">
        <f aca="false">INDEX(Bases!$F$5:$F$83,$T225)</f>
        <v>Attaque</v>
      </c>
      <c r="E225" s="11" t="str">
        <f aca="false">INDEX(Bases!$C$5:$C$83,$T225)</f>
        <v>Météore</v>
      </c>
      <c r="F225" s="10" t="str">
        <f aca="false">INDEX(Éléments!$A$5:$A$14,$U225)</f>
        <v>Feu</v>
      </c>
      <c r="G225" s="12" t="str">
        <f aca="false">IF(OR($F225="Neutre",$C225="Passif"),$E225,INDEX(Bases!$D$5:$D$83,$T225)&amp;" "&amp;INDEX(Éléments!$D$5:$D$14,$U225))</f>
        <v>Météore de feu</v>
      </c>
      <c r="H225" s="10" t="str">
        <f aca="false">INDEX(Bases!$G$5:$G$83,$T225)</f>
        <v>Zone</v>
      </c>
      <c r="I225" s="13" t="n">
        <f aca="false">INDEX(Bases!$H$5:$H$83,$T225)</f>
        <v>3</v>
      </c>
      <c r="J225" s="10" t="str">
        <f aca="false">INDEX(Bases!$I$5:$I$83,$T225)</f>
        <v>Oui</v>
      </c>
      <c r="K225" s="14" t="n">
        <f aca="false">INDEX(Bases!$J$5:$J$83,$T225)</f>
        <v>1.6</v>
      </c>
      <c r="L225" s="10" t="str">
        <f aca="false">INDEX(Bases!$K$5:$K$83,$T225)</f>
        <v>Magie</v>
      </c>
      <c r="M225" s="11" t="str">
        <f aca="false">INDEX(Bases!$L$5:$L$83,$T225)</f>
        <v>Frappe toute la vague ; l'effet élémentaire est garanti sur la cible principale.</v>
      </c>
      <c r="N225" s="11" t="str">
        <f aca="false">IF($C225="Passif","—",IF($C225="Attaque (arme 1)",INDEX(Éléments!$F$5:$F$14,$U225),INDEX(Éléments!$G$5:$G$14,$U225)))</f>
        <v>35 % : Brûlure (8 % de la stat d'attaque par tour, 3 tours, non cumulable).</v>
      </c>
      <c r="O225" s="10" t="str">
        <f aca="false">INDEX(Bases!$M$5:$M$83,$T225)</f>
        <v>Active</v>
      </c>
      <c r="P225" s="13" t="n">
        <f aca="false">INDEX(Bases!$N$5:$N$83,$T225)</f>
        <v>30</v>
      </c>
      <c r="Q225" s="15" t="n">
        <f aca="false">INDEX(Éléments!$C$5:$C$14,$U225)</f>
        <v>30</v>
      </c>
      <c r="R225" s="11" t="str">
        <f aca="false">"Niv. "&amp;$P225&amp;IF($Q225&gt;0," · étage "&amp;$Q225&amp;" terminé","")</f>
        <v>Niv. 30 · étage 30 terminé</v>
      </c>
      <c r="S225" s="14" t="n">
        <f aca="false">IF(ISNUMBER($I225),$K225*IF($H225="Zone",Paramètres!$B$8,1)/MAX(1,$I225),0)</f>
        <v>1.6</v>
      </c>
      <c r="T225" s="16" t="n">
        <v>30</v>
      </c>
      <c r="U225" s="16" t="n">
        <v>3</v>
      </c>
    </row>
    <row r="226" customFormat="false" ht="15" hidden="false" customHeight="true" outlineLevel="0" collapsed="false">
      <c r="A226" s="9" t="s">
        <v>295</v>
      </c>
      <c r="B226" s="10" t="str">
        <f aca="false">INDEX(Bases!$B$5:$B$83,$T226)</f>
        <v>Mage</v>
      </c>
      <c r="C226" s="10" t="str">
        <f aca="false">INDEX(Bases!$E$5:$E$83,$T226)</f>
        <v>Attaque (arme 1)</v>
      </c>
      <c r="D226" s="10" t="str">
        <f aca="false">INDEX(Bases!$F$5:$F$83,$T226)</f>
        <v>Attaque</v>
      </c>
      <c r="E226" s="11" t="str">
        <f aca="false">INDEX(Bases!$C$5:$C$83,$T226)</f>
        <v>Météore</v>
      </c>
      <c r="F226" s="10" t="str">
        <f aca="false">INDEX(Éléments!$A$5:$A$14,$U226)</f>
        <v>Vent</v>
      </c>
      <c r="G226" s="12" t="str">
        <f aca="false">IF(OR($F226="Neutre",$C226="Passif"),$E226,INDEX(Bases!$D$5:$D$83,$T226)&amp;" "&amp;INDEX(Éléments!$D$5:$D$14,$U226))</f>
        <v>Météore de vent</v>
      </c>
      <c r="H226" s="10" t="str">
        <f aca="false">INDEX(Bases!$G$5:$G$83,$T226)</f>
        <v>Zone</v>
      </c>
      <c r="I226" s="13" t="n">
        <f aca="false">INDEX(Bases!$H$5:$H$83,$T226)</f>
        <v>3</v>
      </c>
      <c r="J226" s="10" t="str">
        <f aca="false">INDEX(Bases!$I$5:$I$83,$T226)</f>
        <v>Oui</v>
      </c>
      <c r="K226" s="14" t="n">
        <f aca="false">INDEX(Bases!$J$5:$J$83,$T226)</f>
        <v>1.6</v>
      </c>
      <c r="L226" s="10" t="str">
        <f aca="false">INDEX(Bases!$K$5:$K$83,$T226)</f>
        <v>Magie</v>
      </c>
      <c r="M226" s="11" t="str">
        <f aca="false">INDEX(Bases!$L$5:$L$83,$T226)</f>
        <v>Frappe toute la vague ; l'effet élémentaire est garanti sur la cible principale.</v>
      </c>
      <c r="N226" s="11" t="str">
        <f aca="false">IF($C226="Passif","—",IF($C226="Attaque (arme 1)",INDEX(Éléments!$F$5:$F$14,$U226),INDEX(Éléments!$G$5:$G$14,$U226)))</f>
        <v>+10 % de chance de critique ; 30 % : Désorienté (−15 % Précision, 2 tours).</v>
      </c>
      <c r="O226" s="10" t="str">
        <f aca="false">INDEX(Bases!$M$5:$M$83,$T226)</f>
        <v>Active</v>
      </c>
      <c r="P226" s="13" t="n">
        <f aca="false">INDEX(Bases!$N$5:$N$83,$T226)</f>
        <v>30</v>
      </c>
      <c r="Q226" s="15" t="n">
        <f aca="false">INDEX(Éléments!$C$5:$C$14,$U226)</f>
        <v>40</v>
      </c>
      <c r="R226" s="11" t="str">
        <f aca="false">"Niv. "&amp;$P226&amp;IF($Q226&gt;0," · étage "&amp;$Q226&amp;" terminé","")</f>
        <v>Niv. 30 · étage 40 terminé</v>
      </c>
      <c r="S226" s="14" t="n">
        <f aca="false">IF(ISNUMBER($I226),$K226*IF($H226="Zone",Paramètres!$B$8,1)/MAX(1,$I226),0)</f>
        <v>1.6</v>
      </c>
      <c r="T226" s="16" t="n">
        <v>30</v>
      </c>
      <c r="U226" s="16" t="n">
        <v>4</v>
      </c>
    </row>
    <row r="227" customFormat="false" ht="15" hidden="false" customHeight="true" outlineLevel="0" collapsed="false">
      <c r="A227" s="9" t="s">
        <v>296</v>
      </c>
      <c r="B227" s="10" t="str">
        <f aca="false">INDEX(Bases!$B$5:$B$83,$T227)</f>
        <v>Mage</v>
      </c>
      <c r="C227" s="10" t="str">
        <f aca="false">INDEX(Bases!$E$5:$E$83,$T227)</f>
        <v>Attaque (arme 1)</v>
      </c>
      <c r="D227" s="10" t="str">
        <f aca="false">INDEX(Bases!$F$5:$F$83,$T227)</f>
        <v>Attaque</v>
      </c>
      <c r="E227" s="11" t="str">
        <f aca="false">INDEX(Bases!$C$5:$C$83,$T227)</f>
        <v>Météore</v>
      </c>
      <c r="F227" s="10" t="str">
        <f aca="false">INDEX(Éléments!$A$5:$A$14,$U227)</f>
        <v>Acide</v>
      </c>
      <c r="G227" s="12" t="str">
        <f aca="false">IF(OR($F227="Neutre",$C227="Passif"),$E227,INDEX(Bases!$D$5:$D$83,$T227)&amp;" "&amp;INDEX(Éléments!$D$5:$D$14,$U227))</f>
        <v>Météore d'acide</v>
      </c>
      <c r="H227" s="10" t="str">
        <f aca="false">INDEX(Bases!$G$5:$G$83,$T227)</f>
        <v>Zone</v>
      </c>
      <c r="I227" s="13" t="n">
        <f aca="false">INDEX(Bases!$H$5:$H$83,$T227)</f>
        <v>3</v>
      </c>
      <c r="J227" s="10" t="str">
        <f aca="false">INDEX(Bases!$I$5:$I$83,$T227)</f>
        <v>Oui</v>
      </c>
      <c r="K227" s="14" t="n">
        <f aca="false">INDEX(Bases!$J$5:$J$83,$T227)</f>
        <v>1.6</v>
      </c>
      <c r="L227" s="10" t="str">
        <f aca="false">INDEX(Bases!$K$5:$K$83,$T227)</f>
        <v>Magie</v>
      </c>
      <c r="M227" s="11" t="str">
        <f aca="false">INDEX(Bases!$L$5:$L$83,$T227)</f>
        <v>Frappe toute la vague ; l'effet élémentaire est garanti sur la cible principale.</v>
      </c>
      <c r="N227" s="11" t="str">
        <f aca="false">IF($C227="Passif","—",IF($C227="Attaque (arme 1)",INDEX(Éléments!$F$5:$F$14,$U227),INDEX(Éléments!$G$5:$G$14,$U227)))</f>
        <v>50 % : 1 pile de Corrosion (−5 % Armure par pile, 4 piles max, 3 tours).</v>
      </c>
      <c r="O227" s="10" t="str">
        <f aca="false">INDEX(Bases!$M$5:$M$83,$T227)</f>
        <v>Active</v>
      </c>
      <c r="P227" s="13" t="n">
        <f aca="false">INDEX(Bases!$N$5:$N$83,$T227)</f>
        <v>30</v>
      </c>
      <c r="Q227" s="15" t="n">
        <f aca="false">INDEX(Éléments!$C$5:$C$14,$U227)</f>
        <v>50</v>
      </c>
      <c r="R227" s="11" t="str">
        <f aca="false">"Niv. "&amp;$P227&amp;IF($Q227&gt;0," · étage "&amp;$Q227&amp;" terminé","")</f>
        <v>Niv. 30 · étage 50 terminé</v>
      </c>
      <c r="S227" s="14" t="n">
        <f aca="false">IF(ISNUMBER($I227),$K227*IF($H227="Zone",Paramètres!$B$8,1)/MAX(1,$I227),0)</f>
        <v>1.6</v>
      </c>
      <c r="T227" s="16" t="n">
        <v>30</v>
      </c>
      <c r="U227" s="16" t="n">
        <v>5</v>
      </c>
    </row>
    <row r="228" customFormat="false" ht="15" hidden="false" customHeight="true" outlineLevel="0" collapsed="false">
      <c r="A228" s="9" t="s">
        <v>297</v>
      </c>
      <c r="B228" s="10" t="str">
        <f aca="false">INDEX(Bases!$B$5:$B$83,$T228)</f>
        <v>Mage</v>
      </c>
      <c r="C228" s="10" t="str">
        <f aca="false">INDEX(Bases!$E$5:$E$83,$T228)</f>
        <v>Attaque (arme 1)</v>
      </c>
      <c r="D228" s="10" t="str">
        <f aca="false">INDEX(Bases!$F$5:$F$83,$T228)</f>
        <v>Attaque</v>
      </c>
      <c r="E228" s="11" t="str">
        <f aca="false">INDEX(Bases!$C$5:$C$83,$T228)</f>
        <v>Météore</v>
      </c>
      <c r="F228" s="10" t="str">
        <f aca="false">INDEX(Éléments!$A$5:$A$14,$U228)</f>
        <v>Eau</v>
      </c>
      <c r="G228" s="12" t="str">
        <f aca="false">IF(OR($F228="Neutre",$C228="Passif"),$E228,INDEX(Bases!$D$5:$D$83,$T228)&amp;" "&amp;INDEX(Éléments!$D$5:$D$14,$U228))</f>
        <v>Météore d'eau</v>
      </c>
      <c r="H228" s="10" t="str">
        <f aca="false">INDEX(Bases!$G$5:$G$83,$T228)</f>
        <v>Zone</v>
      </c>
      <c r="I228" s="13" t="n">
        <f aca="false">INDEX(Bases!$H$5:$H$83,$T228)</f>
        <v>3</v>
      </c>
      <c r="J228" s="10" t="str">
        <f aca="false">INDEX(Bases!$I$5:$I$83,$T228)</f>
        <v>Oui</v>
      </c>
      <c r="K228" s="14" t="n">
        <f aca="false">INDEX(Bases!$J$5:$J$83,$T228)</f>
        <v>1.6</v>
      </c>
      <c r="L228" s="10" t="str">
        <f aca="false">INDEX(Bases!$K$5:$K$83,$T228)</f>
        <v>Magie</v>
      </c>
      <c r="M228" s="11" t="str">
        <f aca="false">INDEX(Bases!$L$5:$L$83,$T228)</f>
        <v>Frappe toute la vague ; l'effet élémentaire est garanti sur la cible principale.</v>
      </c>
      <c r="N228" s="11" t="str">
        <f aca="false">IF($C228="Passif","—",IF($C228="Attaque (arme 1)",INDEX(Éléments!$F$5:$F$14,$U228),INDEX(Éléments!$G$5:$G$14,$U228)))</f>
        <v>50 % : Mouillé (+25 % de dégâts d'Électricité subis, retire Brûlure, 3 tours).</v>
      </c>
      <c r="O228" s="10" t="str">
        <f aca="false">INDEX(Bases!$M$5:$M$83,$T228)</f>
        <v>Active</v>
      </c>
      <c r="P228" s="13" t="n">
        <f aca="false">INDEX(Bases!$N$5:$N$83,$T228)</f>
        <v>30</v>
      </c>
      <c r="Q228" s="15" t="n">
        <f aca="false">INDEX(Éléments!$C$5:$C$14,$U228)</f>
        <v>60</v>
      </c>
      <c r="R228" s="11" t="str">
        <f aca="false">"Niv. "&amp;$P228&amp;IF($Q228&gt;0," · étage "&amp;$Q228&amp;" terminé","")</f>
        <v>Niv. 30 · étage 60 terminé</v>
      </c>
      <c r="S228" s="14" t="n">
        <f aca="false">IF(ISNUMBER($I228),$K228*IF($H228="Zone",Paramètres!$B$8,1)/MAX(1,$I228),0)</f>
        <v>1.6</v>
      </c>
      <c r="T228" s="16" t="n">
        <v>30</v>
      </c>
      <c r="U228" s="16" t="n">
        <v>6</v>
      </c>
    </row>
    <row r="229" customFormat="false" ht="15" hidden="false" customHeight="true" outlineLevel="0" collapsed="false">
      <c r="A229" s="9" t="s">
        <v>298</v>
      </c>
      <c r="B229" s="10" t="str">
        <f aca="false">INDEX(Bases!$B$5:$B$83,$T229)</f>
        <v>Mage</v>
      </c>
      <c r="C229" s="10" t="str">
        <f aca="false">INDEX(Bases!$E$5:$E$83,$T229)</f>
        <v>Attaque (arme 1)</v>
      </c>
      <c r="D229" s="10" t="str">
        <f aca="false">INDEX(Bases!$F$5:$F$83,$T229)</f>
        <v>Attaque</v>
      </c>
      <c r="E229" s="11" t="str">
        <f aca="false">INDEX(Bases!$C$5:$C$83,$T229)</f>
        <v>Météore</v>
      </c>
      <c r="F229" s="10" t="str">
        <f aca="false">INDEX(Éléments!$A$5:$A$14,$U229)</f>
        <v>Glace</v>
      </c>
      <c r="G229" s="12" t="str">
        <f aca="false">IF(OR($F229="Neutre",$C229="Passif"),$E229,INDEX(Bases!$D$5:$D$83,$T229)&amp;" "&amp;INDEX(Éléments!$D$5:$D$14,$U229))</f>
        <v>Météore de glace</v>
      </c>
      <c r="H229" s="10" t="str">
        <f aca="false">INDEX(Bases!$G$5:$G$83,$T229)</f>
        <v>Zone</v>
      </c>
      <c r="I229" s="13" t="n">
        <f aca="false">INDEX(Bases!$H$5:$H$83,$T229)</f>
        <v>3</v>
      </c>
      <c r="J229" s="10" t="str">
        <f aca="false">INDEX(Bases!$I$5:$I$83,$T229)</f>
        <v>Oui</v>
      </c>
      <c r="K229" s="14" t="n">
        <f aca="false">INDEX(Bases!$J$5:$J$83,$T229)</f>
        <v>1.6</v>
      </c>
      <c r="L229" s="10" t="str">
        <f aca="false">INDEX(Bases!$K$5:$K$83,$T229)</f>
        <v>Magie</v>
      </c>
      <c r="M229" s="11" t="str">
        <f aca="false">INDEX(Bases!$L$5:$L$83,$T229)</f>
        <v>Frappe toute la vague ; l'effet élémentaire est garanti sur la cible principale.</v>
      </c>
      <c r="N229" s="11" t="str">
        <f aca="false">IF($C229="Passif","—",IF($C229="Attaque (arme 1)",INDEX(Éléments!$F$5:$F$14,$U229),INDEX(Éléments!$G$5:$G$14,$U229)))</f>
        <v>40 % : 1 pile de Froid (−8 % Agilité ; à 3 piles : Gel, la cible perd 1 tour).</v>
      </c>
      <c r="O229" s="10" t="str">
        <f aca="false">INDEX(Bases!$M$5:$M$83,$T229)</f>
        <v>Active</v>
      </c>
      <c r="P229" s="13" t="n">
        <f aca="false">INDEX(Bases!$N$5:$N$83,$T229)</f>
        <v>30</v>
      </c>
      <c r="Q229" s="15" t="n">
        <f aca="false">INDEX(Éléments!$C$5:$C$14,$U229)</f>
        <v>70</v>
      </c>
      <c r="R229" s="11" t="str">
        <f aca="false">"Niv. "&amp;$P229&amp;IF($Q229&gt;0," · étage "&amp;$Q229&amp;" terminé","")</f>
        <v>Niv. 30 · étage 70 terminé</v>
      </c>
      <c r="S229" s="14" t="n">
        <f aca="false">IF(ISNUMBER($I229),$K229*IF($H229="Zone",Paramètres!$B$8,1)/MAX(1,$I229),0)</f>
        <v>1.6</v>
      </c>
      <c r="T229" s="16" t="n">
        <v>30</v>
      </c>
      <c r="U229" s="16" t="n">
        <v>7</v>
      </c>
    </row>
    <row r="230" customFormat="false" ht="15" hidden="false" customHeight="true" outlineLevel="0" collapsed="false">
      <c r="A230" s="9" t="s">
        <v>299</v>
      </c>
      <c r="B230" s="10" t="str">
        <f aca="false">INDEX(Bases!$B$5:$B$83,$T230)</f>
        <v>Mage</v>
      </c>
      <c r="C230" s="10" t="str">
        <f aca="false">INDEX(Bases!$E$5:$E$83,$T230)</f>
        <v>Attaque (arme 1)</v>
      </c>
      <c r="D230" s="10" t="str">
        <f aca="false">INDEX(Bases!$F$5:$F$83,$T230)</f>
        <v>Attaque</v>
      </c>
      <c r="E230" s="11" t="str">
        <f aca="false">INDEX(Bases!$C$5:$C$83,$T230)</f>
        <v>Météore</v>
      </c>
      <c r="F230" s="10" t="str">
        <f aca="false">INDEX(Éléments!$A$5:$A$14,$U230)</f>
        <v>Électricité</v>
      </c>
      <c r="G230" s="12" t="str">
        <f aca="false">IF(OR($F230="Neutre",$C230="Passif"),$E230,INDEX(Bases!$D$5:$D$83,$T230)&amp;" "&amp;INDEX(Éléments!$D$5:$D$14,$U230))</f>
        <v>Météore de foudre</v>
      </c>
      <c r="H230" s="10" t="str">
        <f aca="false">INDEX(Bases!$G$5:$G$83,$T230)</f>
        <v>Zone</v>
      </c>
      <c r="I230" s="13" t="n">
        <f aca="false">INDEX(Bases!$H$5:$H$83,$T230)</f>
        <v>3</v>
      </c>
      <c r="J230" s="10" t="str">
        <f aca="false">INDEX(Bases!$I$5:$I$83,$T230)</f>
        <v>Oui</v>
      </c>
      <c r="K230" s="14" t="n">
        <f aca="false">INDEX(Bases!$J$5:$J$83,$T230)</f>
        <v>1.6</v>
      </c>
      <c r="L230" s="10" t="str">
        <f aca="false">INDEX(Bases!$K$5:$K$83,$T230)</f>
        <v>Magie</v>
      </c>
      <c r="M230" s="11" t="str">
        <f aca="false">INDEX(Bases!$L$5:$L$83,$T230)</f>
        <v>Frappe toute la vague ; l'effet élémentaire est garanti sur la cible principale.</v>
      </c>
      <c r="N230" s="11" t="str">
        <f aca="false">IF($C230="Passif","—",IF($C230="Attaque (arme 1)",INDEX(Éléments!$F$5:$F$14,$U230),INDEX(Éléments!$G$5:$G$14,$U230)))</f>
        <v>Rebondit sur 1 autre ennemi (40 % des dégâts) ; 10 % : Étourdissement (1 tour).</v>
      </c>
      <c r="O230" s="10" t="str">
        <f aca="false">INDEX(Bases!$M$5:$M$83,$T230)</f>
        <v>Active</v>
      </c>
      <c r="P230" s="13" t="n">
        <f aca="false">INDEX(Bases!$N$5:$N$83,$T230)</f>
        <v>30</v>
      </c>
      <c r="Q230" s="15" t="n">
        <f aca="false">INDEX(Éléments!$C$5:$C$14,$U230)</f>
        <v>80</v>
      </c>
      <c r="R230" s="11" t="str">
        <f aca="false">"Niv. "&amp;$P230&amp;IF($Q230&gt;0," · étage "&amp;$Q230&amp;" terminé","")</f>
        <v>Niv. 30 · étage 80 terminé</v>
      </c>
      <c r="S230" s="14" t="n">
        <f aca="false">IF(ISNUMBER($I230),$K230*IF($H230="Zone",Paramètres!$B$8,1)/MAX(1,$I230),0)</f>
        <v>1.6</v>
      </c>
      <c r="T230" s="16" t="n">
        <v>30</v>
      </c>
      <c r="U230" s="16" t="n">
        <v>8</v>
      </c>
    </row>
    <row r="231" customFormat="false" ht="15" hidden="false" customHeight="true" outlineLevel="0" collapsed="false">
      <c r="A231" s="9" t="s">
        <v>300</v>
      </c>
      <c r="B231" s="10" t="str">
        <f aca="false">INDEX(Bases!$B$5:$B$83,$T231)</f>
        <v>Mage</v>
      </c>
      <c r="C231" s="10" t="str">
        <f aca="false">INDEX(Bases!$E$5:$E$83,$T231)</f>
        <v>Attaque (arme 1)</v>
      </c>
      <c r="D231" s="10" t="str">
        <f aca="false">INDEX(Bases!$F$5:$F$83,$T231)</f>
        <v>Attaque</v>
      </c>
      <c r="E231" s="11" t="str">
        <f aca="false">INDEX(Bases!$C$5:$C$83,$T231)</f>
        <v>Météore</v>
      </c>
      <c r="F231" s="10" t="str">
        <f aca="false">INDEX(Éléments!$A$5:$A$14,$U231)</f>
        <v>Lumière</v>
      </c>
      <c r="G231" s="12" t="str">
        <f aca="false">IF(OR($F231="Neutre",$C231="Passif"),$E231,INDEX(Bases!$D$5:$D$83,$T231)&amp;" "&amp;INDEX(Éléments!$D$5:$D$14,$U231))</f>
        <v>Météore de lumière</v>
      </c>
      <c r="H231" s="10" t="str">
        <f aca="false">INDEX(Bases!$G$5:$G$83,$T231)</f>
        <v>Zone</v>
      </c>
      <c r="I231" s="13" t="n">
        <f aca="false">INDEX(Bases!$H$5:$H$83,$T231)</f>
        <v>3</v>
      </c>
      <c r="J231" s="10" t="str">
        <f aca="false">INDEX(Bases!$I$5:$I$83,$T231)</f>
        <v>Oui</v>
      </c>
      <c r="K231" s="14" t="n">
        <f aca="false">INDEX(Bases!$J$5:$J$83,$T231)</f>
        <v>1.6</v>
      </c>
      <c r="L231" s="10" t="str">
        <f aca="false">INDEX(Bases!$K$5:$K$83,$T231)</f>
        <v>Magie</v>
      </c>
      <c r="M231" s="11" t="str">
        <f aca="false">INDEX(Bases!$L$5:$L$83,$T231)</f>
        <v>Frappe toute la vague ; l'effet élémentaire est garanti sur la cible principale.</v>
      </c>
      <c r="N231" s="11" t="str">
        <f aca="false">IF($C231="Passif","—",IF($C231="Attaque (arme 1)",INDEX(Éléments!$F$5:$F$14,$U231),INDEX(Éléments!$G$5:$G$14,$U231)))</f>
        <v>Soigne le lanceur de 5 % des dégâts infligés ; 25 % : Éblouissement (−20 % chance de critique, 2 tours).</v>
      </c>
      <c r="O231" s="10" t="str">
        <f aca="false">INDEX(Bases!$M$5:$M$83,$T231)</f>
        <v>Active</v>
      </c>
      <c r="P231" s="13" t="n">
        <f aca="false">INDEX(Bases!$N$5:$N$83,$T231)</f>
        <v>30</v>
      </c>
      <c r="Q231" s="15" t="n">
        <f aca="false">INDEX(Éléments!$C$5:$C$14,$U231)</f>
        <v>90</v>
      </c>
      <c r="R231" s="11" t="str">
        <f aca="false">"Niv. "&amp;$P231&amp;IF($Q231&gt;0," · étage "&amp;$Q231&amp;" terminé","")</f>
        <v>Niv. 30 · étage 90 terminé</v>
      </c>
      <c r="S231" s="14" t="n">
        <f aca="false">IF(ISNUMBER($I231),$K231*IF($H231="Zone",Paramètres!$B$8,1)/MAX(1,$I231),0)</f>
        <v>1.6</v>
      </c>
      <c r="T231" s="16" t="n">
        <v>30</v>
      </c>
      <c r="U231" s="16" t="n">
        <v>9</v>
      </c>
    </row>
    <row r="232" customFormat="false" ht="15" hidden="false" customHeight="true" outlineLevel="0" collapsed="false">
      <c r="A232" s="9" t="s">
        <v>301</v>
      </c>
      <c r="B232" s="10" t="str">
        <f aca="false">INDEX(Bases!$B$5:$B$83,$T232)</f>
        <v>Mage</v>
      </c>
      <c r="C232" s="10" t="str">
        <f aca="false">INDEX(Bases!$E$5:$E$83,$T232)</f>
        <v>Attaque (arme 1)</v>
      </c>
      <c r="D232" s="10" t="str">
        <f aca="false">INDEX(Bases!$F$5:$F$83,$T232)</f>
        <v>Attaque</v>
      </c>
      <c r="E232" s="11" t="str">
        <f aca="false">INDEX(Bases!$C$5:$C$83,$T232)</f>
        <v>Météore</v>
      </c>
      <c r="F232" s="10" t="str">
        <f aca="false">INDEX(Éléments!$A$5:$A$14,$U232)</f>
        <v>Ombre</v>
      </c>
      <c r="G232" s="12" t="str">
        <f aca="false">IF(OR($F232="Neutre",$C232="Passif"),$E232,INDEX(Bases!$D$5:$D$83,$T232)&amp;" "&amp;INDEX(Éléments!$D$5:$D$14,$U232))</f>
        <v>Météore d'ombre</v>
      </c>
      <c r="H232" s="10" t="str">
        <f aca="false">INDEX(Bases!$G$5:$G$83,$T232)</f>
        <v>Zone</v>
      </c>
      <c r="I232" s="13" t="n">
        <f aca="false">INDEX(Bases!$H$5:$H$83,$T232)</f>
        <v>3</v>
      </c>
      <c r="J232" s="10" t="str">
        <f aca="false">INDEX(Bases!$I$5:$I$83,$T232)</f>
        <v>Oui</v>
      </c>
      <c r="K232" s="14" t="n">
        <f aca="false">INDEX(Bases!$J$5:$J$83,$T232)</f>
        <v>1.6</v>
      </c>
      <c r="L232" s="10" t="str">
        <f aca="false">INDEX(Bases!$K$5:$K$83,$T232)</f>
        <v>Magie</v>
      </c>
      <c r="M232" s="11" t="str">
        <f aca="false">INDEX(Bases!$L$5:$L$83,$T232)</f>
        <v>Frappe toute la vague ; l'effet élémentaire est garanti sur la cible principale.</v>
      </c>
      <c r="N232" s="11" t="str">
        <f aca="false">IF($C232="Passif","—",IF($C232="Attaque (arme 1)",INDEX(Éléments!$F$5:$F$14,$U232),INDEX(Éléments!$G$5:$G$14,$U232)))</f>
        <v>Vol de vie 5 % ; 30 % : Corruption (+10 % de dégâts subis, 2 tours).</v>
      </c>
      <c r="O232" s="10" t="str">
        <f aca="false">INDEX(Bases!$M$5:$M$83,$T232)</f>
        <v>Active</v>
      </c>
      <c r="P232" s="13" t="n">
        <f aca="false">INDEX(Bases!$N$5:$N$83,$T232)</f>
        <v>30</v>
      </c>
      <c r="Q232" s="15" t="n">
        <f aca="false">INDEX(Éléments!$C$5:$C$14,$U232)</f>
        <v>100</v>
      </c>
      <c r="R232" s="11" t="str">
        <f aca="false">"Niv. "&amp;$P232&amp;IF($Q232&gt;0," · étage "&amp;$Q232&amp;" terminé","")</f>
        <v>Niv. 30 · étage 100 terminé</v>
      </c>
      <c r="S232" s="14" t="n">
        <f aca="false">IF(ISNUMBER($I232),$K232*IF($H232="Zone",Paramètres!$B$8,1)/MAX(1,$I232),0)</f>
        <v>1.6</v>
      </c>
      <c r="T232" s="16" t="n">
        <v>30</v>
      </c>
      <c r="U232" s="16" t="n">
        <v>10</v>
      </c>
    </row>
    <row r="233" customFormat="false" ht="15" hidden="false" customHeight="true" outlineLevel="0" collapsed="false">
      <c r="A233" s="9" t="s">
        <v>302</v>
      </c>
      <c r="B233" s="10" t="str">
        <f aca="false">INDEX(Bases!$B$5:$B$83,$T233)</f>
        <v>Mage</v>
      </c>
      <c r="C233" s="10" t="str">
        <f aca="false">INDEX(Bases!$E$5:$E$83,$T233)</f>
        <v>Attaque (arme 1)</v>
      </c>
      <c r="D233" s="10" t="str">
        <f aca="false">INDEX(Bases!$F$5:$F$83,$T233)</f>
        <v>Attaque</v>
      </c>
      <c r="E233" s="11" t="str">
        <f aca="false">INDEX(Bases!$C$5:$C$83,$T233)</f>
        <v>Explosion arcanique</v>
      </c>
      <c r="F233" s="10" t="str">
        <f aca="false">INDEX(Éléments!$A$5:$A$14,$U233)</f>
        <v>Neutre</v>
      </c>
      <c r="G233" s="12" t="str">
        <f aca="false">IF(OR($F233="Neutre",$C233="Passif"),$E233,INDEX(Bases!$D$5:$D$83,$T233)&amp;" "&amp;INDEX(Éléments!$D$5:$D$14,$U233))</f>
        <v>Explosion arcanique</v>
      </c>
      <c r="H233" s="10" t="str">
        <f aca="false">INDEX(Bases!$G$5:$G$83,$T233)</f>
        <v>Mono</v>
      </c>
      <c r="I233" s="13" t="n">
        <f aca="false">INDEX(Bases!$H$5:$H$83,$T233)</f>
        <v>3</v>
      </c>
      <c r="J233" s="10" t="str">
        <f aca="false">INDEX(Bases!$I$5:$I$83,$T233)</f>
        <v>Oui</v>
      </c>
      <c r="K233" s="14" t="n">
        <f aca="false">INDEX(Bases!$J$5:$J$83,$T233)</f>
        <v>3</v>
      </c>
      <c r="L233" s="10" t="str">
        <f aca="false">INDEX(Bases!$K$5:$K$83,$T233)</f>
        <v>Magie</v>
      </c>
      <c r="M233" s="11" t="str">
        <f aca="false">INDEX(Bases!$L$5:$L$83,$T233)</f>
        <v>+25 % de dégâts si la cible porte une altération.</v>
      </c>
      <c r="N233" s="11" t="str">
        <f aca="false">IF($C233="Passif","—",IF($C233="Attaque (arme 1)",INDEX(Éléments!$F$5:$F$14,$U233),INDEX(Éléments!$G$5:$G$14,$U233)))</f>
        <v>Aucune altération ; ignore 10 % de la Résistance de la cible. Fiable contre tous les biomes.</v>
      </c>
      <c r="O233" s="10" t="str">
        <f aca="false">INDEX(Bases!$M$5:$M$83,$T233)</f>
        <v>Active</v>
      </c>
      <c r="P233" s="13" t="n">
        <f aca="false">INDEX(Bases!$N$5:$N$83,$T233)</f>
        <v>60</v>
      </c>
      <c r="Q233" s="15" t="n">
        <f aca="false">INDEX(Éléments!$C$5:$C$14,$U233)</f>
        <v>0</v>
      </c>
      <c r="R233" s="11" t="str">
        <f aca="false">"Niv. "&amp;$P233&amp;IF($Q233&gt;0," · étage "&amp;$Q233&amp;" terminé","")</f>
        <v>Niv. 60</v>
      </c>
      <c r="S233" s="14" t="n">
        <f aca="false">IF(ISNUMBER($I233),$K233*IF($H233="Zone",Paramètres!$B$8,1)/MAX(1,$I233),0)</f>
        <v>1</v>
      </c>
      <c r="T233" s="16" t="n">
        <v>31</v>
      </c>
      <c r="U233" s="16" t="n">
        <v>1</v>
      </c>
    </row>
    <row r="234" customFormat="false" ht="15" hidden="false" customHeight="true" outlineLevel="0" collapsed="false">
      <c r="A234" s="9" t="s">
        <v>303</v>
      </c>
      <c r="B234" s="10" t="str">
        <f aca="false">INDEX(Bases!$B$5:$B$83,$T234)</f>
        <v>Mage</v>
      </c>
      <c r="C234" s="10" t="str">
        <f aca="false">INDEX(Bases!$E$5:$E$83,$T234)</f>
        <v>Attaque (arme 1)</v>
      </c>
      <c r="D234" s="10" t="str">
        <f aca="false">INDEX(Bases!$F$5:$F$83,$T234)</f>
        <v>Attaque</v>
      </c>
      <c r="E234" s="11" t="str">
        <f aca="false">INDEX(Bases!$C$5:$C$83,$T234)</f>
        <v>Explosion arcanique</v>
      </c>
      <c r="F234" s="10" t="str">
        <f aca="false">INDEX(Éléments!$A$5:$A$14,$U234)</f>
        <v>Terre</v>
      </c>
      <c r="G234" s="12" t="str">
        <f aca="false">IF(OR($F234="Neutre",$C234="Passif"),$E234,INDEX(Bases!$D$5:$D$83,$T234)&amp;" "&amp;INDEX(Éléments!$D$5:$D$14,$U234))</f>
        <v>Explosion de pierre</v>
      </c>
      <c r="H234" s="10" t="str">
        <f aca="false">INDEX(Bases!$G$5:$G$83,$T234)</f>
        <v>Mono</v>
      </c>
      <c r="I234" s="13" t="n">
        <f aca="false">INDEX(Bases!$H$5:$H$83,$T234)</f>
        <v>3</v>
      </c>
      <c r="J234" s="10" t="str">
        <f aca="false">INDEX(Bases!$I$5:$I$83,$T234)</f>
        <v>Oui</v>
      </c>
      <c r="K234" s="14" t="n">
        <f aca="false">INDEX(Bases!$J$5:$J$83,$T234)</f>
        <v>3</v>
      </c>
      <c r="L234" s="10" t="str">
        <f aca="false">INDEX(Bases!$K$5:$K$83,$T234)</f>
        <v>Magie</v>
      </c>
      <c r="M234" s="11" t="str">
        <f aca="false">INDEX(Bases!$L$5:$L$83,$T234)</f>
        <v>+25 % de dégâts si la cible porte une altération.</v>
      </c>
      <c r="N234" s="11" t="str">
        <f aca="false">IF($C234="Passif","—",IF($C234="Attaque (arme 1)",INDEX(Éléments!$F$5:$F$14,$U234),INDEX(Éléments!$G$5:$G$14,$U234)))</f>
        <v>30 % : Garde brisée (−15 % Résistance, 2 tours).</v>
      </c>
      <c r="O234" s="10" t="str">
        <f aca="false">INDEX(Bases!$M$5:$M$83,$T234)</f>
        <v>Active</v>
      </c>
      <c r="P234" s="13" t="n">
        <f aca="false">INDEX(Bases!$N$5:$N$83,$T234)</f>
        <v>60</v>
      </c>
      <c r="Q234" s="15" t="n">
        <f aca="false">INDEX(Éléments!$C$5:$C$14,$U234)</f>
        <v>20</v>
      </c>
      <c r="R234" s="11" t="str">
        <f aca="false">"Niv. "&amp;$P234&amp;IF($Q234&gt;0," · étage "&amp;$Q234&amp;" terminé","")</f>
        <v>Niv. 60 · étage 20 terminé</v>
      </c>
      <c r="S234" s="14" t="n">
        <f aca="false">IF(ISNUMBER($I234),$K234*IF($H234="Zone",Paramètres!$B$8,1)/MAX(1,$I234),0)</f>
        <v>1</v>
      </c>
      <c r="T234" s="16" t="n">
        <v>31</v>
      </c>
      <c r="U234" s="16" t="n">
        <v>2</v>
      </c>
    </row>
    <row r="235" customFormat="false" ht="15" hidden="false" customHeight="true" outlineLevel="0" collapsed="false">
      <c r="A235" s="9" t="s">
        <v>304</v>
      </c>
      <c r="B235" s="10" t="str">
        <f aca="false">INDEX(Bases!$B$5:$B$83,$T235)</f>
        <v>Mage</v>
      </c>
      <c r="C235" s="10" t="str">
        <f aca="false">INDEX(Bases!$E$5:$E$83,$T235)</f>
        <v>Attaque (arme 1)</v>
      </c>
      <c r="D235" s="10" t="str">
        <f aca="false">INDEX(Bases!$F$5:$F$83,$T235)</f>
        <v>Attaque</v>
      </c>
      <c r="E235" s="11" t="str">
        <f aca="false">INDEX(Bases!$C$5:$C$83,$T235)</f>
        <v>Explosion arcanique</v>
      </c>
      <c r="F235" s="10" t="str">
        <f aca="false">INDEX(Éléments!$A$5:$A$14,$U235)</f>
        <v>Feu</v>
      </c>
      <c r="G235" s="12" t="str">
        <f aca="false">IF(OR($F235="Neutre",$C235="Passif"),$E235,INDEX(Bases!$D$5:$D$83,$T235)&amp;" "&amp;INDEX(Éléments!$D$5:$D$14,$U235))</f>
        <v>Explosion de feu</v>
      </c>
      <c r="H235" s="10" t="str">
        <f aca="false">INDEX(Bases!$G$5:$G$83,$T235)</f>
        <v>Mono</v>
      </c>
      <c r="I235" s="13" t="n">
        <f aca="false">INDEX(Bases!$H$5:$H$83,$T235)</f>
        <v>3</v>
      </c>
      <c r="J235" s="10" t="str">
        <f aca="false">INDEX(Bases!$I$5:$I$83,$T235)</f>
        <v>Oui</v>
      </c>
      <c r="K235" s="14" t="n">
        <f aca="false">INDEX(Bases!$J$5:$J$83,$T235)</f>
        <v>3</v>
      </c>
      <c r="L235" s="10" t="str">
        <f aca="false">INDEX(Bases!$K$5:$K$83,$T235)</f>
        <v>Magie</v>
      </c>
      <c r="M235" s="11" t="str">
        <f aca="false">INDEX(Bases!$L$5:$L$83,$T235)</f>
        <v>+25 % de dégâts si la cible porte une altération.</v>
      </c>
      <c r="N235" s="11" t="str">
        <f aca="false">IF($C235="Passif","—",IF($C235="Attaque (arme 1)",INDEX(Éléments!$F$5:$F$14,$U235),INDEX(Éléments!$G$5:$G$14,$U235)))</f>
        <v>35 % : Brûlure (8 % de la stat d'attaque par tour, 3 tours, non cumulable).</v>
      </c>
      <c r="O235" s="10" t="str">
        <f aca="false">INDEX(Bases!$M$5:$M$83,$T235)</f>
        <v>Active</v>
      </c>
      <c r="P235" s="13" t="n">
        <f aca="false">INDEX(Bases!$N$5:$N$83,$T235)</f>
        <v>60</v>
      </c>
      <c r="Q235" s="15" t="n">
        <f aca="false">INDEX(Éléments!$C$5:$C$14,$U235)</f>
        <v>30</v>
      </c>
      <c r="R235" s="11" t="str">
        <f aca="false">"Niv. "&amp;$P235&amp;IF($Q235&gt;0," · étage "&amp;$Q235&amp;" terminé","")</f>
        <v>Niv. 60 · étage 30 terminé</v>
      </c>
      <c r="S235" s="14" t="n">
        <f aca="false">IF(ISNUMBER($I235),$K235*IF($H235="Zone",Paramètres!$B$8,1)/MAX(1,$I235),0)</f>
        <v>1</v>
      </c>
      <c r="T235" s="16" t="n">
        <v>31</v>
      </c>
      <c r="U235" s="16" t="n">
        <v>3</v>
      </c>
    </row>
    <row r="236" customFormat="false" ht="15" hidden="false" customHeight="true" outlineLevel="0" collapsed="false">
      <c r="A236" s="9" t="s">
        <v>305</v>
      </c>
      <c r="B236" s="10" t="str">
        <f aca="false">INDEX(Bases!$B$5:$B$83,$T236)</f>
        <v>Mage</v>
      </c>
      <c r="C236" s="10" t="str">
        <f aca="false">INDEX(Bases!$E$5:$E$83,$T236)</f>
        <v>Attaque (arme 1)</v>
      </c>
      <c r="D236" s="10" t="str">
        <f aca="false">INDEX(Bases!$F$5:$F$83,$T236)</f>
        <v>Attaque</v>
      </c>
      <c r="E236" s="11" t="str">
        <f aca="false">INDEX(Bases!$C$5:$C$83,$T236)</f>
        <v>Explosion arcanique</v>
      </c>
      <c r="F236" s="10" t="str">
        <f aca="false">INDEX(Éléments!$A$5:$A$14,$U236)</f>
        <v>Vent</v>
      </c>
      <c r="G236" s="12" t="str">
        <f aca="false">IF(OR($F236="Neutre",$C236="Passif"),$E236,INDEX(Bases!$D$5:$D$83,$T236)&amp;" "&amp;INDEX(Éléments!$D$5:$D$14,$U236))</f>
        <v>Explosion de vent</v>
      </c>
      <c r="H236" s="10" t="str">
        <f aca="false">INDEX(Bases!$G$5:$G$83,$T236)</f>
        <v>Mono</v>
      </c>
      <c r="I236" s="13" t="n">
        <f aca="false">INDEX(Bases!$H$5:$H$83,$T236)</f>
        <v>3</v>
      </c>
      <c r="J236" s="10" t="str">
        <f aca="false">INDEX(Bases!$I$5:$I$83,$T236)</f>
        <v>Oui</v>
      </c>
      <c r="K236" s="14" t="n">
        <f aca="false">INDEX(Bases!$J$5:$J$83,$T236)</f>
        <v>3</v>
      </c>
      <c r="L236" s="10" t="str">
        <f aca="false">INDEX(Bases!$K$5:$K$83,$T236)</f>
        <v>Magie</v>
      </c>
      <c r="M236" s="11" t="str">
        <f aca="false">INDEX(Bases!$L$5:$L$83,$T236)</f>
        <v>+25 % de dégâts si la cible porte une altération.</v>
      </c>
      <c r="N236" s="11" t="str">
        <f aca="false">IF($C236="Passif","—",IF($C236="Attaque (arme 1)",INDEX(Éléments!$F$5:$F$14,$U236),INDEX(Éléments!$G$5:$G$14,$U236)))</f>
        <v>+10 % de chance de critique ; 30 % : Désorienté (−15 % Précision, 2 tours).</v>
      </c>
      <c r="O236" s="10" t="str">
        <f aca="false">INDEX(Bases!$M$5:$M$83,$T236)</f>
        <v>Active</v>
      </c>
      <c r="P236" s="13" t="n">
        <f aca="false">INDEX(Bases!$N$5:$N$83,$T236)</f>
        <v>60</v>
      </c>
      <c r="Q236" s="15" t="n">
        <f aca="false">INDEX(Éléments!$C$5:$C$14,$U236)</f>
        <v>40</v>
      </c>
      <c r="R236" s="11" t="str">
        <f aca="false">"Niv. "&amp;$P236&amp;IF($Q236&gt;0," · étage "&amp;$Q236&amp;" terminé","")</f>
        <v>Niv. 60 · étage 40 terminé</v>
      </c>
      <c r="S236" s="14" t="n">
        <f aca="false">IF(ISNUMBER($I236),$K236*IF($H236="Zone",Paramètres!$B$8,1)/MAX(1,$I236),0)</f>
        <v>1</v>
      </c>
      <c r="T236" s="16" t="n">
        <v>31</v>
      </c>
      <c r="U236" s="16" t="n">
        <v>4</v>
      </c>
    </row>
    <row r="237" customFormat="false" ht="15" hidden="false" customHeight="true" outlineLevel="0" collapsed="false">
      <c r="A237" s="9" t="s">
        <v>306</v>
      </c>
      <c r="B237" s="10" t="str">
        <f aca="false">INDEX(Bases!$B$5:$B$83,$T237)</f>
        <v>Mage</v>
      </c>
      <c r="C237" s="10" t="str">
        <f aca="false">INDEX(Bases!$E$5:$E$83,$T237)</f>
        <v>Attaque (arme 1)</v>
      </c>
      <c r="D237" s="10" t="str">
        <f aca="false">INDEX(Bases!$F$5:$F$83,$T237)</f>
        <v>Attaque</v>
      </c>
      <c r="E237" s="11" t="str">
        <f aca="false">INDEX(Bases!$C$5:$C$83,$T237)</f>
        <v>Explosion arcanique</v>
      </c>
      <c r="F237" s="10" t="str">
        <f aca="false">INDEX(Éléments!$A$5:$A$14,$U237)</f>
        <v>Acide</v>
      </c>
      <c r="G237" s="12" t="str">
        <f aca="false">IF(OR($F237="Neutre",$C237="Passif"),$E237,INDEX(Bases!$D$5:$D$83,$T237)&amp;" "&amp;INDEX(Éléments!$D$5:$D$14,$U237))</f>
        <v>Explosion d'acide</v>
      </c>
      <c r="H237" s="10" t="str">
        <f aca="false">INDEX(Bases!$G$5:$G$83,$T237)</f>
        <v>Mono</v>
      </c>
      <c r="I237" s="13" t="n">
        <f aca="false">INDEX(Bases!$H$5:$H$83,$T237)</f>
        <v>3</v>
      </c>
      <c r="J237" s="10" t="str">
        <f aca="false">INDEX(Bases!$I$5:$I$83,$T237)</f>
        <v>Oui</v>
      </c>
      <c r="K237" s="14" t="n">
        <f aca="false">INDEX(Bases!$J$5:$J$83,$T237)</f>
        <v>3</v>
      </c>
      <c r="L237" s="10" t="str">
        <f aca="false">INDEX(Bases!$K$5:$K$83,$T237)</f>
        <v>Magie</v>
      </c>
      <c r="M237" s="11" t="str">
        <f aca="false">INDEX(Bases!$L$5:$L$83,$T237)</f>
        <v>+25 % de dégâts si la cible porte une altération.</v>
      </c>
      <c r="N237" s="11" t="str">
        <f aca="false">IF($C237="Passif","—",IF($C237="Attaque (arme 1)",INDEX(Éléments!$F$5:$F$14,$U237),INDEX(Éléments!$G$5:$G$14,$U237)))</f>
        <v>50 % : 1 pile de Corrosion (−5 % Armure par pile, 4 piles max, 3 tours).</v>
      </c>
      <c r="O237" s="10" t="str">
        <f aca="false">INDEX(Bases!$M$5:$M$83,$T237)</f>
        <v>Active</v>
      </c>
      <c r="P237" s="13" t="n">
        <f aca="false">INDEX(Bases!$N$5:$N$83,$T237)</f>
        <v>60</v>
      </c>
      <c r="Q237" s="15" t="n">
        <f aca="false">INDEX(Éléments!$C$5:$C$14,$U237)</f>
        <v>50</v>
      </c>
      <c r="R237" s="11" t="str">
        <f aca="false">"Niv. "&amp;$P237&amp;IF($Q237&gt;0," · étage "&amp;$Q237&amp;" terminé","")</f>
        <v>Niv. 60 · étage 50 terminé</v>
      </c>
      <c r="S237" s="14" t="n">
        <f aca="false">IF(ISNUMBER($I237),$K237*IF($H237="Zone",Paramètres!$B$8,1)/MAX(1,$I237),0)</f>
        <v>1</v>
      </c>
      <c r="T237" s="16" t="n">
        <v>31</v>
      </c>
      <c r="U237" s="16" t="n">
        <v>5</v>
      </c>
    </row>
    <row r="238" customFormat="false" ht="15" hidden="false" customHeight="true" outlineLevel="0" collapsed="false">
      <c r="A238" s="9" t="s">
        <v>307</v>
      </c>
      <c r="B238" s="10" t="str">
        <f aca="false">INDEX(Bases!$B$5:$B$83,$T238)</f>
        <v>Mage</v>
      </c>
      <c r="C238" s="10" t="str">
        <f aca="false">INDEX(Bases!$E$5:$E$83,$T238)</f>
        <v>Attaque (arme 1)</v>
      </c>
      <c r="D238" s="10" t="str">
        <f aca="false">INDEX(Bases!$F$5:$F$83,$T238)</f>
        <v>Attaque</v>
      </c>
      <c r="E238" s="11" t="str">
        <f aca="false">INDEX(Bases!$C$5:$C$83,$T238)</f>
        <v>Explosion arcanique</v>
      </c>
      <c r="F238" s="10" t="str">
        <f aca="false">INDEX(Éléments!$A$5:$A$14,$U238)</f>
        <v>Eau</v>
      </c>
      <c r="G238" s="12" t="str">
        <f aca="false">IF(OR($F238="Neutre",$C238="Passif"),$E238,INDEX(Bases!$D$5:$D$83,$T238)&amp;" "&amp;INDEX(Éléments!$D$5:$D$14,$U238))</f>
        <v>Explosion d'eau</v>
      </c>
      <c r="H238" s="10" t="str">
        <f aca="false">INDEX(Bases!$G$5:$G$83,$T238)</f>
        <v>Mono</v>
      </c>
      <c r="I238" s="13" t="n">
        <f aca="false">INDEX(Bases!$H$5:$H$83,$T238)</f>
        <v>3</v>
      </c>
      <c r="J238" s="10" t="str">
        <f aca="false">INDEX(Bases!$I$5:$I$83,$T238)</f>
        <v>Oui</v>
      </c>
      <c r="K238" s="14" t="n">
        <f aca="false">INDEX(Bases!$J$5:$J$83,$T238)</f>
        <v>3</v>
      </c>
      <c r="L238" s="10" t="str">
        <f aca="false">INDEX(Bases!$K$5:$K$83,$T238)</f>
        <v>Magie</v>
      </c>
      <c r="M238" s="11" t="str">
        <f aca="false">INDEX(Bases!$L$5:$L$83,$T238)</f>
        <v>+25 % de dégâts si la cible porte une altération.</v>
      </c>
      <c r="N238" s="11" t="str">
        <f aca="false">IF($C238="Passif","—",IF($C238="Attaque (arme 1)",INDEX(Éléments!$F$5:$F$14,$U238),INDEX(Éléments!$G$5:$G$14,$U238)))</f>
        <v>50 % : Mouillé (+25 % de dégâts d'Électricité subis, retire Brûlure, 3 tours).</v>
      </c>
      <c r="O238" s="10" t="str">
        <f aca="false">INDEX(Bases!$M$5:$M$83,$T238)</f>
        <v>Active</v>
      </c>
      <c r="P238" s="13" t="n">
        <f aca="false">INDEX(Bases!$N$5:$N$83,$T238)</f>
        <v>60</v>
      </c>
      <c r="Q238" s="15" t="n">
        <f aca="false">INDEX(Éléments!$C$5:$C$14,$U238)</f>
        <v>60</v>
      </c>
      <c r="R238" s="11" t="str">
        <f aca="false">"Niv. "&amp;$P238&amp;IF($Q238&gt;0," · étage "&amp;$Q238&amp;" terminé","")</f>
        <v>Niv. 60 · étage 60 terminé</v>
      </c>
      <c r="S238" s="14" t="n">
        <f aca="false">IF(ISNUMBER($I238),$K238*IF($H238="Zone",Paramètres!$B$8,1)/MAX(1,$I238),0)</f>
        <v>1</v>
      </c>
      <c r="T238" s="16" t="n">
        <v>31</v>
      </c>
      <c r="U238" s="16" t="n">
        <v>6</v>
      </c>
    </row>
    <row r="239" customFormat="false" ht="15" hidden="false" customHeight="true" outlineLevel="0" collapsed="false">
      <c r="A239" s="9" t="s">
        <v>308</v>
      </c>
      <c r="B239" s="10" t="str">
        <f aca="false">INDEX(Bases!$B$5:$B$83,$T239)</f>
        <v>Mage</v>
      </c>
      <c r="C239" s="10" t="str">
        <f aca="false">INDEX(Bases!$E$5:$E$83,$T239)</f>
        <v>Attaque (arme 1)</v>
      </c>
      <c r="D239" s="10" t="str">
        <f aca="false">INDEX(Bases!$F$5:$F$83,$T239)</f>
        <v>Attaque</v>
      </c>
      <c r="E239" s="11" t="str">
        <f aca="false">INDEX(Bases!$C$5:$C$83,$T239)</f>
        <v>Explosion arcanique</v>
      </c>
      <c r="F239" s="10" t="str">
        <f aca="false">INDEX(Éléments!$A$5:$A$14,$U239)</f>
        <v>Glace</v>
      </c>
      <c r="G239" s="12" t="str">
        <f aca="false">IF(OR($F239="Neutre",$C239="Passif"),$E239,INDEX(Bases!$D$5:$D$83,$T239)&amp;" "&amp;INDEX(Éléments!$D$5:$D$14,$U239))</f>
        <v>Explosion de glace</v>
      </c>
      <c r="H239" s="10" t="str">
        <f aca="false">INDEX(Bases!$G$5:$G$83,$T239)</f>
        <v>Mono</v>
      </c>
      <c r="I239" s="13" t="n">
        <f aca="false">INDEX(Bases!$H$5:$H$83,$T239)</f>
        <v>3</v>
      </c>
      <c r="J239" s="10" t="str">
        <f aca="false">INDEX(Bases!$I$5:$I$83,$T239)</f>
        <v>Oui</v>
      </c>
      <c r="K239" s="14" t="n">
        <f aca="false">INDEX(Bases!$J$5:$J$83,$T239)</f>
        <v>3</v>
      </c>
      <c r="L239" s="10" t="str">
        <f aca="false">INDEX(Bases!$K$5:$K$83,$T239)</f>
        <v>Magie</v>
      </c>
      <c r="M239" s="11" t="str">
        <f aca="false">INDEX(Bases!$L$5:$L$83,$T239)</f>
        <v>+25 % de dégâts si la cible porte une altération.</v>
      </c>
      <c r="N239" s="11" t="str">
        <f aca="false">IF($C239="Passif","—",IF($C239="Attaque (arme 1)",INDEX(Éléments!$F$5:$F$14,$U239),INDEX(Éléments!$G$5:$G$14,$U239)))</f>
        <v>40 % : 1 pile de Froid (−8 % Agilité ; à 3 piles : Gel, la cible perd 1 tour).</v>
      </c>
      <c r="O239" s="10" t="str">
        <f aca="false">INDEX(Bases!$M$5:$M$83,$T239)</f>
        <v>Active</v>
      </c>
      <c r="P239" s="13" t="n">
        <f aca="false">INDEX(Bases!$N$5:$N$83,$T239)</f>
        <v>60</v>
      </c>
      <c r="Q239" s="15" t="n">
        <f aca="false">INDEX(Éléments!$C$5:$C$14,$U239)</f>
        <v>70</v>
      </c>
      <c r="R239" s="11" t="str">
        <f aca="false">"Niv. "&amp;$P239&amp;IF($Q239&gt;0," · étage "&amp;$Q239&amp;" terminé","")</f>
        <v>Niv. 60 · étage 70 terminé</v>
      </c>
      <c r="S239" s="14" t="n">
        <f aca="false">IF(ISNUMBER($I239),$K239*IF($H239="Zone",Paramètres!$B$8,1)/MAX(1,$I239),0)</f>
        <v>1</v>
      </c>
      <c r="T239" s="16" t="n">
        <v>31</v>
      </c>
      <c r="U239" s="16" t="n">
        <v>7</v>
      </c>
    </row>
    <row r="240" customFormat="false" ht="15" hidden="false" customHeight="true" outlineLevel="0" collapsed="false">
      <c r="A240" s="9" t="s">
        <v>309</v>
      </c>
      <c r="B240" s="10" t="str">
        <f aca="false">INDEX(Bases!$B$5:$B$83,$T240)</f>
        <v>Mage</v>
      </c>
      <c r="C240" s="10" t="str">
        <f aca="false">INDEX(Bases!$E$5:$E$83,$T240)</f>
        <v>Attaque (arme 1)</v>
      </c>
      <c r="D240" s="10" t="str">
        <f aca="false">INDEX(Bases!$F$5:$F$83,$T240)</f>
        <v>Attaque</v>
      </c>
      <c r="E240" s="11" t="str">
        <f aca="false">INDEX(Bases!$C$5:$C$83,$T240)</f>
        <v>Explosion arcanique</v>
      </c>
      <c r="F240" s="10" t="str">
        <f aca="false">INDEX(Éléments!$A$5:$A$14,$U240)</f>
        <v>Électricité</v>
      </c>
      <c r="G240" s="12" t="str">
        <f aca="false">IF(OR($F240="Neutre",$C240="Passif"),$E240,INDEX(Bases!$D$5:$D$83,$T240)&amp;" "&amp;INDEX(Éléments!$D$5:$D$14,$U240))</f>
        <v>Explosion de foudre</v>
      </c>
      <c r="H240" s="10" t="str">
        <f aca="false">INDEX(Bases!$G$5:$G$83,$T240)</f>
        <v>Mono</v>
      </c>
      <c r="I240" s="13" t="n">
        <f aca="false">INDEX(Bases!$H$5:$H$83,$T240)</f>
        <v>3</v>
      </c>
      <c r="J240" s="10" t="str">
        <f aca="false">INDEX(Bases!$I$5:$I$83,$T240)</f>
        <v>Oui</v>
      </c>
      <c r="K240" s="14" t="n">
        <f aca="false">INDEX(Bases!$J$5:$J$83,$T240)</f>
        <v>3</v>
      </c>
      <c r="L240" s="10" t="str">
        <f aca="false">INDEX(Bases!$K$5:$K$83,$T240)</f>
        <v>Magie</v>
      </c>
      <c r="M240" s="11" t="str">
        <f aca="false">INDEX(Bases!$L$5:$L$83,$T240)</f>
        <v>+25 % de dégâts si la cible porte une altération.</v>
      </c>
      <c r="N240" s="11" t="str">
        <f aca="false">IF($C240="Passif","—",IF($C240="Attaque (arme 1)",INDEX(Éléments!$F$5:$F$14,$U240),INDEX(Éléments!$G$5:$G$14,$U240)))</f>
        <v>Rebondit sur 1 autre ennemi (40 % des dégâts) ; 10 % : Étourdissement (1 tour).</v>
      </c>
      <c r="O240" s="10" t="str">
        <f aca="false">INDEX(Bases!$M$5:$M$83,$T240)</f>
        <v>Active</v>
      </c>
      <c r="P240" s="13" t="n">
        <f aca="false">INDEX(Bases!$N$5:$N$83,$T240)</f>
        <v>60</v>
      </c>
      <c r="Q240" s="15" t="n">
        <f aca="false">INDEX(Éléments!$C$5:$C$14,$U240)</f>
        <v>80</v>
      </c>
      <c r="R240" s="11" t="str">
        <f aca="false">"Niv. "&amp;$P240&amp;IF($Q240&gt;0," · étage "&amp;$Q240&amp;" terminé","")</f>
        <v>Niv. 60 · étage 80 terminé</v>
      </c>
      <c r="S240" s="14" t="n">
        <f aca="false">IF(ISNUMBER($I240),$K240*IF($H240="Zone",Paramètres!$B$8,1)/MAX(1,$I240),0)</f>
        <v>1</v>
      </c>
      <c r="T240" s="16" t="n">
        <v>31</v>
      </c>
      <c r="U240" s="16" t="n">
        <v>8</v>
      </c>
    </row>
    <row r="241" customFormat="false" ht="15" hidden="false" customHeight="true" outlineLevel="0" collapsed="false">
      <c r="A241" s="9" t="s">
        <v>310</v>
      </c>
      <c r="B241" s="10" t="str">
        <f aca="false">INDEX(Bases!$B$5:$B$83,$T241)</f>
        <v>Mage</v>
      </c>
      <c r="C241" s="10" t="str">
        <f aca="false">INDEX(Bases!$E$5:$E$83,$T241)</f>
        <v>Attaque (arme 1)</v>
      </c>
      <c r="D241" s="10" t="str">
        <f aca="false">INDEX(Bases!$F$5:$F$83,$T241)</f>
        <v>Attaque</v>
      </c>
      <c r="E241" s="11" t="str">
        <f aca="false">INDEX(Bases!$C$5:$C$83,$T241)</f>
        <v>Explosion arcanique</v>
      </c>
      <c r="F241" s="10" t="str">
        <f aca="false">INDEX(Éléments!$A$5:$A$14,$U241)</f>
        <v>Lumière</v>
      </c>
      <c r="G241" s="12" t="str">
        <f aca="false">IF(OR($F241="Neutre",$C241="Passif"),$E241,INDEX(Bases!$D$5:$D$83,$T241)&amp;" "&amp;INDEX(Éléments!$D$5:$D$14,$U241))</f>
        <v>Explosion de lumière</v>
      </c>
      <c r="H241" s="10" t="str">
        <f aca="false">INDEX(Bases!$G$5:$G$83,$T241)</f>
        <v>Mono</v>
      </c>
      <c r="I241" s="13" t="n">
        <f aca="false">INDEX(Bases!$H$5:$H$83,$T241)</f>
        <v>3</v>
      </c>
      <c r="J241" s="10" t="str">
        <f aca="false">INDEX(Bases!$I$5:$I$83,$T241)</f>
        <v>Oui</v>
      </c>
      <c r="K241" s="14" t="n">
        <f aca="false">INDEX(Bases!$J$5:$J$83,$T241)</f>
        <v>3</v>
      </c>
      <c r="L241" s="10" t="str">
        <f aca="false">INDEX(Bases!$K$5:$K$83,$T241)</f>
        <v>Magie</v>
      </c>
      <c r="M241" s="11" t="str">
        <f aca="false">INDEX(Bases!$L$5:$L$83,$T241)</f>
        <v>+25 % de dégâts si la cible porte une altération.</v>
      </c>
      <c r="N241" s="11" t="str">
        <f aca="false">IF($C241="Passif","—",IF($C241="Attaque (arme 1)",INDEX(Éléments!$F$5:$F$14,$U241),INDEX(Éléments!$G$5:$G$14,$U241)))</f>
        <v>Soigne le lanceur de 5 % des dégâts infligés ; 25 % : Éblouissement (−20 % chance de critique, 2 tours).</v>
      </c>
      <c r="O241" s="10" t="str">
        <f aca="false">INDEX(Bases!$M$5:$M$83,$T241)</f>
        <v>Active</v>
      </c>
      <c r="P241" s="13" t="n">
        <f aca="false">INDEX(Bases!$N$5:$N$83,$T241)</f>
        <v>60</v>
      </c>
      <c r="Q241" s="15" t="n">
        <f aca="false">INDEX(Éléments!$C$5:$C$14,$U241)</f>
        <v>90</v>
      </c>
      <c r="R241" s="11" t="str">
        <f aca="false">"Niv. "&amp;$P241&amp;IF($Q241&gt;0," · étage "&amp;$Q241&amp;" terminé","")</f>
        <v>Niv. 60 · étage 90 terminé</v>
      </c>
      <c r="S241" s="14" t="n">
        <f aca="false">IF(ISNUMBER($I241),$K241*IF($H241="Zone",Paramètres!$B$8,1)/MAX(1,$I241),0)</f>
        <v>1</v>
      </c>
      <c r="T241" s="16" t="n">
        <v>31</v>
      </c>
      <c r="U241" s="16" t="n">
        <v>9</v>
      </c>
    </row>
    <row r="242" customFormat="false" ht="15" hidden="false" customHeight="true" outlineLevel="0" collapsed="false">
      <c r="A242" s="9" t="s">
        <v>311</v>
      </c>
      <c r="B242" s="10" t="str">
        <f aca="false">INDEX(Bases!$B$5:$B$83,$T242)</f>
        <v>Mage</v>
      </c>
      <c r="C242" s="10" t="str">
        <f aca="false">INDEX(Bases!$E$5:$E$83,$T242)</f>
        <v>Attaque (arme 1)</v>
      </c>
      <c r="D242" s="10" t="str">
        <f aca="false">INDEX(Bases!$F$5:$F$83,$T242)</f>
        <v>Attaque</v>
      </c>
      <c r="E242" s="11" t="str">
        <f aca="false">INDEX(Bases!$C$5:$C$83,$T242)</f>
        <v>Explosion arcanique</v>
      </c>
      <c r="F242" s="10" t="str">
        <f aca="false">INDEX(Éléments!$A$5:$A$14,$U242)</f>
        <v>Ombre</v>
      </c>
      <c r="G242" s="12" t="str">
        <f aca="false">IF(OR($F242="Neutre",$C242="Passif"),$E242,INDEX(Bases!$D$5:$D$83,$T242)&amp;" "&amp;INDEX(Éléments!$D$5:$D$14,$U242))</f>
        <v>Explosion d'ombre</v>
      </c>
      <c r="H242" s="10" t="str">
        <f aca="false">INDEX(Bases!$G$5:$G$83,$T242)</f>
        <v>Mono</v>
      </c>
      <c r="I242" s="13" t="n">
        <f aca="false">INDEX(Bases!$H$5:$H$83,$T242)</f>
        <v>3</v>
      </c>
      <c r="J242" s="10" t="str">
        <f aca="false">INDEX(Bases!$I$5:$I$83,$T242)</f>
        <v>Oui</v>
      </c>
      <c r="K242" s="14" t="n">
        <f aca="false">INDEX(Bases!$J$5:$J$83,$T242)</f>
        <v>3</v>
      </c>
      <c r="L242" s="10" t="str">
        <f aca="false">INDEX(Bases!$K$5:$K$83,$T242)</f>
        <v>Magie</v>
      </c>
      <c r="M242" s="11" t="str">
        <f aca="false">INDEX(Bases!$L$5:$L$83,$T242)</f>
        <v>+25 % de dégâts si la cible porte une altération.</v>
      </c>
      <c r="N242" s="11" t="str">
        <f aca="false">IF($C242="Passif","—",IF($C242="Attaque (arme 1)",INDEX(Éléments!$F$5:$F$14,$U242),INDEX(Éléments!$G$5:$G$14,$U242)))</f>
        <v>Vol de vie 5 % ; 30 % : Corruption (+10 % de dégâts subis, 2 tours).</v>
      </c>
      <c r="O242" s="10" t="str">
        <f aca="false">INDEX(Bases!$M$5:$M$83,$T242)</f>
        <v>Active</v>
      </c>
      <c r="P242" s="13" t="n">
        <f aca="false">INDEX(Bases!$N$5:$N$83,$T242)</f>
        <v>60</v>
      </c>
      <c r="Q242" s="15" t="n">
        <f aca="false">INDEX(Éléments!$C$5:$C$14,$U242)</f>
        <v>100</v>
      </c>
      <c r="R242" s="11" t="str">
        <f aca="false">"Niv. "&amp;$P242&amp;IF($Q242&gt;0," · étage "&amp;$Q242&amp;" terminé","")</f>
        <v>Niv. 60 · étage 100 terminé</v>
      </c>
      <c r="S242" s="14" t="n">
        <f aca="false">IF(ISNUMBER($I242),$K242*IF($H242="Zone",Paramètres!$B$8,1)/MAX(1,$I242),0)</f>
        <v>1</v>
      </c>
      <c r="T242" s="16" t="n">
        <v>31</v>
      </c>
      <c r="U242" s="16" t="n">
        <v>10</v>
      </c>
    </row>
    <row r="243" customFormat="false" ht="15" hidden="false" customHeight="true" outlineLevel="0" collapsed="false">
      <c r="A243" s="9" t="s">
        <v>312</v>
      </c>
      <c r="B243" s="10" t="str">
        <f aca="false">INDEX(Bases!$B$5:$B$83,$T243)</f>
        <v>Mage</v>
      </c>
      <c r="C243" s="10" t="str">
        <f aca="false">INDEX(Bases!$E$5:$E$83,$T243)</f>
        <v>Soutien (arme 2)</v>
      </c>
      <c r="D243" s="10" t="str">
        <f aca="false">INDEX(Bases!$F$5:$F$83,$T243)</f>
        <v>Bouclier</v>
      </c>
      <c r="E243" s="11" t="str">
        <f aca="false">INDEX(Bases!$C$5:$C$83,$T243)</f>
        <v>Barrière</v>
      </c>
      <c r="F243" s="10" t="str">
        <f aca="false">INDEX(Éléments!$A$5:$A$14,$U243)</f>
        <v>Neutre</v>
      </c>
      <c r="G243" s="12" t="str">
        <f aca="false">IF(OR($F243="Neutre",$C243="Passif"),$E243,INDEX(Bases!$D$5:$D$83,$T243)&amp;" "&amp;INDEX(Éléments!$D$5:$D$14,$U243))</f>
        <v>Barrière</v>
      </c>
      <c r="H243" s="10" t="str">
        <f aca="false">INDEX(Bases!$G$5:$G$83,$T243)</f>
        <v>Soi</v>
      </c>
      <c r="I243" s="13" t="n">
        <f aca="false">INDEX(Bases!$H$5:$H$83,$T243)</f>
        <v>2</v>
      </c>
      <c r="J243" s="10" t="str">
        <f aca="false">INDEX(Bases!$I$5:$I$83,$T243)</f>
        <v>Non</v>
      </c>
      <c r="K243" s="14" t="n">
        <f aca="false">INDEX(Bases!$J$5:$J$83,$T243)</f>
        <v>0</v>
      </c>
      <c r="L243" s="10" t="str">
        <f aca="false">INDEX(Bases!$K$5:$K$83,$T243)</f>
        <v>Magie</v>
      </c>
      <c r="M243" s="11" t="str">
        <f aca="false">INDEX(Bases!$L$5:$L$83,$T243)</f>
        <v>Bouclier = 12 % des PV max pendant 2 tours.</v>
      </c>
      <c r="N243" s="11" t="str">
        <f aca="false">IF($C243="Passif","—",IF($C243="Attaque (arme 1)",INDEX(Éléments!$F$5:$F$14,$U243),INDEX(Éléments!$G$5:$G$14,$U243)))</f>
        <v>Aucun bonus élémentaire : effet de base seul.</v>
      </c>
      <c r="O243" s="10" t="str">
        <f aca="false">INDEX(Bases!$M$5:$M$83,$T243)</f>
        <v>Active</v>
      </c>
      <c r="P243" s="13" t="n">
        <f aca="false">INDEX(Bases!$N$5:$N$83,$T243)</f>
        <v>5</v>
      </c>
      <c r="Q243" s="15" t="n">
        <f aca="false">INDEX(Éléments!$C$5:$C$14,$U243)</f>
        <v>0</v>
      </c>
      <c r="R243" s="11" t="str">
        <f aca="false">"Niv. "&amp;$P243&amp;IF($Q243&gt;0," · étage "&amp;$Q243&amp;" terminé","")</f>
        <v>Niv. 5</v>
      </c>
      <c r="S243" s="14" t="n">
        <f aca="false">IF(ISNUMBER($I243),$K243*IF($H243="Zone",Paramètres!$B$8,1)/MAX(1,$I243),0)</f>
        <v>0</v>
      </c>
      <c r="T243" s="16" t="n">
        <v>32</v>
      </c>
      <c r="U243" s="16" t="n">
        <v>1</v>
      </c>
    </row>
    <row r="244" customFormat="false" ht="15" hidden="false" customHeight="true" outlineLevel="0" collapsed="false">
      <c r="A244" s="9" t="s">
        <v>313</v>
      </c>
      <c r="B244" s="10" t="str">
        <f aca="false">INDEX(Bases!$B$5:$B$83,$T244)</f>
        <v>Mage</v>
      </c>
      <c r="C244" s="10" t="str">
        <f aca="false">INDEX(Bases!$E$5:$E$83,$T244)</f>
        <v>Soutien (arme 2)</v>
      </c>
      <c r="D244" s="10" t="str">
        <f aca="false">INDEX(Bases!$F$5:$F$83,$T244)</f>
        <v>Bouclier</v>
      </c>
      <c r="E244" s="11" t="str">
        <f aca="false">INDEX(Bases!$C$5:$C$83,$T244)</f>
        <v>Barrière</v>
      </c>
      <c r="F244" s="10" t="str">
        <f aca="false">INDEX(Éléments!$A$5:$A$14,$U244)</f>
        <v>Terre</v>
      </c>
      <c r="G244" s="12" t="str">
        <f aca="false">IF(OR($F244="Neutre",$C244="Passif"),$E244,INDEX(Bases!$D$5:$D$83,$T244)&amp;" "&amp;INDEX(Éléments!$D$5:$D$14,$U244))</f>
        <v>Barrière de pierre</v>
      </c>
      <c r="H244" s="10" t="str">
        <f aca="false">INDEX(Bases!$G$5:$G$83,$T244)</f>
        <v>Soi</v>
      </c>
      <c r="I244" s="13" t="n">
        <f aca="false">INDEX(Bases!$H$5:$H$83,$T244)</f>
        <v>2</v>
      </c>
      <c r="J244" s="10" t="str">
        <f aca="false">INDEX(Bases!$I$5:$I$83,$T244)</f>
        <v>Non</v>
      </c>
      <c r="K244" s="14" t="n">
        <f aca="false">INDEX(Bases!$J$5:$J$83,$T244)</f>
        <v>0</v>
      </c>
      <c r="L244" s="10" t="str">
        <f aca="false">INDEX(Bases!$K$5:$K$83,$T244)</f>
        <v>Magie</v>
      </c>
      <c r="M244" s="11" t="str">
        <f aca="false">INDEX(Bases!$L$5:$L$83,$T244)</f>
        <v>Bouclier = 12 % des PV max pendant 2 tours.</v>
      </c>
      <c r="N244" s="11" t="str">
        <f aca="false">IF($C244="Passif","—",IF($C244="Attaque (arme 1)",INDEX(Éléments!$F$5:$F$14,$U244),INDEX(Éléments!$G$5:$G$14,$U244)))</f>
        <v>+15 % d'Armure pendant la durée de l'effet.</v>
      </c>
      <c r="O244" s="10" t="str">
        <f aca="false">INDEX(Bases!$M$5:$M$83,$T244)</f>
        <v>Active</v>
      </c>
      <c r="P244" s="13" t="n">
        <f aca="false">INDEX(Bases!$N$5:$N$83,$T244)</f>
        <v>5</v>
      </c>
      <c r="Q244" s="15" t="n">
        <f aca="false">INDEX(Éléments!$C$5:$C$14,$U244)</f>
        <v>20</v>
      </c>
      <c r="R244" s="11" t="str">
        <f aca="false">"Niv. "&amp;$P244&amp;IF($Q244&gt;0," · étage "&amp;$Q244&amp;" terminé","")</f>
        <v>Niv. 5 · étage 20 terminé</v>
      </c>
      <c r="S244" s="14" t="n">
        <f aca="false">IF(ISNUMBER($I244),$K244*IF($H244="Zone",Paramètres!$B$8,1)/MAX(1,$I244),0)</f>
        <v>0</v>
      </c>
      <c r="T244" s="16" t="n">
        <v>32</v>
      </c>
      <c r="U244" s="16" t="n">
        <v>2</v>
      </c>
    </row>
    <row r="245" customFormat="false" ht="15" hidden="false" customHeight="true" outlineLevel="0" collapsed="false">
      <c r="A245" s="9" t="s">
        <v>314</v>
      </c>
      <c r="B245" s="10" t="str">
        <f aca="false">INDEX(Bases!$B$5:$B$83,$T245)</f>
        <v>Mage</v>
      </c>
      <c r="C245" s="10" t="str">
        <f aca="false">INDEX(Bases!$E$5:$E$83,$T245)</f>
        <v>Soutien (arme 2)</v>
      </c>
      <c r="D245" s="10" t="str">
        <f aca="false">INDEX(Bases!$F$5:$F$83,$T245)</f>
        <v>Bouclier</v>
      </c>
      <c r="E245" s="11" t="str">
        <f aca="false">INDEX(Bases!$C$5:$C$83,$T245)</f>
        <v>Barrière</v>
      </c>
      <c r="F245" s="10" t="str">
        <f aca="false">INDEX(Éléments!$A$5:$A$14,$U245)</f>
        <v>Feu</v>
      </c>
      <c r="G245" s="12" t="str">
        <f aca="false">IF(OR($F245="Neutre",$C245="Passif"),$E245,INDEX(Bases!$D$5:$D$83,$T245)&amp;" "&amp;INDEX(Éléments!$D$5:$D$14,$U245))</f>
        <v>Barrière de feu</v>
      </c>
      <c r="H245" s="10" t="str">
        <f aca="false">INDEX(Bases!$G$5:$G$83,$T245)</f>
        <v>Soi</v>
      </c>
      <c r="I245" s="13" t="n">
        <f aca="false">INDEX(Bases!$H$5:$H$83,$T245)</f>
        <v>2</v>
      </c>
      <c r="J245" s="10" t="str">
        <f aca="false">INDEX(Bases!$I$5:$I$83,$T245)</f>
        <v>Non</v>
      </c>
      <c r="K245" s="14" t="n">
        <f aca="false">INDEX(Bases!$J$5:$J$83,$T245)</f>
        <v>0</v>
      </c>
      <c r="L245" s="10" t="str">
        <f aca="false">INDEX(Bases!$K$5:$K$83,$T245)</f>
        <v>Magie</v>
      </c>
      <c r="M245" s="11" t="str">
        <f aca="false">INDEX(Bases!$L$5:$L$83,$T245)</f>
        <v>Bouclier = 12 % des PV max pendant 2 tours.</v>
      </c>
      <c r="N245" s="11" t="str">
        <f aca="false">IF($C245="Passif","—",IF($C245="Attaque (arme 1)",INDEX(Éléments!$F$5:$F$14,$U245),INDEX(Éléments!$G$5:$G$14,$U245)))</f>
        <v>Les ennemis qui frappent le lanceur ont 40 % de subir Brûlure (pendant la durée).</v>
      </c>
      <c r="O245" s="10" t="str">
        <f aca="false">INDEX(Bases!$M$5:$M$83,$T245)</f>
        <v>Active</v>
      </c>
      <c r="P245" s="13" t="n">
        <f aca="false">INDEX(Bases!$N$5:$N$83,$T245)</f>
        <v>5</v>
      </c>
      <c r="Q245" s="15" t="n">
        <f aca="false">INDEX(Éléments!$C$5:$C$14,$U245)</f>
        <v>30</v>
      </c>
      <c r="R245" s="11" t="str">
        <f aca="false">"Niv. "&amp;$P245&amp;IF($Q245&gt;0," · étage "&amp;$Q245&amp;" terminé","")</f>
        <v>Niv. 5 · étage 30 terminé</v>
      </c>
      <c r="S245" s="14" t="n">
        <f aca="false">IF(ISNUMBER($I245),$K245*IF($H245="Zone",Paramètres!$B$8,1)/MAX(1,$I245),0)</f>
        <v>0</v>
      </c>
      <c r="T245" s="16" t="n">
        <v>32</v>
      </c>
      <c r="U245" s="16" t="n">
        <v>3</v>
      </c>
    </row>
    <row r="246" customFormat="false" ht="15" hidden="false" customHeight="true" outlineLevel="0" collapsed="false">
      <c r="A246" s="9" t="s">
        <v>315</v>
      </c>
      <c r="B246" s="10" t="str">
        <f aca="false">INDEX(Bases!$B$5:$B$83,$T246)</f>
        <v>Mage</v>
      </c>
      <c r="C246" s="10" t="str">
        <f aca="false">INDEX(Bases!$E$5:$E$83,$T246)</f>
        <v>Soutien (arme 2)</v>
      </c>
      <c r="D246" s="10" t="str">
        <f aca="false">INDEX(Bases!$F$5:$F$83,$T246)</f>
        <v>Bouclier</v>
      </c>
      <c r="E246" s="11" t="str">
        <f aca="false">INDEX(Bases!$C$5:$C$83,$T246)</f>
        <v>Barrière</v>
      </c>
      <c r="F246" s="10" t="str">
        <f aca="false">INDEX(Éléments!$A$5:$A$14,$U246)</f>
        <v>Vent</v>
      </c>
      <c r="G246" s="12" t="str">
        <f aca="false">IF(OR($F246="Neutre",$C246="Passif"),$E246,INDEX(Bases!$D$5:$D$83,$T246)&amp;" "&amp;INDEX(Éléments!$D$5:$D$14,$U246))</f>
        <v>Barrière de vent</v>
      </c>
      <c r="H246" s="10" t="str">
        <f aca="false">INDEX(Bases!$G$5:$G$83,$T246)</f>
        <v>Soi</v>
      </c>
      <c r="I246" s="13" t="n">
        <f aca="false">INDEX(Bases!$H$5:$H$83,$T246)</f>
        <v>2</v>
      </c>
      <c r="J246" s="10" t="str">
        <f aca="false">INDEX(Bases!$I$5:$I$83,$T246)</f>
        <v>Non</v>
      </c>
      <c r="K246" s="14" t="n">
        <f aca="false">INDEX(Bases!$J$5:$J$83,$T246)</f>
        <v>0</v>
      </c>
      <c r="L246" s="10" t="str">
        <f aca="false">INDEX(Bases!$K$5:$K$83,$T246)</f>
        <v>Magie</v>
      </c>
      <c r="M246" s="11" t="str">
        <f aca="false">INDEX(Bases!$L$5:$L$83,$T246)</f>
        <v>Bouclier = 12 % des PV max pendant 2 tours.</v>
      </c>
      <c r="N246" s="11" t="str">
        <f aca="false">IF($C246="Passif","—",IF($C246="Attaque (arme 1)",INDEX(Éléments!$F$5:$F$14,$U246),INDEX(Éléments!$G$5:$G$14,$U246)))</f>
        <v>+10 % d'Agilité (esquive) pendant la durée de l'effet.</v>
      </c>
      <c r="O246" s="10" t="str">
        <f aca="false">INDEX(Bases!$M$5:$M$83,$T246)</f>
        <v>Active</v>
      </c>
      <c r="P246" s="13" t="n">
        <f aca="false">INDEX(Bases!$N$5:$N$83,$T246)</f>
        <v>5</v>
      </c>
      <c r="Q246" s="15" t="n">
        <f aca="false">INDEX(Éléments!$C$5:$C$14,$U246)</f>
        <v>40</v>
      </c>
      <c r="R246" s="11" t="str">
        <f aca="false">"Niv. "&amp;$P246&amp;IF($Q246&gt;0," · étage "&amp;$Q246&amp;" terminé","")</f>
        <v>Niv. 5 · étage 40 terminé</v>
      </c>
      <c r="S246" s="14" t="n">
        <f aca="false">IF(ISNUMBER($I246),$K246*IF($H246="Zone",Paramètres!$B$8,1)/MAX(1,$I246),0)</f>
        <v>0</v>
      </c>
      <c r="T246" s="16" t="n">
        <v>32</v>
      </c>
      <c r="U246" s="16" t="n">
        <v>4</v>
      </c>
    </row>
    <row r="247" customFormat="false" ht="15" hidden="false" customHeight="true" outlineLevel="0" collapsed="false">
      <c r="A247" s="9" t="s">
        <v>316</v>
      </c>
      <c r="B247" s="10" t="str">
        <f aca="false">INDEX(Bases!$B$5:$B$83,$T247)</f>
        <v>Mage</v>
      </c>
      <c r="C247" s="10" t="str">
        <f aca="false">INDEX(Bases!$E$5:$E$83,$T247)</f>
        <v>Soutien (arme 2)</v>
      </c>
      <c r="D247" s="10" t="str">
        <f aca="false">INDEX(Bases!$F$5:$F$83,$T247)</f>
        <v>Bouclier</v>
      </c>
      <c r="E247" s="11" t="str">
        <f aca="false">INDEX(Bases!$C$5:$C$83,$T247)</f>
        <v>Barrière</v>
      </c>
      <c r="F247" s="10" t="str">
        <f aca="false">INDEX(Éléments!$A$5:$A$14,$U247)</f>
        <v>Acide</v>
      </c>
      <c r="G247" s="12" t="str">
        <f aca="false">IF(OR($F247="Neutre",$C247="Passif"),$E247,INDEX(Bases!$D$5:$D$83,$T247)&amp;" "&amp;INDEX(Éléments!$D$5:$D$14,$U247))</f>
        <v>Barrière d'acide</v>
      </c>
      <c r="H247" s="10" t="str">
        <f aca="false">INDEX(Bases!$G$5:$G$83,$T247)</f>
        <v>Soi</v>
      </c>
      <c r="I247" s="13" t="n">
        <f aca="false">INDEX(Bases!$H$5:$H$83,$T247)</f>
        <v>2</v>
      </c>
      <c r="J247" s="10" t="str">
        <f aca="false">INDEX(Bases!$I$5:$I$83,$T247)</f>
        <v>Non</v>
      </c>
      <c r="K247" s="14" t="n">
        <f aca="false">INDEX(Bases!$J$5:$J$83,$T247)</f>
        <v>0</v>
      </c>
      <c r="L247" s="10" t="str">
        <f aca="false">INDEX(Bases!$K$5:$K$83,$T247)</f>
        <v>Magie</v>
      </c>
      <c r="M247" s="11" t="str">
        <f aca="false">INDEX(Bases!$L$5:$L$83,$T247)</f>
        <v>Bouclier = 12 % des PV max pendant 2 tours.</v>
      </c>
      <c r="N247" s="11" t="str">
        <f aca="false">IF($C247="Passif","—",IF($C247="Attaque (arme 1)",INDEX(Éléments!$F$5:$F$14,$U247),INDEX(Éléments!$G$5:$G$14,$U247)))</f>
        <v>Les ennemis qui frappent le lanceur prennent 1 pile de Corrosion (40 %).</v>
      </c>
      <c r="O247" s="10" t="str">
        <f aca="false">INDEX(Bases!$M$5:$M$83,$T247)</f>
        <v>Active</v>
      </c>
      <c r="P247" s="13" t="n">
        <f aca="false">INDEX(Bases!$N$5:$N$83,$T247)</f>
        <v>5</v>
      </c>
      <c r="Q247" s="15" t="n">
        <f aca="false">INDEX(Éléments!$C$5:$C$14,$U247)</f>
        <v>50</v>
      </c>
      <c r="R247" s="11" t="str">
        <f aca="false">"Niv. "&amp;$P247&amp;IF($Q247&gt;0," · étage "&amp;$Q247&amp;" terminé","")</f>
        <v>Niv. 5 · étage 50 terminé</v>
      </c>
      <c r="S247" s="14" t="n">
        <f aca="false">IF(ISNUMBER($I247),$K247*IF($H247="Zone",Paramètres!$B$8,1)/MAX(1,$I247),0)</f>
        <v>0</v>
      </c>
      <c r="T247" s="16" t="n">
        <v>32</v>
      </c>
      <c r="U247" s="16" t="n">
        <v>5</v>
      </c>
    </row>
    <row r="248" customFormat="false" ht="15" hidden="false" customHeight="true" outlineLevel="0" collapsed="false">
      <c r="A248" s="9" t="s">
        <v>317</v>
      </c>
      <c r="B248" s="10" t="str">
        <f aca="false">INDEX(Bases!$B$5:$B$83,$T248)</f>
        <v>Mage</v>
      </c>
      <c r="C248" s="10" t="str">
        <f aca="false">INDEX(Bases!$E$5:$E$83,$T248)</f>
        <v>Soutien (arme 2)</v>
      </c>
      <c r="D248" s="10" t="str">
        <f aca="false">INDEX(Bases!$F$5:$F$83,$T248)</f>
        <v>Bouclier</v>
      </c>
      <c r="E248" s="11" t="str">
        <f aca="false">INDEX(Bases!$C$5:$C$83,$T248)</f>
        <v>Barrière</v>
      </c>
      <c r="F248" s="10" t="str">
        <f aca="false">INDEX(Éléments!$A$5:$A$14,$U248)</f>
        <v>Eau</v>
      </c>
      <c r="G248" s="12" t="str">
        <f aca="false">IF(OR($F248="Neutre",$C248="Passif"),$E248,INDEX(Bases!$D$5:$D$83,$T248)&amp;" "&amp;INDEX(Éléments!$D$5:$D$14,$U248))</f>
        <v>Barrière d'eau</v>
      </c>
      <c r="H248" s="10" t="str">
        <f aca="false">INDEX(Bases!$G$5:$G$83,$T248)</f>
        <v>Soi</v>
      </c>
      <c r="I248" s="13" t="n">
        <f aca="false">INDEX(Bases!$H$5:$H$83,$T248)</f>
        <v>2</v>
      </c>
      <c r="J248" s="10" t="str">
        <f aca="false">INDEX(Bases!$I$5:$I$83,$T248)</f>
        <v>Non</v>
      </c>
      <c r="K248" s="14" t="n">
        <f aca="false">INDEX(Bases!$J$5:$J$83,$T248)</f>
        <v>0</v>
      </c>
      <c r="L248" s="10" t="str">
        <f aca="false">INDEX(Bases!$K$5:$K$83,$T248)</f>
        <v>Magie</v>
      </c>
      <c r="M248" s="11" t="str">
        <f aca="false">INDEX(Bases!$L$5:$L$83,$T248)</f>
        <v>Bouclier = 12 % des PV max pendant 2 tours.</v>
      </c>
      <c r="N248" s="11" t="str">
        <f aca="false">IF($C248="Passif","—",IF($C248="Attaque (arme 1)",INDEX(Éléments!$F$5:$F$14,$U248),INDEX(Éléments!$G$5:$G$14,$U248)))</f>
        <v>Soin supplémentaire de 4 % des PV max ; retire Brûlure du lanceur.</v>
      </c>
      <c r="O248" s="10" t="str">
        <f aca="false">INDEX(Bases!$M$5:$M$83,$T248)</f>
        <v>Active</v>
      </c>
      <c r="P248" s="13" t="n">
        <f aca="false">INDEX(Bases!$N$5:$N$83,$T248)</f>
        <v>5</v>
      </c>
      <c r="Q248" s="15" t="n">
        <f aca="false">INDEX(Éléments!$C$5:$C$14,$U248)</f>
        <v>60</v>
      </c>
      <c r="R248" s="11" t="str">
        <f aca="false">"Niv. "&amp;$P248&amp;IF($Q248&gt;0," · étage "&amp;$Q248&amp;" terminé","")</f>
        <v>Niv. 5 · étage 60 terminé</v>
      </c>
      <c r="S248" s="14" t="n">
        <f aca="false">IF(ISNUMBER($I248),$K248*IF($H248="Zone",Paramètres!$B$8,1)/MAX(1,$I248),0)</f>
        <v>0</v>
      </c>
      <c r="T248" s="16" t="n">
        <v>32</v>
      </c>
      <c r="U248" s="16" t="n">
        <v>6</v>
      </c>
    </row>
    <row r="249" customFormat="false" ht="15" hidden="false" customHeight="true" outlineLevel="0" collapsed="false">
      <c r="A249" s="9" t="s">
        <v>318</v>
      </c>
      <c r="B249" s="10" t="str">
        <f aca="false">INDEX(Bases!$B$5:$B$83,$T249)</f>
        <v>Mage</v>
      </c>
      <c r="C249" s="10" t="str">
        <f aca="false">INDEX(Bases!$E$5:$E$83,$T249)</f>
        <v>Soutien (arme 2)</v>
      </c>
      <c r="D249" s="10" t="str">
        <f aca="false">INDEX(Bases!$F$5:$F$83,$T249)</f>
        <v>Bouclier</v>
      </c>
      <c r="E249" s="11" t="str">
        <f aca="false">INDEX(Bases!$C$5:$C$83,$T249)</f>
        <v>Barrière</v>
      </c>
      <c r="F249" s="10" t="str">
        <f aca="false">INDEX(Éléments!$A$5:$A$14,$U249)</f>
        <v>Glace</v>
      </c>
      <c r="G249" s="12" t="str">
        <f aca="false">IF(OR($F249="Neutre",$C249="Passif"),$E249,INDEX(Bases!$D$5:$D$83,$T249)&amp;" "&amp;INDEX(Éléments!$D$5:$D$14,$U249))</f>
        <v>Barrière de glace</v>
      </c>
      <c r="H249" s="10" t="str">
        <f aca="false">INDEX(Bases!$G$5:$G$83,$T249)</f>
        <v>Soi</v>
      </c>
      <c r="I249" s="13" t="n">
        <f aca="false">INDEX(Bases!$H$5:$H$83,$T249)</f>
        <v>2</v>
      </c>
      <c r="J249" s="10" t="str">
        <f aca="false">INDEX(Bases!$I$5:$I$83,$T249)</f>
        <v>Non</v>
      </c>
      <c r="K249" s="14" t="n">
        <f aca="false">INDEX(Bases!$J$5:$J$83,$T249)</f>
        <v>0</v>
      </c>
      <c r="L249" s="10" t="str">
        <f aca="false">INDEX(Bases!$K$5:$K$83,$T249)</f>
        <v>Magie</v>
      </c>
      <c r="M249" s="11" t="str">
        <f aca="false">INDEX(Bases!$L$5:$L$83,$T249)</f>
        <v>Bouclier = 12 % des PV max pendant 2 tours.</v>
      </c>
      <c r="N249" s="11" t="str">
        <f aca="false">IF($C249="Passif","—",IF($C249="Attaque (arme 1)",INDEX(Éléments!$F$5:$F$14,$U249),INDEX(Éléments!$G$5:$G$14,$U249)))</f>
        <v>Les ennemis qui frappent le lanceur prennent 1 pile de Froid (40 %).</v>
      </c>
      <c r="O249" s="10" t="str">
        <f aca="false">INDEX(Bases!$M$5:$M$83,$T249)</f>
        <v>Active</v>
      </c>
      <c r="P249" s="13" t="n">
        <f aca="false">INDEX(Bases!$N$5:$N$83,$T249)</f>
        <v>5</v>
      </c>
      <c r="Q249" s="15" t="n">
        <f aca="false">INDEX(Éléments!$C$5:$C$14,$U249)</f>
        <v>70</v>
      </c>
      <c r="R249" s="11" t="str">
        <f aca="false">"Niv. "&amp;$P249&amp;IF($Q249&gt;0," · étage "&amp;$Q249&amp;" terminé","")</f>
        <v>Niv. 5 · étage 70 terminé</v>
      </c>
      <c r="S249" s="14" t="n">
        <f aca="false">IF(ISNUMBER($I249),$K249*IF($H249="Zone",Paramètres!$B$8,1)/MAX(1,$I249),0)</f>
        <v>0</v>
      </c>
      <c r="T249" s="16" t="n">
        <v>32</v>
      </c>
      <c r="U249" s="16" t="n">
        <v>7</v>
      </c>
    </row>
    <row r="250" customFormat="false" ht="15" hidden="false" customHeight="true" outlineLevel="0" collapsed="false">
      <c r="A250" s="9" t="s">
        <v>319</v>
      </c>
      <c r="B250" s="10" t="str">
        <f aca="false">INDEX(Bases!$B$5:$B$83,$T250)</f>
        <v>Mage</v>
      </c>
      <c r="C250" s="10" t="str">
        <f aca="false">INDEX(Bases!$E$5:$E$83,$T250)</f>
        <v>Soutien (arme 2)</v>
      </c>
      <c r="D250" s="10" t="str">
        <f aca="false">INDEX(Bases!$F$5:$F$83,$T250)</f>
        <v>Bouclier</v>
      </c>
      <c r="E250" s="11" t="str">
        <f aca="false">INDEX(Bases!$C$5:$C$83,$T250)</f>
        <v>Barrière</v>
      </c>
      <c r="F250" s="10" t="str">
        <f aca="false">INDEX(Éléments!$A$5:$A$14,$U250)</f>
        <v>Électricité</v>
      </c>
      <c r="G250" s="12" t="str">
        <f aca="false">IF(OR($F250="Neutre",$C250="Passif"),$E250,INDEX(Bases!$D$5:$D$83,$T250)&amp;" "&amp;INDEX(Éléments!$D$5:$D$14,$U250))</f>
        <v>Barrière de foudre</v>
      </c>
      <c r="H250" s="10" t="str">
        <f aca="false">INDEX(Bases!$G$5:$G$83,$T250)</f>
        <v>Soi</v>
      </c>
      <c r="I250" s="13" t="n">
        <f aca="false">INDEX(Bases!$H$5:$H$83,$T250)</f>
        <v>2</v>
      </c>
      <c r="J250" s="10" t="str">
        <f aca="false">INDEX(Bases!$I$5:$I$83,$T250)</f>
        <v>Non</v>
      </c>
      <c r="K250" s="14" t="n">
        <f aca="false">INDEX(Bases!$J$5:$J$83,$T250)</f>
        <v>0</v>
      </c>
      <c r="L250" s="10" t="str">
        <f aca="false">INDEX(Bases!$K$5:$K$83,$T250)</f>
        <v>Magie</v>
      </c>
      <c r="M250" s="11" t="str">
        <f aca="false">INDEX(Bases!$L$5:$L$83,$T250)</f>
        <v>Bouclier = 12 % des PV max pendant 2 tours.</v>
      </c>
      <c r="N250" s="11" t="str">
        <f aca="false">IF($C250="Passif","—",IF($C250="Attaque (arme 1)",INDEX(Éléments!$F$5:$F$14,$U250),INDEX(Éléments!$G$5:$G$14,$U250)))</f>
        <v>La prochaine attaque du lanceur inflige +15 % de dégâts.</v>
      </c>
      <c r="O250" s="10" t="str">
        <f aca="false">INDEX(Bases!$M$5:$M$83,$T250)</f>
        <v>Active</v>
      </c>
      <c r="P250" s="13" t="n">
        <f aca="false">INDEX(Bases!$N$5:$N$83,$T250)</f>
        <v>5</v>
      </c>
      <c r="Q250" s="15" t="n">
        <f aca="false">INDEX(Éléments!$C$5:$C$14,$U250)</f>
        <v>80</v>
      </c>
      <c r="R250" s="11" t="str">
        <f aca="false">"Niv. "&amp;$P250&amp;IF($Q250&gt;0," · étage "&amp;$Q250&amp;" terminé","")</f>
        <v>Niv. 5 · étage 80 terminé</v>
      </c>
      <c r="S250" s="14" t="n">
        <f aca="false">IF(ISNUMBER($I250),$K250*IF($H250="Zone",Paramètres!$B$8,1)/MAX(1,$I250),0)</f>
        <v>0</v>
      </c>
      <c r="T250" s="16" t="n">
        <v>32</v>
      </c>
      <c r="U250" s="16" t="n">
        <v>8</v>
      </c>
    </row>
    <row r="251" customFormat="false" ht="15" hidden="false" customHeight="true" outlineLevel="0" collapsed="false">
      <c r="A251" s="9" t="s">
        <v>320</v>
      </c>
      <c r="B251" s="10" t="str">
        <f aca="false">INDEX(Bases!$B$5:$B$83,$T251)</f>
        <v>Mage</v>
      </c>
      <c r="C251" s="10" t="str">
        <f aca="false">INDEX(Bases!$E$5:$E$83,$T251)</f>
        <v>Soutien (arme 2)</v>
      </c>
      <c r="D251" s="10" t="str">
        <f aca="false">INDEX(Bases!$F$5:$F$83,$T251)</f>
        <v>Bouclier</v>
      </c>
      <c r="E251" s="11" t="str">
        <f aca="false">INDEX(Bases!$C$5:$C$83,$T251)</f>
        <v>Barrière</v>
      </c>
      <c r="F251" s="10" t="str">
        <f aca="false">INDEX(Éléments!$A$5:$A$14,$U251)</f>
        <v>Lumière</v>
      </c>
      <c r="G251" s="12" t="str">
        <f aca="false">IF(OR($F251="Neutre",$C251="Passif"),$E251,INDEX(Bases!$D$5:$D$83,$T251)&amp;" "&amp;INDEX(Éléments!$D$5:$D$14,$U251))</f>
        <v>Barrière de lumière</v>
      </c>
      <c r="H251" s="10" t="str">
        <f aca="false">INDEX(Bases!$G$5:$G$83,$T251)</f>
        <v>Soi</v>
      </c>
      <c r="I251" s="13" t="n">
        <f aca="false">INDEX(Bases!$H$5:$H$83,$T251)</f>
        <v>2</v>
      </c>
      <c r="J251" s="10" t="str">
        <f aca="false">INDEX(Bases!$I$5:$I$83,$T251)</f>
        <v>Non</v>
      </c>
      <c r="K251" s="14" t="n">
        <f aca="false">INDEX(Bases!$J$5:$J$83,$T251)</f>
        <v>0</v>
      </c>
      <c r="L251" s="10" t="str">
        <f aca="false">INDEX(Bases!$K$5:$K$83,$T251)</f>
        <v>Magie</v>
      </c>
      <c r="M251" s="11" t="str">
        <f aca="false">INDEX(Bases!$L$5:$L$83,$T251)</f>
        <v>Bouclier = 12 % des PV max pendant 2 tours.</v>
      </c>
      <c r="N251" s="11" t="str">
        <f aca="false">IF($C251="Passif","—",IF($C251="Attaque (arme 1)",INDEX(Éléments!$F$5:$F$14,$U251),INDEX(Éléments!$G$5:$G$14,$U251)))</f>
        <v>+20 % sur les soins et boucliers de la compétence.</v>
      </c>
      <c r="O251" s="10" t="str">
        <f aca="false">INDEX(Bases!$M$5:$M$83,$T251)</f>
        <v>Active</v>
      </c>
      <c r="P251" s="13" t="n">
        <f aca="false">INDEX(Bases!$N$5:$N$83,$T251)</f>
        <v>5</v>
      </c>
      <c r="Q251" s="15" t="n">
        <f aca="false">INDEX(Éléments!$C$5:$C$14,$U251)</f>
        <v>90</v>
      </c>
      <c r="R251" s="11" t="str">
        <f aca="false">"Niv. "&amp;$P251&amp;IF($Q251&gt;0," · étage "&amp;$Q251&amp;" terminé","")</f>
        <v>Niv. 5 · étage 90 terminé</v>
      </c>
      <c r="S251" s="14" t="n">
        <f aca="false">IF(ISNUMBER($I251),$K251*IF($H251="Zone",Paramètres!$B$8,1)/MAX(1,$I251),0)</f>
        <v>0</v>
      </c>
      <c r="T251" s="16" t="n">
        <v>32</v>
      </c>
      <c r="U251" s="16" t="n">
        <v>9</v>
      </c>
    </row>
    <row r="252" customFormat="false" ht="15" hidden="false" customHeight="true" outlineLevel="0" collapsed="false">
      <c r="A252" s="9" t="s">
        <v>321</v>
      </c>
      <c r="B252" s="10" t="str">
        <f aca="false">INDEX(Bases!$B$5:$B$83,$T252)</f>
        <v>Mage</v>
      </c>
      <c r="C252" s="10" t="str">
        <f aca="false">INDEX(Bases!$E$5:$E$83,$T252)</f>
        <v>Soutien (arme 2)</v>
      </c>
      <c r="D252" s="10" t="str">
        <f aca="false">INDEX(Bases!$F$5:$F$83,$T252)</f>
        <v>Bouclier</v>
      </c>
      <c r="E252" s="11" t="str">
        <f aca="false">INDEX(Bases!$C$5:$C$83,$T252)</f>
        <v>Barrière</v>
      </c>
      <c r="F252" s="10" t="str">
        <f aca="false">INDEX(Éléments!$A$5:$A$14,$U252)</f>
        <v>Ombre</v>
      </c>
      <c r="G252" s="12" t="str">
        <f aca="false">IF(OR($F252="Neutre",$C252="Passif"),$E252,INDEX(Bases!$D$5:$D$83,$T252)&amp;" "&amp;INDEX(Éléments!$D$5:$D$14,$U252))</f>
        <v>Barrière d'ombre</v>
      </c>
      <c r="H252" s="10" t="str">
        <f aca="false">INDEX(Bases!$G$5:$G$83,$T252)</f>
        <v>Soi</v>
      </c>
      <c r="I252" s="13" t="n">
        <f aca="false">INDEX(Bases!$H$5:$H$83,$T252)</f>
        <v>2</v>
      </c>
      <c r="J252" s="10" t="str">
        <f aca="false">INDEX(Bases!$I$5:$I$83,$T252)</f>
        <v>Non</v>
      </c>
      <c r="K252" s="14" t="n">
        <f aca="false">INDEX(Bases!$J$5:$J$83,$T252)</f>
        <v>0</v>
      </c>
      <c r="L252" s="10" t="str">
        <f aca="false">INDEX(Bases!$K$5:$K$83,$T252)</f>
        <v>Magie</v>
      </c>
      <c r="M252" s="11" t="str">
        <f aca="false">INDEX(Bases!$L$5:$L$83,$T252)</f>
        <v>Bouclier = 12 % des PV max pendant 2 tours.</v>
      </c>
      <c r="N252" s="11" t="str">
        <f aca="false">IF($C252="Passif","—",IF($C252="Attaque (arme 1)",INDEX(Éléments!$F$5:$F$14,$U252),INDEX(Éléments!$G$5:$G$14,$U252)))</f>
        <v>Les ennemis qui frappent le lanceur subissent Corruption (25 %).</v>
      </c>
      <c r="O252" s="10" t="str">
        <f aca="false">INDEX(Bases!$M$5:$M$83,$T252)</f>
        <v>Active</v>
      </c>
      <c r="P252" s="13" t="n">
        <f aca="false">INDEX(Bases!$N$5:$N$83,$T252)</f>
        <v>5</v>
      </c>
      <c r="Q252" s="15" t="n">
        <f aca="false">INDEX(Éléments!$C$5:$C$14,$U252)</f>
        <v>100</v>
      </c>
      <c r="R252" s="11" t="str">
        <f aca="false">"Niv. "&amp;$P252&amp;IF($Q252&gt;0," · étage "&amp;$Q252&amp;" terminé","")</f>
        <v>Niv. 5 · étage 100 terminé</v>
      </c>
      <c r="S252" s="14" t="n">
        <f aca="false">IF(ISNUMBER($I252),$K252*IF($H252="Zone",Paramètres!$B$8,1)/MAX(1,$I252),0)</f>
        <v>0</v>
      </c>
      <c r="T252" s="16" t="n">
        <v>32</v>
      </c>
      <c r="U252" s="16" t="n">
        <v>10</v>
      </c>
    </row>
    <row r="253" customFormat="false" ht="15" hidden="false" customHeight="true" outlineLevel="0" collapsed="false">
      <c r="A253" s="9" t="s">
        <v>322</v>
      </c>
      <c r="B253" s="10" t="str">
        <f aca="false">INDEX(Bases!$B$5:$B$83,$T253)</f>
        <v>Mage</v>
      </c>
      <c r="C253" s="10" t="str">
        <f aca="false">INDEX(Bases!$E$5:$E$83,$T253)</f>
        <v>Soutien (arme 2)</v>
      </c>
      <c r="D253" s="10" t="str">
        <f aca="false">INDEX(Bases!$F$5:$F$83,$T253)</f>
        <v>Soin</v>
      </c>
      <c r="E253" s="11" t="str">
        <f aca="false">INDEX(Bases!$C$5:$C$83,$T253)</f>
        <v>Soin</v>
      </c>
      <c r="F253" s="10" t="str">
        <f aca="false">INDEX(Éléments!$A$5:$A$14,$U253)</f>
        <v>Neutre</v>
      </c>
      <c r="G253" s="12" t="str">
        <f aca="false">IF(OR($F253="Neutre",$C253="Passif"),$E253,INDEX(Bases!$D$5:$D$83,$T253)&amp;" "&amp;INDEX(Éléments!$D$5:$D$14,$U253))</f>
        <v>Soin</v>
      </c>
      <c r="H253" s="10" t="str">
        <f aca="false">INDEX(Bases!$G$5:$G$83,$T253)</f>
        <v>Soi</v>
      </c>
      <c r="I253" s="13" t="n">
        <f aca="false">INDEX(Bases!$H$5:$H$83,$T253)</f>
        <v>2</v>
      </c>
      <c r="J253" s="10" t="str">
        <f aca="false">INDEX(Bases!$I$5:$I$83,$T253)</f>
        <v>Non</v>
      </c>
      <c r="K253" s="14" t="n">
        <f aca="false">INDEX(Bases!$J$5:$J$83,$T253)</f>
        <v>0</v>
      </c>
      <c r="L253" s="10" t="str">
        <f aca="false">INDEX(Bases!$K$5:$K$83,$T253)</f>
        <v>Magie</v>
      </c>
      <c r="M253" s="11" t="str">
        <f aca="false">INDEX(Bases!$L$5:$L$83,$T253)</f>
        <v>Soigne 18 % des PV max (augmenté par le Bonus de soins).</v>
      </c>
      <c r="N253" s="11" t="str">
        <f aca="false">IF($C253="Passif","—",IF($C253="Attaque (arme 1)",INDEX(Éléments!$F$5:$F$14,$U253),INDEX(Éléments!$G$5:$G$14,$U253)))</f>
        <v>Aucun bonus élémentaire : effet de base seul.</v>
      </c>
      <c r="O253" s="10" t="str">
        <f aca="false">INDEX(Bases!$M$5:$M$83,$T253)</f>
        <v>Active</v>
      </c>
      <c r="P253" s="13" t="n">
        <f aca="false">INDEX(Bases!$N$5:$N$83,$T253)</f>
        <v>10</v>
      </c>
      <c r="Q253" s="15" t="n">
        <f aca="false">INDEX(Éléments!$C$5:$C$14,$U253)</f>
        <v>0</v>
      </c>
      <c r="R253" s="11" t="str">
        <f aca="false">"Niv. "&amp;$P253&amp;IF($Q253&gt;0," · étage "&amp;$Q253&amp;" terminé","")</f>
        <v>Niv. 10</v>
      </c>
      <c r="S253" s="14" t="n">
        <f aca="false">IF(ISNUMBER($I253),$K253*IF($H253="Zone",Paramètres!$B$8,1)/MAX(1,$I253),0)</f>
        <v>0</v>
      </c>
      <c r="T253" s="16" t="n">
        <v>33</v>
      </c>
      <c r="U253" s="16" t="n">
        <v>1</v>
      </c>
    </row>
    <row r="254" customFormat="false" ht="15" hidden="false" customHeight="true" outlineLevel="0" collapsed="false">
      <c r="A254" s="9" t="s">
        <v>323</v>
      </c>
      <c r="B254" s="10" t="str">
        <f aca="false">INDEX(Bases!$B$5:$B$83,$T254)</f>
        <v>Mage</v>
      </c>
      <c r="C254" s="10" t="str">
        <f aca="false">INDEX(Bases!$E$5:$E$83,$T254)</f>
        <v>Soutien (arme 2)</v>
      </c>
      <c r="D254" s="10" t="str">
        <f aca="false">INDEX(Bases!$F$5:$F$83,$T254)</f>
        <v>Soin</v>
      </c>
      <c r="E254" s="11" t="str">
        <f aca="false">INDEX(Bases!$C$5:$C$83,$T254)</f>
        <v>Soin</v>
      </c>
      <c r="F254" s="10" t="str">
        <f aca="false">INDEX(Éléments!$A$5:$A$14,$U254)</f>
        <v>Terre</v>
      </c>
      <c r="G254" s="12" t="str">
        <f aca="false">IF(OR($F254="Neutre",$C254="Passif"),$E254,INDEX(Bases!$D$5:$D$83,$T254)&amp;" "&amp;INDEX(Éléments!$D$5:$D$14,$U254))</f>
        <v>Soin de pierre</v>
      </c>
      <c r="H254" s="10" t="str">
        <f aca="false">INDEX(Bases!$G$5:$G$83,$T254)</f>
        <v>Soi</v>
      </c>
      <c r="I254" s="13" t="n">
        <f aca="false">INDEX(Bases!$H$5:$H$83,$T254)</f>
        <v>2</v>
      </c>
      <c r="J254" s="10" t="str">
        <f aca="false">INDEX(Bases!$I$5:$I$83,$T254)</f>
        <v>Non</v>
      </c>
      <c r="K254" s="14" t="n">
        <f aca="false">INDEX(Bases!$J$5:$J$83,$T254)</f>
        <v>0</v>
      </c>
      <c r="L254" s="10" t="str">
        <f aca="false">INDEX(Bases!$K$5:$K$83,$T254)</f>
        <v>Magie</v>
      </c>
      <c r="M254" s="11" t="str">
        <f aca="false">INDEX(Bases!$L$5:$L$83,$T254)</f>
        <v>Soigne 18 % des PV max (augmenté par le Bonus de soins).</v>
      </c>
      <c r="N254" s="11" t="str">
        <f aca="false">IF($C254="Passif","—",IF($C254="Attaque (arme 1)",INDEX(Éléments!$F$5:$F$14,$U254),INDEX(Éléments!$G$5:$G$14,$U254)))</f>
        <v>+15 % d'Armure pendant la durée de l'effet.</v>
      </c>
      <c r="O254" s="10" t="str">
        <f aca="false">INDEX(Bases!$M$5:$M$83,$T254)</f>
        <v>Active</v>
      </c>
      <c r="P254" s="13" t="n">
        <f aca="false">INDEX(Bases!$N$5:$N$83,$T254)</f>
        <v>10</v>
      </c>
      <c r="Q254" s="15" t="n">
        <f aca="false">INDEX(Éléments!$C$5:$C$14,$U254)</f>
        <v>20</v>
      </c>
      <c r="R254" s="11" t="str">
        <f aca="false">"Niv. "&amp;$P254&amp;IF($Q254&gt;0," · étage "&amp;$Q254&amp;" terminé","")</f>
        <v>Niv. 10 · étage 20 terminé</v>
      </c>
      <c r="S254" s="14" t="n">
        <f aca="false">IF(ISNUMBER($I254),$K254*IF($H254="Zone",Paramètres!$B$8,1)/MAX(1,$I254),0)</f>
        <v>0</v>
      </c>
      <c r="T254" s="16" t="n">
        <v>33</v>
      </c>
      <c r="U254" s="16" t="n">
        <v>2</v>
      </c>
    </row>
    <row r="255" customFormat="false" ht="15" hidden="false" customHeight="true" outlineLevel="0" collapsed="false">
      <c r="A255" s="9" t="s">
        <v>324</v>
      </c>
      <c r="B255" s="10" t="str">
        <f aca="false">INDEX(Bases!$B$5:$B$83,$T255)</f>
        <v>Mage</v>
      </c>
      <c r="C255" s="10" t="str">
        <f aca="false">INDEX(Bases!$E$5:$E$83,$T255)</f>
        <v>Soutien (arme 2)</v>
      </c>
      <c r="D255" s="10" t="str">
        <f aca="false">INDEX(Bases!$F$5:$F$83,$T255)</f>
        <v>Soin</v>
      </c>
      <c r="E255" s="11" t="str">
        <f aca="false">INDEX(Bases!$C$5:$C$83,$T255)</f>
        <v>Soin</v>
      </c>
      <c r="F255" s="10" t="str">
        <f aca="false">INDEX(Éléments!$A$5:$A$14,$U255)</f>
        <v>Feu</v>
      </c>
      <c r="G255" s="12" t="str">
        <f aca="false">IF(OR($F255="Neutre",$C255="Passif"),$E255,INDEX(Bases!$D$5:$D$83,$T255)&amp;" "&amp;INDEX(Éléments!$D$5:$D$14,$U255))</f>
        <v>Soin de feu</v>
      </c>
      <c r="H255" s="10" t="str">
        <f aca="false">INDEX(Bases!$G$5:$G$83,$T255)</f>
        <v>Soi</v>
      </c>
      <c r="I255" s="13" t="n">
        <f aca="false">INDEX(Bases!$H$5:$H$83,$T255)</f>
        <v>2</v>
      </c>
      <c r="J255" s="10" t="str">
        <f aca="false">INDEX(Bases!$I$5:$I$83,$T255)</f>
        <v>Non</v>
      </c>
      <c r="K255" s="14" t="n">
        <f aca="false">INDEX(Bases!$J$5:$J$83,$T255)</f>
        <v>0</v>
      </c>
      <c r="L255" s="10" t="str">
        <f aca="false">INDEX(Bases!$K$5:$K$83,$T255)</f>
        <v>Magie</v>
      </c>
      <c r="M255" s="11" t="str">
        <f aca="false">INDEX(Bases!$L$5:$L$83,$T255)</f>
        <v>Soigne 18 % des PV max (augmenté par le Bonus de soins).</v>
      </c>
      <c r="N255" s="11" t="str">
        <f aca="false">IF($C255="Passif","—",IF($C255="Attaque (arme 1)",INDEX(Éléments!$F$5:$F$14,$U255),INDEX(Éléments!$G$5:$G$14,$U255)))</f>
        <v>Les ennemis qui frappent le lanceur ont 40 % de subir Brûlure (pendant la durée).</v>
      </c>
      <c r="O255" s="10" t="str">
        <f aca="false">INDEX(Bases!$M$5:$M$83,$T255)</f>
        <v>Active</v>
      </c>
      <c r="P255" s="13" t="n">
        <f aca="false">INDEX(Bases!$N$5:$N$83,$T255)</f>
        <v>10</v>
      </c>
      <c r="Q255" s="15" t="n">
        <f aca="false">INDEX(Éléments!$C$5:$C$14,$U255)</f>
        <v>30</v>
      </c>
      <c r="R255" s="11" t="str">
        <f aca="false">"Niv. "&amp;$P255&amp;IF($Q255&gt;0," · étage "&amp;$Q255&amp;" terminé","")</f>
        <v>Niv. 10 · étage 30 terminé</v>
      </c>
      <c r="S255" s="14" t="n">
        <f aca="false">IF(ISNUMBER($I255),$K255*IF($H255="Zone",Paramètres!$B$8,1)/MAX(1,$I255),0)</f>
        <v>0</v>
      </c>
      <c r="T255" s="16" t="n">
        <v>33</v>
      </c>
      <c r="U255" s="16" t="n">
        <v>3</v>
      </c>
    </row>
    <row r="256" customFormat="false" ht="15" hidden="false" customHeight="true" outlineLevel="0" collapsed="false">
      <c r="A256" s="9" t="s">
        <v>325</v>
      </c>
      <c r="B256" s="10" t="str">
        <f aca="false">INDEX(Bases!$B$5:$B$83,$T256)</f>
        <v>Mage</v>
      </c>
      <c r="C256" s="10" t="str">
        <f aca="false">INDEX(Bases!$E$5:$E$83,$T256)</f>
        <v>Soutien (arme 2)</v>
      </c>
      <c r="D256" s="10" t="str">
        <f aca="false">INDEX(Bases!$F$5:$F$83,$T256)</f>
        <v>Soin</v>
      </c>
      <c r="E256" s="11" t="str">
        <f aca="false">INDEX(Bases!$C$5:$C$83,$T256)</f>
        <v>Soin</v>
      </c>
      <c r="F256" s="10" t="str">
        <f aca="false">INDEX(Éléments!$A$5:$A$14,$U256)</f>
        <v>Vent</v>
      </c>
      <c r="G256" s="12" t="str">
        <f aca="false">IF(OR($F256="Neutre",$C256="Passif"),$E256,INDEX(Bases!$D$5:$D$83,$T256)&amp;" "&amp;INDEX(Éléments!$D$5:$D$14,$U256))</f>
        <v>Soin de vent</v>
      </c>
      <c r="H256" s="10" t="str">
        <f aca="false">INDEX(Bases!$G$5:$G$83,$T256)</f>
        <v>Soi</v>
      </c>
      <c r="I256" s="13" t="n">
        <f aca="false">INDEX(Bases!$H$5:$H$83,$T256)</f>
        <v>2</v>
      </c>
      <c r="J256" s="10" t="str">
        <f aca="false">INDEX(Bases!$I$5:$I$83,$T256)</f>
        <v>Non</v>
      </c>
      <c r="K256" s="14" t="n">
        <f aca="false">INDEX(Bases!$J$5:$J$83,$T256)</f>
        <v>0</v>
      </c>
      <c r="L256" s="10" t="str">
        <f aca="false">INDEX(Bases!$K$5:$K$83,$T256)</f>
        <v>Magie</v>
      </c>
      <c r="M256" s="11" t="str">
        <f aca="false">INDEX(Bases!$L$5:$L$83,$T256)</f>
        <v>Soigne 18 % des PV max (augmenté par le Bonus de soins).</v>
      </c>
      <c r="N256" s="11" t="str">
        <f aca="false">IF($C256="Passif","—",IF($C256="Attaque (arme 1)",INDEX(Éléments!$F$5:$F$14,$U256),INDEX(Éléments!$G$5:$G$14,$U256)))</f>
        <v>+10 % d'Agilité (esquive) pendant la durée de l'effet.</v>
      </c>
      <c r="O256" s="10" t="str">
        <f aca="false">INDEX(Bases!$M$5:$M$83,$T256)</f>
        <v>Active</v>
      </c>
      <c r="P256" s="13" t="n">
        <f aca="false">INDEX(Bases!$N$5:$N$83,$T256)</f>
        <v>10</v>
      </c>
      <c r="Q256" s="15" t="n">
        <f aca="false">INDEX(Éléments!$C$5:$C$14,$U256)</f>
        <v>40</v>
      </c>
      <c r="R256" s="11" t="str">
        <f aca="false">"Niv. "&amp;$P256&amp;IF($Q256&gt;0," · étage "&amp;$Q256&amp;" terminé","")</f>
        <v>Niv. 10 · étage 40 terminé</v>
      </c>
      <c r="S256" s="14" t="n">
        <f aca="false">IF(ISNUMBER($I256),$K256*IF($H256="Zone",Paramètres!$B$8,1)/MAX(1,$I256),0)</f>
        <v>0</v>
      </c>
      <c r="T256" s="16" t="n">
        <v>33</v>
      </c>
      <c r="U256" s="16" t="n">
        <v>4</v>
      </c>
    </row>
    <row r="257" customFormat="false" ht="15" hidden="false" customHeight="true" outlineLevel="0" collapsed="false">
      <c r="A257" s="9" t="s">
        <v>326</v>
      </c>
      <c r="B257" s="10" t="str">
        <f aca="false">INDEX(Bases!$B$5:$B$83,$T257)</f>
        <v>Mage</v>
      </c>
      <c r="C257" s="10" t="str">
        <f aca="false">INDEX(Bases!$E$5:$E$83,$T257)</f>
        <v>Soutien (arme 2)</v>
      </c>
      <c r="D257" s="10" t="str">
        <f aca="false">INDEX(Bases!$F$5:$F$83,$T257)</f>
        <v>Soin</v>
      </c>
      <c r="E257" s="11" t="str">
        <f aca="false">INDEX(Bases!$C$5:$C$83,$T257)</f>
        <v>Soin</v>
      </c>
      <c r="F257" s="10" t="str">
        <f aca="false">INDEX(Éléments!$A$5:$A$14,$U257)</f>
        <v>Acide</v>
      </c>
      <c r="G257" s="12" t="str">
        <f aca="false">IF(OR($F257="Neutre",$C257="Passif"),$E257,INDEX(Bases!$D$5:$D$83,$T257)&amp;" "&amp;INDEX(Éléments!$D$5:$D$14,$U257))</f>
        <v>Soin d'acide</v>
      </c>
      <c r="H257" s="10" t="str">
        <f aca="false">INDEX(Bases!$G$5:$G$83,$T257)</f>
        <v>Soi</v>
      </c>
      <c r="I257" s="13" t="n">
        <f aca="false">INDEX(Bases!$H$5:$H$83,$T257)</f>
        <v>2</v>
      </c>
      <c r="J257" s="10" t="str">
        <f aca="false">INDEX(Bases!$I$5:$I$83,$T257)</f>
        <v>Non</v>
      </c>
      <c r="K257" s="14" t="n">
        <f aca="false">INDEX(Bases!$J$5:$J$83,$T257)</f>
        <v>0</v>
      </c>
      <c r="L257" s="10" t="str">
        <f aca="false">INDEX(Bases!$K$5:$K$83,$T257)</f>
        <v>Magie</v>
      </c>
      <c r="M257" s="11" t="str">
        <f aca="false">INDEX(Bases!$L$5:$L$83,$T257)</f>
        <v>Soigne 18 % des PV max (augmenté par le Bonus de soins).</v>
      </c>
      <c r="N257" s="11" t="str">
        <f aca="false">IF($C257="Passif","—",IF($C257="Attaque (arme 1)",INDEX(Éléments!$F$5:$F$14,$U257),INDEX(Éléments!$G$5:$G$14,$U257)))</f>
        <v>Les ennemis qui frappent le lanceur prennent 1 pile de Corrosion (40 %).</v>
      </c>
      <c r="O257" s="10" t="str">
        <f aca="false">INDEX(Bases!$M$5:$M$83,$T257)</f>
        <v>Active</v>
      </c>
      <c r="P257" s="13" t="n">
        <f aca="false">INDEX(Bases!$N$5:$N$83,$T257)</f>
        <v>10</v>
      </c>
      <c r="Q257" s="15" t="n">
        <f aca="false">INDEX(Éléments!$C$5:$C$14,$U257)</f>
        <v>50</v>
      </c>
      <c r="R257" s="11" t="str">
        <f aca="false">"Niv. "&amp;$P257&amp;IF($Q257&gt;0," · étage "&amp;$Q257&amp;" terminé","")</f>
        <v>Niv. 10 · étage 50 terminé</v>
      </c>
      <c r="S257" s="14" t="n">
        <f aca="false">IF(ISNUMBER($I257),$K257*IF($H257="Zone",Paramètres!$B$8,1)/MAX(1,$I257),0)</f>
        <v>0</v>
      </c>
      <c r="T257" s="16" t="n">
        <v>33</v>
      </c>
      <c r="U257" s="16" t="n">
        <v>5</v>
      </c>
    </row>
    <row r="258" customFormat="false" ht="15" hidden="false" customHeight="true" outlineLevel="0" collapsed="false">
      <c r="A258" s="9" t="s">
        <v>327</v>
      </c>
      <c r="B258" s="10" t="str">
        <f aca="false">INDEX(Bases!$B$5:$B$83,$T258)</f>
        <v>Mage</v>
      </c>
      <c r="C258" s="10" t="str">
        <f aca="false">INDEX(Bases!$E$5:$E$83,$T258)</f>
        <v>Soutien (arme 2)</v>
      </c>
      <c r="D258" s="10" t="str">
        <f aca="false">INDEX(Bases!$F$5:$F$83,$T258)</f>
        <v>Soin</v>
      </c>
      <c r="E258" s="11" t="str">
        <f aca="false">INDEX(Bases!$C$5:$C$83,$T258)</f>
        <v>Soin</v>
      </c>
      <c r="F258" s="10" t="str">
        <f aca="false">INDEX(Éléments!$A$5:$A$14,$U258)</f>
        <v>Eau</v>
      </c>
      <c r="G258" s="12" t="str">
        <f aca="false">IF(OR($F258="Neutre",$C258="Passif"),$E258,INDEX(Bases!$D$5:$D$83,$T258)&amp;" "&amp;INDEX(Éléments!$D$5:$D$14,$U258))</f>
        <v>Soin d'eau</v>
      </c>
      <c r="H258" s="10" t="str">
        <f aca="false">INDEX(Bases!$G$5:$G$83,$T258)</f>
        <v>Soi</v>
      </c>
      <c r="I258" s="13" t="n">
        <f aca="false">INDEX(Bases!$H$5:$H$83,$T258)</f>
        <v>2</v>
      </c>
      <c r="J258" s="10" t="str">
        <f aca="false">INDEX(Bases!$I$5:$I$83,$T258)</f>
        <v>Non</v>
      </c>
      <c r="K258" s="14" t="n">
        <f aca="false">INDEX(Bases!$J$5:$J$83,$T258)</f>
        <v>0</v>
      </c>
      <c r="L258" s="10" t="str">
        <f aca="false">INDEX(Bases!$K$5:$K$83,$T258)</f>
        <v>Magie</v>
      </c>
      <c r="M258" s="11" t="str">
        <f aca="false">INDEX(Bases!$L$5:$L$83,$T258)</f>
        <v>Soigne 18 % des PV max (augmenté par le Bonus de soins).</v>
      </c>
      <c r="N258" s="11" t="str">
        <f aca="false">IF($C258="Passif","—",IF($C258="Attaque (arme 1)",INDEX(Éléments!$F$5:$F$14,$U258),INDEX(Éléments!$G$5:$G$14,$U258)))</f>
        <v>Soin supplémentaire de 4 % des PV max ; retire Brûlure du lanceur.</v>
      </c>
      <c r="O258" s="10" t="str">
        <f aca="false">INDEX(Bases!$M$5:$M$83,$T258)</f>
        <v>Active</v>
      </c>
      <c r="P258" s="13" t="n">
        <f aca="false">INDEX(Bases!$N$5:$N$83,$T258)</f>
        <v>10</v>
      </c>
      <c r="Q258" s="15" t="n">
        <f aca="false">INDEX(Éléments!$C$5:$C$14,$U258)</f>
        <v>60</v>
      </c>
      <c r="R258" s="11" t="str">
        <f aca="false">"Niv. "&amp;$P258&amp;IF($Q258&gt;0," · étage "&amp;$Q258&amp;" terminé","")</f>
        <v>Niv. 10 · étage 60 terminé</v>
      </c>
      <c r="S258" s="14" t="n">
        <f aca="false">IF(ISNUMBER($I258),$K258*IF($H258="Zone",Paramètres!$B$8,1)/MAX(1,$I258),0)</f>
        <v>0</v>
      </c>
      <c r="T258" s="16" t="n">
        <v>33</v>
      </c>
      <c r="U258" s="16" t="n">
        <v>6</v>
      </c>
    </row>
    <row r="259" customFormat="false" ht="15" hidden="false" customHeight="true" outlineLevel="0" collapsed="false">
      <c r="A259" s="9" t="s">
        <v>328</v>
      </c>
      <c r="B259" s="10" t="str">
        <f aca="false">INDEX(Bases!$B$5:$B$83,$T259)</f>
        <v>Mage</v>
      </c>
      <c r="C259" s="10" t="str">
        <f aca="false">INDEX(Bases!$E$5:$E$83,$T259)</f>
        <v>Soutien (arme 2)</v>
      </c>
      <c r="D259" s="10" t="str">
        <f aca="false">INDEX(Bases!$F$5:$F$83,$T259)</f>
        <v>Soin</v>
      </c>
      <c r="E259" s="11" t="str">
        <f aca="false">INDEX(Bases!$C$5:$C$83,$T259)</f>
        <v>Soin</v>
      </c>
      <c r="F259" s="10" t="str">
        <f aca="false">INDEX(Éléments!$A$5:$A$14,$U259)</f>
        <v>Glace</v>
      </c>
      <c r="G259" s="12" t="str">
        <f aca="false">IF(OR($F259="Neutre",$C259="Passif"),$E259,INDEX(Bases!$D$5:$D$83,$T259)&amp;" "&amp;INDEX(Éléments!$D$5:$D$14,$U259))</f>
        <v>Soin de glace</v>
      </c>
      <c r="H259" s="10" t="str">
        <f aca="false">INDEX(Bases!$G$5:$G$83,$T259)</f>
        <v>Soi</v>
      </c>
      <c r="I259" s="13" t="n">
        <f aca="false">INDEX(Bases!$H$5:$H$83,$T259)</f>
        <v>2</v>
      </c>
      <c r="J259" s="10" t="str">
        <f aca="false">INDEX(Bases!$I$5:$I$83,$T259)</f>
        <v>Non</v>
      </c>
      <c r="K259" s="14" t="n">
        <f aca="false">INDEX(Bases!$J$5:$J$83,$T259)</f>
        <v>0</v>
      </c>
      <c r="L259" s="10" t="str">
        <f aca="false">INDEX(Bases!$K$5:$K$83,$T259)</f>
        <v>Magie</v>
      </c>
      <c r="M259" s="11" t="str">
        <f aca="false">INDEX(Bases!$L$5:$L$83,$T259)</f>
        <v>Soigne 18 % des PV max (augmenté par le Bonus de soins).</v>
      </c>
      <c r="N259" s="11" t="str">
        <f aca="false">IF($C259="Passif","—",IF($C259="Attaque (arme 1)",INDEX(Éléments!$F$5:$F$14,$U259),INDEX(Éléments!$G$5:$G$14,$U259)))</f>
        <v>Les ennemis qui frappent le lanceur prennent 1 pile de Froid (40 %).</v>
      </c>
      <c r="O259" s="10" t="str">
        <f aca="false">INDEX(Bases!$M$5:$M$83,$T259)</f>
        <v>Active</v>
      </c>
      <c r="P259" s="13" t="n">
        <f aca="false">INDEX(Bases!$N$5:$N$83,$T259)</f>
        <v>10</v>
      </c>
      <c r="Q259" s="15" t="n">
        <f aca="false">INDEX(Éléments!$C$5:$C$14,$U259)</f>
        <v>70</v>
      </c>
      <c r="R259" s="11" t="str">
        <f aca="false">"Niv. "&amp;$P259&amp;IF($Q259&gt;0," · étage "&amp;$Q259&amp;" terminé","")</f>
        <v>Niv. 10 · étage 70 terminé</v>
      </c>
      <c r="S259" s="14" t="n">
        <f aca="false">IF(ISNUMBER($I259),$K259*IF($H259="Zone",Paramètres!$B$8,1)/MAX(1,$I259),0)</f>
        <v>0</v>
      </c>
      <c r="T259" s="16" t="n">
        <v>33</v>
      </c>
      <c r="U259" s="16" t="n">
        <v>7</v>
      </c>
    </row>
    <row r="260" customFormat="false" ht="15" hidden="false" customHeight="true" outlineLevel="0" collapsed="false">
      <c r="A260" s="9" t="s">
        <v>329</v>
      </c>
      <c r="B260" s="10" t="str">
        <f aca="false">INDEX(Bases!$B$5:$B$83,$T260)</f>
        <v>Mage</v>
      </c>
      <c r="C260" s="10" t="str">
        <f aca="false">INDEX(Bases!$E$5:$E$83,$T260)</f>
        <v>Soutien (arme 2)</v>
      </c>
      <c r="D260" s="10" t="str">
        <f aca="false">INDEX(Bases!$F$5:$F$83,$T260)</f>
        <v>Soin</v>
      </c>
      <c r="E260" s="11" t="str">
        <f aca="false">INDEX(Bases!$C$5:$C$83,$T260)</f>
        <v>Soin</v>
      </c>
      <c r="F260" s="10" t="str">
        <f aca="false">INDEX(Éléments!$A$5:$A$14,$U260)</f>
        <v>Électricité</v>
      </c>
      <c r="G260" s="12" t="str">
        <f aca="false">IF(OR($F260="Neutre",$C260="Passif"),$E260,INDEX(Bases!$D$5:$D$83,$T260)&amp;" "&amp;INDEX(Éléments!$D$5:$D$14,$U260))</f>
        <v>Soin de foudre</v>
      </c>
      <c r="H260" s="10" t="str">
        <f aca="false">INDEX(Bases!$G$5:$G$83,$T260)</f>
        <v>Soi</v>
      </c>
      <c r="I260" s="13" t="n">
        <f aca="false">INDEX(Bases!$H$5:$H$83,$T260)</f>
        <v>2</v>
      </c>
      <c r="J260" s="10" t="str">
        <f aca="false">INDEX(Bases!$I$5:$I$83,$T260)</f>
        <v>Non</v>
      </c>
      <c r="K260" s="14" t="n">
        <f aca="false">INDEX(Bases!$J$5:$J$83,$T260)</f>
        <v>0</v>
      </c>
      <c r="L260" s="10" t="str">
        <f aca="false">INDEX(Bases!$K$5:$K$83,$T260)</f>
        <v>Magie</v>
      </c>
      <c r="M260" s="11" t="str">
        <f aca="false">INDEX(Bases!$L$5:$L$83,$T260)</f>
        <v>Soigne 18 % des PV max (augmenté par le Bonus de soins).</v>
      </c>
      <c r="N260" s="11" t="str">
        <f aca="false">IF($C260="Passif","—",IF($C260="Attaque (arme 1)",INDEX(Éléments!$F$5:$F$14,$U260),INDEX(Éléments!$G$5:$G$14,$U260)))</f>
        <v>La prochaine attaque du lanceur inflige +15 % de dégâts.</v>
      </c>
      <c r="O260" s="10" t="str">
        <f aca="false">INDEX(Bases!$M$5:$M$83,$T260)</f>
        <v>Active</v>
      </c>
      <c r="P260" s="13" t="n">
        <f aca="false">INDEX(Bases!$N$5:$N$83,$T260)</f>
        <v>10</v>
      </c>
      <c r="Q260" s="15" t="n">
        <f aca="false">INDEX(Éléments!$C$5:$C$14,$U260)</f>
        <v>80</v>
      </c>
      <c r="R260" s="11" t="str">
        <f aca="false">"Niv. "&amp;$P260&amp;IF($Q260&gt;0," · étage "&amp;$Q260&amp;" terminé","")</f>
        <v>Niv. 10 · étage 80 terminé</v>
      </c>
      <c r="S260" s="14" t="n">
        <f aca="false">IF(ISNUMBER($I260),$K260*IF($H260="Zone",Paramètres!$B$8,1)/MAX(1,$I260),0)</f>
        <v>0</v>
      </c>
      <c r="T260" s="16" t="n">
        <v>33</v>
      </c>
      <c r="U260" s="16" t="n">
        <v>8</v>
      </c>
    </row>
    <row r="261" customFormat="false" ht="15" hidden="false" customHeight="true" outlineLevel="0" collapsed="false">
      <c r="A261" s="9" t="s">
        <v>330</v>
      </c>
      <c r="B261" s="10" t="str">
        <f aca="false">INDEX(Bases!$B$5:$B$83,$T261)</f>
        <v>Mage</v>
      </c>
      <c r="C261" s="10" t="str">
        <f aca="false">INDEX(Bases!$E$5:$E$83,$T261)</f>
        <v>Soutien (arme 2)</v>
      </c>
      <c r="D261" s="10" t="str">
        <f aca="false">INDEX(Bases!$F$5:$F$83,$T261)</f>
        <v>Soin</v>
      </c>
      <c r="E261" s="11" t="str">
        <f aca="false">INDEX(Bases!$C$5:$C$83,$T261)</f>
        <v>Soin</v>
      </c>
      <c r="F261" s="10" t="str">
        <f aca="false">INDEX(Éléments!$A$5:$A$14,$U261)</f>
        <v>Lumière</v>
      </c>
      <c r="G261" s="12" t="str">
        <f aca="false">IF(OR($F261="Neutre",$C261="Passif"),$E261,INDEX(Bases!$D$5:$D$83,$T261)&amp;" "&amp;INDEX(Éléments!$D$5:$D$14,$U261))</f>
        <v>Soin de lumière</v>
      </c>
      <c r="H261" s="10" t="str">
        <f aca="false">INDEX(Bases!$G$5:$G$83,$T261)</f>
        <v>Soi</v>
      </c>
      <c r="I261" s="13" t="n">
        <f aca="false">INDEX(Bases!$H$5:$H$83,$T261)</f>
        <v>2</v>
      </c>
      <c r="J261" s="10" t="str">
        <f aca="false">INDEX(Bases!$I$5:$I$83,$T261)</f>
        <v>Non</v>
      </c>
      <c r="K261" s="14" t="n">
        <f aca="false">INDEX(Bases!$J$5:$J$83,$T261)</f>
        <v>0</v>
      </c>
      <c r="L261" s="10" t="str">
        <f aca="false">INDEX(Bases!$K$5:$K$83,$T261)</f>
        <v>Magie</v>
      </c>
      <c r="M261" s="11" t="str">
        <f aca="false">INDEX(Bases!$L$5:$L$83,$T261)</f>
        <v>Soigne 18 % des PV max (augmenté par le Bonus de soins).</v>
      </c>
      <c r="N261" s="11" t="str">
        <f aca="false">IF($C261="Passif","—",IF($C261="Attaque (arme 1)",INDEX(Éléments!$F$5:$F$14,$U261),INDEX(Éléments!$G$5:$G$14,$U261)))</f>
        <v>+20 % sur les soins et boucliers de la compétence.</v>
      </c>
      <c r="O261" s="10" t="str">
        <f aca="false">INDEX(Bases!$M$5:$M$83,$T261)</f>
        <v>Active</v>
      </c>
      <c r="P261" s="13" t="n">
        <f aca="false">INDEX(Bases!$N$5:$N$83,$T261)</f>
        <v>10</v>
      </c>
      <c r="Q261" s="15" t="n">
        <f aca="false">INDEX(Éléments!$C$5:$C$14,$U261)</f>
        <v>90</v>
      </c>
      <c r="R261" s="11" t="str">
        <f aca="false">"Niv. "&amp;$P261&amp;IF($Q261&gt;0," · étage "&amp;$Q261&amp;" terminé","")</f>
        <v>Niv. 10 · étage 90 terminé</v>
      </c>
      <c r="S261" s="14" t="n">
        <f aca="false">IF(ISNUMBER($I261),$K261*IF($H261="Zone",Paramètres!$B$8,1)/MAX(1,$I261),0)</f>
        <v>0</v>
      </c>
      <c r="T261" s="16" t="n">
        <v>33</v>
      </c>
      <c r="U261" s="16" t="n">
        <v>9</v>
      </c>
    </row>
    <row r="262" customFormat="false" ht="15" hidden="false" customHeight="true" outlineLevel="0" collapsed="false">
      <c r="A262" s="9" t="s">
        <v>331</v>
      </c>
      <c r="B262" s="10" t="str">
        <f aca="false">INDEX(Bases!$B$5:$B$83,$T262)</f>
        <v>Mage</v>
      </c>
      <c r="C262" s="10" t="str">
        <f aca="false">INDEX(Bases!$E$5:$E$83,$T262)</f>
        <v>Soutien (arme 2)</v>
      </c>
      <c r="D262" s="10" t="str">
        <f aca="false">INDEX(Bases!$F$5:$F$83,$T262)</f>
        <v>Soin</v>
      </c>
      <c r="E262" s="11" t="str">
        <f aca="false">INDEX(Bases!$C$5:$C$83,$T262)</f>
        <v>Soin</v>
      </c>
      <c r="F262" s="10" t="str">
        <f aca="false">INDEX(Éléments!$A$5:$A$14,$U262)</f>
        <v>Ombre</v>
      </c>
      <c r="G262" s="12" t="str">
        <f aca="false">IF(OR($F262="Neutre",$C262="Passif"),$E262,INDEX(Bases!$D$5:$D$83,$T262)&amp;" "&amp;INDEX(Éléments!$D$5:$D$14,$U262))</f>
        <v>Soin d'ombre</v>
      </c>
      <c r="H262" s="10" t="str">
        <f aca="false">INDEX(Bases!$G$5:$G$83,$T262)</f>
        <v>Soi</v>
      </c>
      <c r="I262" s="13" t="n">
        <f aca="false">INDEX(Bases!$H$5:$H$83,$T262)</f>
        <v>2</v>
      </c>
      <c r="J262" s="10" t="str">
        <f aca="false">INDEX(Bases!$I$5:$I$83,$T262)</f>
        <v>Non</v>
      </c>
      <c r="K262" s="14" t="n">
        <f aca="false">INDEX(Bases!$J$5:$J$83,$T262)</f>
        <v>0</v>
      </c>
      <c r="L262" s="10" t="str">
        <f aca="false">INDEX(Bases!$K$5:$K$83,$T262)</f>
        <v>Magie</v>
      </c>
      <c r="M262" s="11" t="str">
        <f aca="false">INDEX(Bases!$L$5:$L$83,$T262)</f>
        <v>Soigne 18 % des PV max (augmenté par le Bonus de soins).</v>
      </c>
      <c r="N262" s="11" t="str">
        <f aca="false">IF($C262="Passif","—",IF($C262="Attaque (arme 1)",INDEX(Éléments!$F$5:$F$14,$U262),INDEX(Éléments!$G$5:$G$14,$U262)))</f>
        <v>Les ennemis qui frappent le lanceur subissent Corruption (25 %).</v>
      </c>
      <c r="O262" s="10" t="str">
        <f aca="false">INDEX(Bases!$M$5:$M$83,$T262)</f>
        <v>Active</v>
      </c>
      <c r="P262" s="13" t="n">
        <f aca="false">INDEX(Bases!$N$5:$N$83,$T262)</f>
        <v>10</v>
      </c>
      <c r="Q262" s="15" t="n">
        <f aca="false">INDEX(Éléments!$C$5:$C$14,$U262)</f>
        <v>100</v>
      </c>
      <c r="R262" s="11" t="str">
        <f aca="false">"Niv. "&amp;$P262&amp;IF($Q262&gt;0," · étage "&amp;$Q262&amp;" terminé","")</f>
        <v>Niv. 10 · étage 100 terminé</v>
      </c>
      <c r="S262" s="14" t="n">
        <f aca="false">IF(ISNUMBER($I262),$K262*IF($H262="Zone",Paramètres!$B$8,1)/MAX(1,$I262),0)</f>
        <v>0</v>
      </c>
      <c r="T262" s="16" t="n">
        <v>33</v>
      </c>
      <c r="U262" s="16" t="n">
        <v>10</v>
      </c>
    </row>
    <row r="263" customFormat="false" ht="15" hidden="false" customHeight="true" outlineLevel="0" collapsed="false">
      <c r="A263" s="9" t="s">
        <v>332</v>
      </c>
      <c r="B263" s="10" t="str">
        <f aca="false">INDEX(Bases!$B$5:$B$83,$T263)</f>
        <v>Mage</v>
      </c>
      <c r="C263" s="10" t="str">
        <f aca="false">INDEX(Bases!$E$5:$E$83,$T263)</f>
        <v>Soutien (arme 2)</v>
      </c>
      <c r="D263" s="10" t="str">
        <f aca="false">INDEX(Bases!$F$5:$F$83,$T263)</f>
        <v>Buff</v>
      </c>
      <c r="E263" s="11" t="str">
        <f aca="false">INDEX(Bases!$C$5:$C$83,$T263)</f>
        <v>Amplification</v>
      </c>
      <c r="F263" s="10" t="str">
        <f aca="false">INDEX(Éléments!$A$5:$A$14,$U263)</f>
        <v>Neutre</v>
      </c>
      <c r="G263" s="12" t="str">
        <f aca="false">IF(OR($F263="Neutre",$C263="Passif"),$E263,INDEX(Bases!$D$5:$D$83,$T263)&amp;" "&amp;INDEX(Éléments!$D$5:$D$14,$U263))</f>
        <v>Amplification</v>
      </c>
      <c r="H263" s="10" t="str">
        <f aca="false">INDEX(Bases!$G$5:$G$83,$T263)</f>
        <v>Soi</v>
      </c>
      <c r="I263" s="13" t="n">
        <f aca="false">INDEX(Bases!$H$5:$H$83,$T263)</f>
        <v>2</v>
      </c>
      <c r="J263" s="10" t="str">
        <f aca="false">INDEX(Bases!$I$5:$I$83,$T263)</f>
        <v>Non</v>
      </c>
      <c r="K263" s="14" t="n">
        <f aca="false">INDEX(Bases!$J$5:$J$83,$T263)</f>
        <v>0</v>
      </c>
      <c r="L263" s="10" t="str">
        <f aca="false">INDEX(Bases!$K$5:$K$83,$T263)</f>
        <v>Magie</v>
      </c>
      <c r="M263" s="11" t="str">
        <f aca="false">INDEX(Bases!$L$5:$L$83,$T263)</f>
        <v>+25 % de Magie pendant 2 tours.</v>
      </c>
      <c r="N263" s="11" t="str">
        <f aca="false">IF($C263="Passif","—",IF($C263="Attaque (arme 1)",INDEX(Éléments!$F$5:$F$14,$U263),INDEX(Éléments!$G$5:$G$14,$U263)))</f>
        <v>Aucun bonus élémentaire : effet de base seul.</v>
      </c>
      <c r="O263" s="10" t="str">
        <f aca="false">INDEX(Bases!$M$5:$M$83,$T263)</f>
        <v>Active</v>
      </c>
      <c r="P263" s="13" t="n">
        <f aca="false">INDEX(Bases!$N$5:$N$83,$T263)</f>
        <v>15</v>
      </c>
      <c r="Q263" s="15" t="n">
        <f aca="false">INDEX(Éléments!$C$5:$C$14,$U263)</f>
        <v>0</v>
      </c>
      <c r="R263" s="11" t="str">
        <f aca="false">"Niv. "&amp;$P263&amp;IF($Q263&gt;0," · étage "&amp;$Q263&amp;" terminé","")</f>
        <v>Niv. 15</v>
      </c>
      <c r="S263" s="14" t="n">
        <f aca="false">IF(ISNUMBER($I263),$K263*IF($H263="Zone",Paramètres!$B$8,1)/MAX(1,$I263),0)</f>
        <v>0</v>
      </c>
      <c r="T263" s="16" t="n">
        <v>34</v>
      </c>
      <c r="U263" s="16" t="n">
        <v>1</v>
      </c>
    </row>
    <row r="264" customFormat="false" ht="15" hidden="false" customHeight="true" outlineLevel="0" collapsed="false">
      <c r="A264" s="9" t="s">
        <v>333</v>
      </c>
      <c r="B264" s="10" t="str">
        <f aca="false">INDEX(Bases!$B$5:$B$83,$T264)</f>
        <v>Mage</v>
      </c>
      <c r="C264" s="10" t="str">
        <f aca="false">INDEX(Bases!$E$5:$E$83,$T264)</f>
        <v>Soutien (arme 2)</v>
      </c>
      <c r="D264" s="10" t="str">
        <f aca="false">INDEX(Bases!$F$5:$F$83,$T264)</f>
        <v>Buff</v>
      </c>
      <c r="E264" s="11" t="str">
        <f aca="false">INDEX(Bases!$C$5:$C$83,$T264)</f>
        <v>Amplification</v>
      </c>
      <c r="F264" s="10" t="str">
        <f aca="false">INDEX(Éléments!$A$5:$A$14,$U264)</f>
        <v>Terre</v>
      </c>
      <c r="G264" s="12" t="str">
        <f aca="false">IF(OR($F264="Neutre",$C264="Passif"),$E264,INDEX(Bases!$D$5:$D$83,$T264)&amp;" "&amp;INDEX(Éléments!$D$5:$D$14,$U264))</f>
        <v>Amplification de pierre</v>
      </c>
      <c r="H264" s="10" t="str">
        <f aca="false">INDEX(Bases!$G$5:$G$83,$T264)</f>
        <v>Soi</v>
      </c>
      <c r="I264" s="13" t="n">
        <f aca="false">INDEX(Bases!$H$5:$H$83,$T264)</f>
        <v>2</v>
      </c>
      <c r="J264" s="10" t="str">
        <f aca="false">INDEX(Bases!$I$5:$I$83,$T264)</f>
        <v>Non</v>
      </c>
      <c r="K264" s="14" t="n">
        <f aca="false">INDEX(Bases!$J$5:$J$83,$T264)</f>
        <v>0</v>
      </c>
      <c r="L264" s="10" t="str">
        <f aca="false">INDEX(Bases!$K$5:$K$83,$T264)</f>
        <v>Magie</v>
      </c>
      <c r="M264" s="11" t="str">
        <f aca="false">INDEX(Bases!$L$5:$L$83,$T264)</f>
        <v>+25 % de Magie pendant 2 tours.</v>
      </c>
      <c r="N264" s="11" t="str">
        <f aca="false">IF($C264="Passif","—",IF($C264="Attaque (arme 1)",INDEX(Éléments!$F$5:$F$14,$U264),INDEX(Éléments!$G$5:$G$14,$U264)))</f>
        <v>+15 % d'Armure pendant la durée de l'effet.</v>
      </c>
      <c r="O264" s="10" t="str">
        <f aca="false">INDEX(Bases!$M$5:$M$83,$T264)</f>
        <v>Active</v>
      </c>
      <c r="P264" s="13" t="n">
        <f aca="false">INDEX(Bases!$N$5:$N$83,$T264)</f>
        <v>15</v>
      </c>
      <c r="Q264" s="15" t="n">
        <f aca="false">INDEX(Éléments!$C$5:$C$14,$U264)</f>
        <v>20</v>
      </c>
      <c r="R264" s="11" t="str">
        <f aca="false">"Niv. "&amp;$P264&amp;IF($Q264&gt;0," · étage "&amp;$Q264&amp;" terminé","")</f>
        <v>Niv. 15 · étage 20 terminé</v>
      </c>
      <c r="S264" s="14" t="n">
        <f aca="false">IF(ISNUMBER($I264),$K264*IF($H264="Zone",Paramètres!$B$8,1)/MAX(1,$I264),0)</f>
        <v>0</v>
      </c>
      <c r="T264" s="16" t="n">
        <v>34</v>
      </c>
      <c r="U264" s="16" t="n">
        <v>2</v>
      </c>
    </row>
    <row r="265" customFormat="false" ht="15" hidden="false" customHeight="true" outlineLevel="0" collapsed="false">
      <c r="A265" s="9" t="s">
        <v>334</v>
      </c>
      <c r="B265" s="10" t="str">
        <f aca="false">INDEX(Bases!$B$5:$B$83,$T265)</f>
        <v>Mage</v>
      </c>
      <c r="C265" s="10" t="str">
        <f aca="false">INDEX(Bases!$E$5:$E$83,$T265)</f>
        <v>Soutien (arme 2)</v>
      </c>
      <c r="D265" s="10" t="str">
        <f aca="false">INDEX(Bases!$F$5:$F$83,$T265)</f>
        <v>Buff</v>
      </c>
      <c r="E265" s="11" t="str">
        <f aca="false">INDEX(Bases!$C$5:$C$83,$T265)</f>
        <v>Amplification</v>
      </c>
      <c r="F265" s="10" t="str">
        <f aca="false">INDEX(Éléments!$A$5:$A$14,$U265)</f>
        <v>Feu</v>
      </c>
      <c r="G265" s="12" t="str">
        <f aca="false">IF(OR($F265="Neutre",$C265="Passif"),$E265,INDEX(Bases!$D$5:$D$83,$T265)&amp;" "&amp;INDEX(Éléments!$D$5:$D$14,$U265))</f>
        <v>Amplification de feu</v>
      </c>
      <c r="H265" s="10" t="str">
        <f aca="false">INDEX(Bases!$G$5:$G$83,$T265)</f>
        <v>Soi</v>
      </c>
      <c r="I265" s="13" t="n">
        <f aca="false">INDEX(Bases!$H$5:$H$83,$T265)</f>
        <v>2</v>
      </c>
      <c r="J265" s="10" t="str">
        <f aca="false">INDEX(Bases!$I$5:$I$83,$T265)</f>
        <v>Non</v>
      </c>
      <c r="K265" s="14" t="n">
        <f aca="false">INDEX(Bases!$J$5:$J$83,$T265)</f>
        <v>0</v>
      </c>
      <c r="L265" s="10" t="str">
        <f aca="false">INDEX(Bases!$K$5:$K$83,$T265)</f>
        <v>Magie</v>
      </c>
      <c r="M265" s="11" t="str">
        <f aca="false">INDEX(Bases!$L$5:$L$83,$T265)</f>
        <v>+25 % de Magie pendant 2 tours.</v>
      </c>
      <c r="N265" s="11" t="str">
        <f aca="false">IF($C265="Passif","—",IF($C265="Attaque (arme 1)",INDEX(Éléments!$F$5:$F$14,$U265),INDEX(Éléments!$G$5:$G$14,$U265)))</f>
        <v>Les ennemis qui frappent le lanceur ont 40 % de subir Brûlure (pendant la durée).</v>
      </c>
      <c r="O265" s="10" t="str">
        <f aca="false">INDEX(Bases!$M$5:$M$83,$T265)</f>
        <v>Active</v>
      </c>
      <c r="P265" s="13" t="n">
        <f aca="false">INDEX(Bases!$N$5:$N$83,$T265)</f>
        <v>15</v>
      </c>
      <c r="Q265" s="15" t="n">
        <f aca="false">INDEX(Éléments!$C$5:$C$14,$U265)</f>
        <v>30</v>
      </c>
      <c r="R265" s="11" t="str">
        <f aca="false">"Niv. "&amp;$P265&amp;IF($Q265&gt;0," · étage "&amp;$Q265&amp;" terminé","")</f>
        <v>Niv. 15 · étage 30 terminé</v>
      </c>
      <c r="S265" s="14" t="n">
        <f aca="false">IF(ISNUMBER($I265),$K265*IF($H265="Zone",Paramètres!$B$8,1)/MAX(1,$I265),0)</f>
        <v>0</v>
      </c>
      <c r="T265" s="16" t="n">
        <v>34</v>
      </c>
      <c r="U265" s="16" t="n">
        <v>3</v>
      </c>
    </row>
    <row r="266" customFormat="false" ht="15" hidden="false" customHeight="true" outlineLevel="0" collapsed="false">
      <c r="A266" s="9" t="s">
        <v>335</v>
      </c>
      <c r="B266" s="10" t="str">
        <f aca="false">INDEX(Bases!$B$5:$B$83,$T266)</f>
        <v>Mage</v>
      </c>
      <c r="C266" s="10" t="str">
        <f aca="false">INDEX(Bases!$E$5:$E$83,$T266)</f>
        <v>Soutien (arme 2)</v>
      </c>
      <c r="D266" s="10" t="str">
        <f aca="false">INDEX(Bases!$F$5:$F$83,$T266)</f>
        <v>Buff</v>
      </c>
      <c r="E266" s="11" t="str">
        <f aca="false">INDEX(Bases!$C$5:$C$83,$T266)</f>
        <v>Amplification</v>
      </c>
      <c r="F266" s="10" t="str">
        <f aca="false">INDEX(Éléments!$A$5:$A$14,$U266)</f>
        <v>Vent</v>
      </c>
      <c r="G266" s="12" t="str">
        <f aca="false">IF(OR($F266="Neutre",$C266="Passif"),$E266,INDEX(Bases!$D$5:$D$83,$T266)&amp;" "&amp;INDEX(Éléments!$D$5:$D$14,$U266))</f>
        <v>Amplification de vent</v>
      </c>
      <c r="H266" s="10" t="str">
        <f aca="false">INDEX(Bases!$G$5:$G$83,$T266)</f>
        <v>Soi</v>
      </c>
      <c r="I266" s="13" t="n">
        <f aca="false">INDEX(Bases!$H$5:$H$83,$T266)</f>
        <v>2</v>
      </c>
      <c r="J266" s="10" t="str">
        <f aca="false">INDEX(Bases!$I$5:$I$83,$T266)</f>
        <v>Non</v>
      </c>
      <c r="K266" s="14" t="n">
        <f aca="false">INDEX(Bases!$J$5:$J$83,$T266)</f>
        <v>0</v>
      </c>
      <c r="L266" s="10" t="str">
        <f aca="false">INDEX(Bases!$K$5:$K$83,$T266)</f>
        <v>Magie</v>
      </c>
      <c r="M266" s="11" t="str">
        <f aca="false">INDEX(Bases!$L$5:$L$83,$T266)</f>
        <v>+25 % de Magie pendant 2 tours.</v>
      </c>
      <c r="N266" s="11" t="str">
        <f aca="false">IF($C266="Passif","—",IF($C266="Attaque (arme 1)",INDEX(Éléments!$F$5:$F$14,$U266),INDEX(Éléments!$G$5:$G$14,$U266)))</f>
        <v>+10 % d'Agilité (esquive) pendant la durée de l'effet.</v>
      </c>
      <c r="O266" s="10" t="str">
        <f aca="false">INDEX(Bases!$M$5:$M$83,$T266)</f>
        <v>Active</v>
      </c>
      <c r="P266" s="13" t="n">
        <f aca="false">INDEX(Bases!$N$5:$N$83,$T266)</f>
        <v>15</v>
      </c>
      <c r="Q266" s="15" t="n">
        <f aca="false">INDEX(Éléments!$C$5:$C$14,$U266)</f>
        <v>40</v>
      </c>
      <c r="R266" s="11" t="str">
        <f aca="false">"Niv. "&amp;$P266&amp;IF($Q266&gt;0," · étage "&amp;$Q266&amp;" terminé","")</f>
        <v>Niv. 15 · étage 40 terminé</v>
      </c>
      <c r="S266" s="14" t="n">
        <f aca="false">IF(ISNUMBER($I266),$K266*IF($H266="Zone",Paramètres!$B$8,1)/MAX(1,$I266),0)</f>
        <v>0</v>
      </c>
      <c r="T266" s="16" t="n">
        <v>34</v>
      </c>
      <c r="U266" s="16" t="n">
        <v>4</v>
      </c>
    </row>
    <row r="267" customFormat="false" ht="15" hidden="false" customHeight="true" outlineLevel="0" collapsed="false">
      <c r="A267" s="9" t="s">
        <v>336</v>
      </c>
      <c r="B267" s="10" t="str">
        <f aca="false">INDEX(Bases!$B$5:$B$83,$T267)</f>
        <v>Mage</v>
      </c>
      <c r="C267" s="10" t="str">
        <f aca="false">INDEX(Bases!$E$5:$E$83,$T267)</f>
        <v>Soutien (arme 2)</v>
      </c>
      <c r="D267" s="10" t="str">
        <f aca="false">INDEX(Bases!$F$5:$F$83,$T267)</f>
        <v>Buff</v>
      </c>
      <c r="E267" s="11" t="str">
        <f aca="false">INDEX(Bases!$C$5:$C$83,$T267)</f>
        <v>Amplification</v>
      </c>
      <c r="F267" s="10" t="str">
        <f aca="false">INDEX(Éléments!$A$5:$A$14,$U267)</f>
        <v>Acide</v>
      </c>
      <c r="G267" s="12" t="str">
        <f aca="false">IF(OR($F267="Neutre",$C267="Passif"),$E267,INDEX(Bases!$D$5:$D$83,$T267)&amp;" "&amp;INDEX(Éléments!$D$5:$D$14,$U267))</f>
        <v>Amplification d'acide</v>
      </c>
      <c r="H267" s="10" t="str">
        <f aca="false">INDEX(Bases!$G$5:$G$83,$T267)</f>
        <v>Soi</v>
      </c>
      <c r="I267" s="13" t="n">
        <f aca="false">INDEX(Bases!$H$5:$H$83,$T267)</f>
        <v>2</v>
      </c>
      <c r="J267" s="10" t="str">
        <f aca="false">INDEX(Bases!$I$5:$I$83,$T267)</f>
        <v>Non</v>
      </c>
      <c r="K267" s="14" t="n">
        <f aca="false">INDEX(Bases!$J$5:$J$83,$T267)</f>
        <v>0</v>
      </c>
      <c r="L267" s="10" t="str">
        <f aca="false">INDEX(Bases!$K$5:$K$83,$T267)</f>
        <v>Magie</v>
      </c>
      <c r="M267" s="11" t="str">
        <f aca="false">INDEX(Bases!$L$5:$L$83,$T267)</f>
        <v>+25 % de Magie pendant 2 tours.</v>
      </c>
      <c r="N267" s="11" t="str">
        <f aca="false">IF($C267="Passif","—",IF($C267="Attaque (arme 1)",INDEX(Éléments!$F$5:$F$14,$U267),INDEX(Éléments!$G$5:$G$14,$U267)))</f>
        <v>Les ennemis qui frappent le lanceur prennent 1 pile de Corrosion (40 %).</v>
      </c>
      <c r="O267" s="10" t="str">
        <f aca="false">INDEX(Bases!$M$5:$M$83,$T267)</f>
        <v>Active</v>
      </c>
      <c r="P267" s="13" t="n">
        <f aca="false">INDEX(Bases!$N$5:$N$83,$T267)</f>
        <v>15</v>
      </c>
      <c r="Q267" s="15" t="n">
        <f aca="false">INDEX(Éléments!$C$5:$C$14,$U267)</f>
        <v>50</v>
      </c>
      <c r="R267" s="11" t="str">
        <f aca="false">"Niv. "&amp;$P267&amp;IF($Q267&gt;0," · étage "&amp;$Q267&amp;" terminé","")</f>
        <v>Niv. 15 · étage 50 terminé</v>
      </c>
      <c r="S267" s="14" t="n">
        <f aca="false">IF(ISNUMBER($I267),$K267*IF($H267="Zone",Paramètres!$B$8,1)/MAX(1,$I267),0)</f>
        <v>0</v>
      </c>
      <c r="T267" s="16" t="n">
        <v>34</v>
      </c>
      <c r="U267" s="16" t="n">
        <v>5</v>
      </c>
    </row>
    <row r="268" customFormat="false" ht="15" hidden="false" customHeight="true" outlineLevel="0" collapsed="false">
      <c r="A268" s="9" t="s">
        <v>337</v>
      </c>
      <c r="B268" s="10" t="str">
        <f aca="false">INDEX(Bases!$B$5:$B$83,$T268)</f>
        <v>Mage</v>
      </c>
      <c r="C268" s="10" t="str">
        <f aca="false">INDEX(Bases!$E$5:$E$83,$T268)</f>
        <v>Soutien (arme 2)</v>
      </c>
      <c r="D268" s="10" t="str">
        <f aca="false">INDEX(Bases!$F$5:$F$83,$T268)</f>
        <v>Buff</v>
      </c>
      <c r="E268" s="11" t="str">
        <f aca="false">INDEX(Bases!$C$5:$C$83,$T268)</f>
        <v>Amplification</v>
      </c>
      <c r="F268" s="10" t="str">
        <f aca="false">INDEX(Éléments!$A$5:$A$14,$U268)</f>
        <v>Eau</v>
      </c>
      <c r="G268" s="12" t="str">
        <f aca="false">IF(OR($F268="Neutre",$C268="Passif"),$E268,INDEX(Bases!$D$5:$D$83,$T268)&amp;" "&amp;INDEX(Éléments!$D$5:$D$14,$U268))</f>
        <v>Amplification d'eau</v>
      </c>
      <c r="H268" s="10" t="str">
        <f aca="false">INDEX(Bases!$G$5:$G$83,$T268)</f>
        <v>Soi</v>
      </c>
      <c r="I268" s="13" t="n">
        <f aca="false">INDEX(Bases!$H$5:$H$83,$T268)</f>
        <v>2</v>
      </c>
      <c r="J268" s="10" t="str">
        <f aca="false">INDEX(Bases!$I$5:$I$83,$T268)</f>
        <v>Non</v>
      </c>
      <c r="K268" s="14" t="n">
        <f aca="false">INDEX(Bases!$J$5:$J$83,$T268)</f>
        <v>0</v>
      </c>
      <c r="L268" s="10" t="str">
        <f aca="false">INDEX(Bases!$K$5:$K$83,$T268)</f>
        <v>Magie</v>
      </c>
      <c r="M268" s="11" t="str">
        <f aca="false">INDEX(Bases!$L$5:$L$83,$T268)</f>
        <v>+25 % de Magie pendant 2 tours.</v>
      </c>
      <c r="N268" s="11" t="str">
        <f aca="false">IF($C268="Passif","—",IF($C268="Attaque (arme 1)",INDEX(Éléments!$F$5:$F$14,$U268),INDEX(Éléments!$G$5:$G$14,$U268)))</f>
        <v>Soin supplémentaire de 4 % des PV max ; retire Brûlure du lanceur.</v>
      </c>
      <c r="O268" s="10" t="str">
        <f aca="false">INDEX(Bases!$M$5:$M$83,$T268)</f>
        <v>Active</v>
      </c>
      <c r="P268" s="13" t="n">
        <f aca="false">INDEX(Bases!$N$5:$N$83,$T268)</f>
        <v>15</v>
      </c>
      <c r="Q268" s="15" t="n">
        <f aca="false">INDEX(Éléments!$C$5:$C$14,$U268)</f>
        <v>60</v>
      </c>
      <c r="R268" s="11" t="str">
        <f aca="false">"Niv. "&amp;$P268&amp;IF($Q268&gt;0," · étage "&amp;$Q268&amp;" terminé","")</f>
        <v>Niv. 15 · étage 60 terminé</v>
      </c>
      <c r="S268" s="14" t="n">
        <f aca="false">IF(ISNUMBER($I268),$K268*IF($H268="Zone",Paramètres!$B$8,1)/MAX(1,$I268),0)</f>
        <v>0</v>
      </c>
      <c r="T268" s="16" t="n">
        <v>34</v>
      </c>
      <c r="U268" s="16" t="n">
        <v>6</v>
      </c>
    </row>
    <row r="269" customFormat="false" ht="15" hidden="false" customHeight="true" outlineLevel="0" collapsed="false">
      <c r="A269" s="9" t="s">
        <v>338</v>
      </c>
      <c r="B269" s="10" t="str">
        <f aca="false">INDEX(Bases!$B$5:$B$83,$T269)</f>
        <v>Mage</v>
      </c>
      <c r="C269" s="10" t="str">
        <f aca="false">INDEX(Bases!$E$5:$E$83,$T269)</f>
        <v>Soutien (arme 2)</v>
      </c>
      <c r="D269" s="10" t="str">
        <f aca="false">INDEX(Bases!$F$5:$F$83,$T269)</f>
        <v>Buff</v>
      </c>
      <c r="E269" s="11" t="str">
        <f aca="false">INDEX(Bases!$C$5:$C$83,$T269)</f>
        <v>Amplification</v>
      </c>
      <c r="F269" s="10" t="str">
        <f aca="false">INDEX(Éléments!$A$5:$A$14,$U269)</f>
        <v>Glace</v>
      </c>
      <c r="G269" s="12" t="str">
        <f aca="false">IF(OR($F269="Neutre",$C269="Passif"),$E269,INDEX(Bases!$D$5:$D$83,$T269)&amp;" "&amp;INDEX(Éléments!$D$5:$D$14,$U269))</f>
        <v>Amplification de glace</v>
      </c>
      <c r="H269" s="10" t="str">
        <f aca="false">INDEX(Bases!$G$5:$G$83,$T269)</f>
        <v>Soi</v>
      </c>
      <c r="I269" s="13" t="n">
        <f aca="false">INDEX(Bases!$H$5:$H$83,$T269)</f>
        <v>2</v>
      </c>
      <c r="J269" s="10" t="str">
        <f aca="false">INDEX(Bases!$I$5:$I$83,$T269)</f>
        <v>Non</v>
      </c>
      <c r="K269" s="14" t="n">
        <f aca="false">INDEX(Bases!$J$5:$J$83,$T269)</f>
        <v>0</v>
      </c>
      <c r="L269" s="10" t="str">
        <f aca="false">INDEX(Bases!$K$5:$K$83,$T269)</f>
        <v>Magie</v>
      </c>
      <c r="M269" s="11" t="str">
        <f aca="false">INDEX(Bases!$L$5:$L$83,$T269)</f>
        <v>+25 % de Magie pendant 2 tours.</v>
      </c>
      <c r="N269" s="11" t="str">
        <f aca="false">IF($C269="Passif","—",IF($C269="Attaque (arme 1)",INDEX(Éléments!$F$5:$F$14,$U269),INDEX(Éléments!$G$5:$G$14,$U269)))</f>
        <v>Les ennemis qui frappent le lanceur prennent 1 pile de Froid (40 %).</v>
      </c>
      <c r="O269" s="10" t="str">
        <f aca="false">INDEX(Bases!$M$5:$M$83,$T269)</f>
        <v>Active</v>
      </c>
      <c r="P269" s="13" t="n">
        <f aca="false">INDEX(Bases!$N$5:$N$83,$T269)</f>
        <v>15</v>
      </c>
      <c r="Q269" s="15" t="n">
        <f aca="false">INDEX(Éléments!$C$5:$C$14,$U269)</f>
        <v>70</v>
      </c>
      <c r="R269" s="11" t="str">
        <f aca="false">"Niv. "&amp;$P269&amp;IF($Q269&gt;0," · étage "&amp;$Q269&amp;" terminé","")</f>
        <v>Niv. 15 · étage 70 terminé</v>
      </c>
      <c r="S269" s="14" t="n">
        <f aca="false">IF(ISNUMBER($I269),$K269*IF($H269="Zone",Paramètres!$B$8,1)/MAX(1,$I269),0)</f>
        <v>0</v>
      </c>
      <c r="T269" s="16" t="n">
        <v>34</v>
      </c>
      <c r="U269" s="16" t="n">
        <v>7</v>
      </c>
    </row>
    <row r="270" customFormat="false" ht="15" hidden="false" customHeight="true" outlineLevel="0" collapsed="false">
      <c r="A270" s="9" t="s">
        <v>339</v>
      </c>
      <c r="B270" s="10" t="str">
        <f aca="false">INDEX(Bases!$B$5:$B$83,$T270)</f>
        <v>Mage</v>
      </c>
      <c r="C270" s="10" t="str">
        <f aca="false">INDEX(Bases!$E$5:$E$83,$T270)</f>
        <v>Soutien (arme 2)</v>
      </c>
      <c r="D270" s="10" t="str">
        <f aca="false">INDEX(Bases!$F$5:$F$83,$T270)</f>
        <v>Buff</v>
      </c>
      <c r="E270" s="11" t="str">
        <f aca="false">INDEX(Bases!$C$5:$C$83,$T270)</f>
        <v>Amplification</v>
      </c>
      <c r="F270" s="10" t="str">
        <f aca="false">INDEX(Éléments!$A$5:$A$14,$U270)</f>
        <v>Électricité</v>
      </c>
      <c r="G270" s="12" t="str">
        <f aca="false">IF(OR($F270="Neutre",$C270="Passif"),$E270,INDEX(Bases!$D$5:$D$83,$T270)&amp;" "&amp;INDEX(Éléments!$D$5:$D$14,$U270))</f>
        <v>Amplification de foudre</v>
      </c>
      <c r="H270" s="10" t="str">
        <f aca="false">INDEX(Bases!$G$5:$G$83,$T270)</f>
        <v>Soi</v>
      </c>
      <c r="I270" s="13" t="n">
        <f aca="false">INDEX(Bases!$H$5:$H$83,$T270)</f>
        <v>2</v>
      </c>
      <c r="J270" s="10" t="str">
        <f aca="false">INDEX(Bases!$I$5:$I$83,$T270)</f>
        <v>Non</v>
      </c>
      <c r="K270" s="14" t="n">
        <f aca="false">INDEX(Bases!$J$5:$J$83,$T270)</f>
        <v>0</v>
      </c>
      <c r="L270" s="10" t="str">
        <f aca="false">INDEX(Bases!$K$5:$K$83,$T270)</f>
        <v>Magie</v>
      </c>
      <c r="M270" s="11" t="str">
        <f aca="false">INDEX(Bases!$L$5:$L$83,$T270)</f>
        <v>+25 % de Magie pendant 2 tours.</v>
      </c>
      <c r="N270" s="11" t="str">
        <f aca="false">IF($C270="Passif","—",IF($C270="Attaque (arme 1)",INDEX(Éléments!$F$5:$F$14,$U270),INDEX(Éléments!$G$5:$G$14,$U270)))</f>
        <v>La prochaine attaque du lanceur inflige +15 % de dégâts.</v>
      </c>
      <c r="O270" s="10" t="str">
        <f aca="false">INDEX(Bases!$M$5:$M$83,$T270)</f>
        <v>Active</v>
      </c>
      <c r="P270" s="13" t="n">
        <f aca="false">INDEX(Bases!$N$5:$N$83,$T270)</f>
        <v>15</v>
      </c>
      <c r="Q270" s="15" t="n">
        <f aca="false">INDEX(Éléments!$C$5:$C$14,$U270)</f>
        <v>80</v>
      </c>
      <c r="R270" s="11" t="str">
        <f aca="false">"Niv. "&amp;$P270&amp;IF($Q270&gt;0," · étage "&amp;$Q270&amp;" terminé","")</f>
        <v>Niv. 15 · étage 80 terminé</v>
      </c>
      <c r="S270" s="14" t="n">
        <f aca="false">IF(ISNUMBER($I270),$K270*IF($H270="Zone",Paramètres!$B$8,1)/MAX(1,$I270),0)</f>
        <v>0</v>
      </c>
      <c r="T270" s="16" t="n">
        <v>34</v>
      </c>
      <c r="U270" s="16" t="n">
        <v>8</v>
      </c>
    </row>
    <row r="271" customFormat="false" ht="15" hidden="false" customHeight="true" outlineLevel="0" collapsed="false">
      <c r="A271" s="9" t="s">
        <v>340</v>
      </c>
      <c r="B271" s="10" t="str">
        <f aca="false">INDEX(Bases!$B$5:$B$83,$T271)</f>
        <v>Mage</v>
      </c>
      <c r="C271" s="10" t="str">
        <f aca="false">INDEX(Bases!$E$5:$E$83,$T271)</f>
        <v>Soutien (arme 2)</v>
      </c>
      <c r="D271" s="10" t="str">
        <f aca="false">INDEX(Bases!$F$5:$F$83,$T271)</f>
        <v>Buff</v>
      </c>
      <c r="E271" s="11" t="str">
        <f aca="false">INDEX(Bases!$C$5:$C$83,$T271)</f>
        <v>Amplification</v>
      </c>
      <c r="F271" s="10" t="str">
        <f aca="false">INDEX(Éléments!$A$5:$A$14,$U271)</f>
        <v>Lumière</v>
      </c>
      <c r="G271" s="12" t="str">
        <f aca="false">IF(OR($F271="Neutre",$C271="Passif"),$E271,INDEX(Bases!$D$5:$D$83,$T271)&amp;" "&amp;INDEX(Éléments!$D$5:$D$14,$U271))</f>
        <v>Amplification de lumière</v>
      </c>
      <c r="H271" s="10" t="str">
        <f aca="false">INDEX(Bases!$G$5:$G$83,$T271)</f>
        <v>Soi</v>
      </c>
      <c r="I271" s="13" t="n">
        <f aca="false">INDEX(Bases!$H$5:$H$83,$T271)</f>
        <v>2</v>
      </c>
      <c r="J271" s="10" t="str">
        <f aca="false">INDEX(Bases!$I$5:$I$83,$T271)</f>
        <v>Non</v>
      </c>
      <c r="K271" s="14" t="n">
        <f aca="false">INDEX(Bases!$J$5:$J$83,$T271)</f>
        <v>0</v>
      </c>
      <c r="L271" s="10" t="str">
        <f aca="false">INDEX(Bases!$K$5:$K$83,$T271)</f>
        <v>Magie</v>
      </c>
      <c r="M271" s="11" t="str">
        <f aca="false">INDEX(Bases!$L$5:$L$83,$T271)</f>
        <v>+25 % de Magie pendant 2 tours.</v>
      </c>
      <c r="N271" s="11" t="str">
        <f aca="false">IF($C271="Passif","—",IF($C271="Attaque (arme 1)",INDEX(Éléments!$F$5:$F$14,$U271),INDEX(Éléments!$G$5:$G$14,$U271)))</f>
        <v>+20 % sur les soins et boucliers de la compétence.</v>
      </c>
      <c r="O271" s="10" t="str">
        <f aca="false">INDEX(Bases!$M$5:$M$83,$T271)</f>
        <v>Active</v>
      </c>
      <c r="P271" s="13" t="n">
        <f aca="false">INDEX(Bases!$N$5:$N$83,$T271)</f>
        <v>15</v>
      </c>
      <c r="Q271" s="15" t="n">
        <f aca="false">INDEX(Éléments!$C$5:$C$14,$U271)</f>
        <v>90</v>
      </c>
      <c r="R271" s="11" t="str">
        <f aca="false">"Niv. "&amp;$P271&amp;IF($Q271&gt;0," · étage "&amp;$Q271&amp;" terminé","")</f>
        <v>Niv. 15 · étage 90 terminé</v>
      </c>
      <c r="S271" s="14" t="n">
        <f aca="false">IF(ISNUMBER($I271),$K271*IF($H271="Zone",Paramètres!$B$8,1)/MAX(1,$I271),0)</f>
        <v>0</v>
      </c>
      <c r="T271" s="16" t="n">
        <v>34</v>
      </c>
      <c r="U271" s="16" t="n">
        <v>9</v>
      </c>
    </row>
    <row r="272" customFormat="false" ht="15" hidden="false" customHeight="true" outlineLevel="0" collapsed="false">
      <c r="A272" s="9" t="s">
        <v>341</v>
      </c>
      <c r="B272" s="10" t="str">
        <f aca="false">INDEX(Bases!$B$5:$B$83,$T272)</f>
        <v>Mage</v>
      </c>
      <c r="C272" s="10" t="str">
        <f aca="false">INDEX(Bases!$E$5:$E$83,$T272)</f>
        <v>Soutien (arme 2)</v>
      </c>
      <c r="D272" s="10" t="str">
        <f aca="false">INDEX(Bases!$F$5:$F$83,$T272)</f>
        <v>Buff</v>
      </c>
      <c r="E272" s="11" t="str">
        <f aca="false">INDEX(Bases!$C$5:$C$83,$T272)</f>
        <v>Amplification</v>
      </c>
      <c r="F272" s="10" t="str">
        <f aca="false">INDEX(Éléments!$A$5:$A$14,$U272)</f>
        <v>Ombre</v>
      </c>
      <c r="G272" s="12" t="str">
        <f aca="false">IF(OR($F272="Neutre",$C272="Passif"),$E272,INDEX(Bases!$D$5:$D$83,$T272)&amp;" "&amp;INDEX(Éléments!$D$5:$D$14,$U272))</f>
        <v>Amplification d'ombre</v>
      </c>
      <c r="H272" s="10" t="str">
        <f aca="false">INDEX(Bases!$G$5:$G$83,$T272)</f>
        <v>Soi</v>
      </c>
      <c r="I272" s="13" t="n">
        <f aca="false">INDEX(Bases!$H$5:$H$83,$T272)</f>
        <v>2</v>
      </c>
      <c r="J272" s="10" t="str">
        <f aca="false">INDEX(Bases!$I$5:$I$83,$T272)</f>
        <v>Non</v>
      </c>
      <c r="K272" s="14" t="n">
        <f aca="false">INDEX(Bases!$J$5:$J$83,$T272)</f>
        <v>0</v>
      </c>
      <c r="L272" s="10" t="str">
        <f aca="false">INDEX(Bases!$K$5:$K$83,$T272)</f>
        <v>Magie</v>
      </c>
      <c r="M272" s="11" t="str">
        <f aca="false">INDEX(Bases!$L$5:$L$83,$T272)</f>
        <v>+25 % de Magie pendant 2 tours.</v>
      </c>
      <c r="N272" s="11" t="str">
        <f aca="false">IF($C272="Passif","—",IF($C272="Attaque (arme 1)",INDEX(Éléments!$F$5:$F$14,$U272),INDEX(Éléments!$G$5:$G$14,$U272)))</f>
        <v>Les ennemis qui frappent le lanceur subissent Corruption (25 %).</v>
      </c>
      <c r="O272" s="10" t="str">
        <f aca="false">INDEX(Bases!$M$5:$M$83,$T272)</f>
        <v>Active</v>
      </c>
      <c r="P272" s="13" t="n">
        <f aca="false">INDEX(Bases!$N$5:$N$83,$T272)</f>
        <v>15</v>
      </c>
      <c r="Q272" s="15" t="n">
        <f aca="false">INDEX(Éléments!$C$5:$C$14,$U272)</f>
        <v>100</v>
      </c>
      <c r="R272" s="11" t="str">
        <f aca="false">"Niv. "&amp;$P272&amp;IF($Q272&gt;0," · étage "&amp;$Q272&amp;" terminé","")</f>
        <v>Niv. 15 · étage 100 terminé</v>
      </c>
      <c r="S272" s="14" t="n">
        <f aca="false">IF(ISNUMBER($I272),$K272*IF($H272="Zone",Paramètres!$B$8,1)/MAX(1,$I272),0)</f>
        <v>0</v>
      </c>
      <c r="T272" s="16" t="n">
        <v>34</v>
      </c>
      <c r="U272" s="16" t="n">
        <v>10</v>
      </c>
    </row>
    <row r="273" customFormat="false" ht="15" hidden="false" customHeight="true" outlineLevel="0" collapsed="false">
      <c r="A273" s="9" t="s">
        <v>342</v>
      </c>
      <c r="B273" s="10" t="str">
        <f aca="false">INDEX(Bases!$B$5:$B$83,$T273)</f>
        <v>Mage</v>
      </c>
      <c r="C273" s="10" t="str">
        <f aca="false">INDEX(Bases!$E$5:$E$83,$T273)</f>
        <v>Soutien (arme 2)</v>
      </c>
      <c r="D273" s="10" t="str">
        <f aca="false">INDEX(Bases!$F$5:$F$83,$T273)</f>
        <v>Debuff</v>
      </c>
      <c r="E273" s="11" t="str">
        <f aca="false">INDEX(Bases!$C$5:$C$83,$T273)</f>
        <v>Malédiction</v>
      </c>
      <c r="F273" s="10" t="str">
        <f aca="false">INDEX(Éléments!$A$5:$A$14,$U273)</f>
        <v>Neutre</v>
      </c>
      <c r="G273" s="12" t="str">
        <f aca="false">IF(OR($F273="Neutre",$C273="Passif"),$E273,INDEX(Bases!$D$5:$D$83,$T273)&amp;" "&amp;INDEX(Éléments!$D$5:$D$14,$U273))</f>
        <v>Malédiction</v>
      </c>
      <c r="H273" s="10" t="str">
        <f aca="false">INDEX(Bases!$G$5:$G$83,$T273)</f>
        <v>Mono</v>
      </c>
      <c r="I273" s="13" t="n">
        <f aca="false">INDEX(Bases!$H$5:$H$83,$T273)</f>
        <v>2</v>
      </c>
      <c r="J273" s="10" t="str">
        <f aca="false">INDEX(Bases!$I$5:$I$83,$T273)</f>
        <v>Non</v>
      </c>
      <c r="K273" s="14" t="n">
        <f aca="false">INDEX(Bases!$J$5:$J$83,$T273)</f>
        <v>0</v>
      </c>
      <c r="L273" s="10" t="str">
        <f aca="false">INDEX(Bases!$K$5:$K$83,$T273)</f>
        <v>Magie</v>
      </c>
      <c r="M273" s="11" t="str">
        <f aca="false">INDEX(Bases!$L$5:$L$83,$T273)</f>
        <v>La cible inflige −15 % de dégâts pendant 2 tours.</v>
      </c>
      <c r="N273" s="11" t="str">
        <f aca="false">IF($C273="Passif","—",IF($C273="Attaque (arme 1)",INDEX(Éléments!$F$5:$F$14,$U273),INDEX(Éléments!$G$5:$G$14,$U273)))</f>
        <v>Aucun bonus élémentaire : effet de base seul.</v>
      </c>
      <c r="O273" s="10" t="str">
        <f aca="false">INDEX(Bases!$M$5:$M$83,$T273)</f>
        <v>Active</v>
      </c>
      <c r="P273" s="13" t="n">
        <f aca="false">INDEX(Bases!$N$5:$N$83,$T273)</f>
        <v>20</v>
      </c>
      <c r="Q273" s="15" t="n">
        <f aca="false">INDEX(Éléments!$C$5:$C$14,$U273)</f>
        <v>0</v>
      </c>
      <c r="R273" s="11" t="str">
        <f aca="false">"Niv. "&amp;$P273&amp;IF($Q273&gt;0," · étage "&amp;$Q273&amp;" terminé","")</f>
        <v>Niv. 20</v>
      </c>
      <c r="S273" s="14" t="n">
        <f aca="false">IF(ISNUMBER($I273),$K273*IF($H273="Zone",Paramètres!$B$8,1)/MAX(1,$I273),0)</f>
        <v>0</v>
      </c>
      <c r="T273" s="16" t="n">
        <v>35</v>
      </c>
      <c r="U273" s="16" t="n">
        <v>1</v>
      </c>
    </row>
    <row r="274" customFormat="false" ht="15" hidden="false" customHeight="true" outlineLevel="0" collapsed="false">
      <c r="A274" s="9" t="s">
        <v>343</v>
      </c>
      <c r="B274" s="10" t="str">
        <f aca="false">INDEX(Bases!$B$5:$B$83,$T274)</f>
        <v>Mage</v>
      </c>
      <c r="C274" s="10" t="str">
        <f aca="false">INDEX(Bases!$E$5:$E$83,$T274)</f>
        <v>Soutien (arme 2)</v>
      </c>
      <c r="D274" s="10" t="str">
        <f aca="false">INDEX(Bases!$F$5:$F$83,$T274)</f>
        <v>Debuff</v>
      </c>
      <c r="E274" s="11" t="str">
        <f aca="false">INDEX(Bases!$C$5:$C$83,$T274)</f>
        <v>Malédiction</v>
      </c>
      <c r="F274" s="10" t="str">
        <f aca="false">INDEX(Éléments!$A$5:$A$14,$U274)</f>
        <v>Terre</v>
      </c>
      <c r="G274" s="12" t="str">
        <f aca="false">IF(OR($F274="Neutre",$C274="Passif"),$E274,INDEX(Bases!$D$5:$D$83,$T274)&amp;" "&amp;INDEX(Éléments!$D$5:$D$14,$U274))</f>
        <v>Malédiction de pierre</v>
      </c>
      <c r="H274" s="10" t="str">
        <f aca="false">INDEX(Bases!$G$5:$G$83,$T274)</f>
        <v>Mono</v>
      </c>
      <c r="I274" s="13" t="n">
        <f aca="false">INDEX(Bases!$H$5:$H$83,$T274)</f>
        <v>2</v>
      </c>
      <c r="J274" s="10" t="str">
        <f aca="false">INDEX(Bases!$I$5:$I$83,$T274)</f>
        <v>Non</v>
      </c>
      <c r="K274" s="14" t="n">
        <f aca="false">INDEX(Bases!$J$5:$J$83,$T274)</f>
        <v>0</v>
      </c>
      <c r="L274" s="10" t="str">
        <f aca="false">INDEX(Bases!$K$5:$K$83,$T274)</f>
        <v>Magie</v>
      </c>
      <c r="M274" s="11" t="str">
        <f aca="false">INDEX(Bases!$L$5:$L$83,$T274)</f>
        <v>La cible inflige −15 % de dégâts pendant 2 tours.</v>
      </c>
      <c r="N274" s="11" t="str">
        <f aca="false">IF($C274="Passif","—",IF($C274="Attaque (arme 1)",INDEX(Éléments!$F$5:$F$14,$U274),INDEX(Éléments!$G$5:$G$14,$U274)))</f>
        <v>+15 % d'Armure pendant la durée de l'effet.</v>
      </c>
      <c r="O274" s="10" t="str">
        <f aca="false">INDEX(Bases!$M$5:$M$83,$T274)</f>
        <v>Active</v>
      </c>
      <c r="P274" s="13" t="n">
        <f aca="false">INDEX(Bases!$N$5:$N$83,$T274)</f>
        <v>20</v>
      </c>
      <c r="Q274" s="15" t="n">
        <f aca="false">INDEX(Éléments!$C$5:$C$14,$U274)</f>
        <v>20</v>
      </c>
      <c r="R274" s="11" t="str">
        <f aca="false">"Niv. "&amp;$P274&amp;IF($Q274&gt;0," · étage "&amp;$Q274&amp;" terminé","")</f>
        <v>Niv. 20 · étage 20 terminé</v>
      </c>
      <c r="S274" s="14" t="n">
        <f aca="false">IF(ISNUMBER($I274),$K274*IF($H274="Zone",Paramètres!$B$8,1)/MAX(1,$I274),0)</f>
        <v>0</v>
      </c>
      <c r="T274" s="16" t="n">
        <v>35</v>
      </c>
      <c r="U274" s="16" t="n">
        <v>2</v>
      </c>
    </row>
    <row r="275" customFormat="false" ht="15" hidden="false" customHeight="true" outlineLevel="0" collapsed="false">
      <c r="A275" s="9" t="s">
        <v>344</v>
      </c>
      <c r="B275" s="10" t="str">
        <f aca="false">INDEX(Bases!$B$5:$B$83,$T275)</f>
        <v>Mage</v>
      </c>
      <c r="C275" s="10" t="str">
        <f aca="false">INDEX(Bases!$E$5:$E$83,$T275)</f>
        <v>Soutien (arme 2)</v>
      </c>
      <c r="D275" s="10" t="str">
        <f aca="false">INDEX(Bases!$F$5:$F$83,$T275)</f>
        <v>Debuff</v>
      </c>
      <c r="E275" s="11" t="str">
        <f aca="false">INDEX(Bases!$C$5:$C$83,$T275)</f>
        <v>Malédiction</v>
      </c>
      <c r="F275" s="10" t="str">
        <f aca="false">INDEX(Éléments!$A$5:$A$14,$U275)</f>
        <v>Feu</v>
      </c>
      <c r="G275" s="12" t="str">
        <f aca="false">IF(OR($F275="Neutre",$C275="Passif"),$E275,INDEX(Bases!$D$5:$D$83,$T275)&amp;" "&amp;INDEX(Éléments!$D$5:$D$14,$U275))</f>
        <v>Malédiction de feu</v>
      </c>
      <c r="H275" s="10" t="str">
        <f aca="false">INDEX(Bases!$G$5:$G$83,$T275)</f>
        <v>Mono</v>
      </c>
      <c r="I275" s="13" t="n">
        <f aca="false">INDEX(Bases!$H$5:$H$83,$T275)</f>
        <v>2</v>
      </c>
      <c r="J275" s="10" t="str">
        <f aca="false">INDEX(Bases!$I$5:$I$83,$T275)</f>
        <v>Non</v>
      </c>
      <c r="K275" s="14" t="n">
        <f aca="false">INDEX(Bases!$J$5:$J$83,$T275)</f>
        <v>0</v>
      </c>
      <c r="L275" s="10" t="str">
        <f aca="false">INDEX(Bases!$K$5:$K$83,$T275)</f>
        <v>Magie</v>
      </c>
      <c r="M275" s="11" t="str">
        <f aca="false">INDEX(Bases!$L$5:$L$83,$T275)</f>
        <v>La cible inflige −15 % de dégâts pendant 2 tours.</v>
      </c>
      <c r="N275" s="11" t="str">
        <f aca="false">IF($C275="Passif","—",IF($C275="Attaque (arme 1)",INDEX(Éléments!$F$5:$F$14,$U275),INDEX(Éléments!$G$5:$G$14,$U275)))</f>
        <v>Les ennemis qui frappent le lanceur ont 40 % de subir Brûlure (pendant la durée).</v>
      </c>
      <c r="O275" s="10" t="str">
        <f aca="false">INDEX(Bases!$M$5:$M$83,$T275)</f>
        <v>Active</v>
      </c>
      <c r="P275" s="13" t="n">
        <f aca="false">INDEX(Bases!$N$5:$N$83,$T275)</f>
        <v>20</v>
      </c>
      <c r="Q275" s="15" t="n">
        <f aca="false">INDEX(Éléments!$C$5:$C$14,$U275)</f>
        <v>30</v>
      </c>
      <c r="R275" s="11" t="str">
        <f aca="false">"Niv. "&amp;$P275&amp;IF($Q275&gt;0," · étage "&amp;$Q275&amp;" terminé","")</f>
        <v>Niv. 20 · étage 30 terminé</v>
      </c>
      <c r="S275" s="14" t="n">
        <f aca="false">IF(ISNUMBER($I275),$K275*IF($H275="Zone",Paramètres!$B$8,1)/MAX(1,$I275),0)</f>
        <v>0</v>
      </c>
      <c r="T275" s="16" t="n">
        <v>35</v>
      </c>
      <c r="U275" s="16" t="n">
        <v>3</v>
      </c>
    </row>
    <row r="276" customFormat="false" ht="15" hidden="false" customHeight="true" outlineLevel="0" collapsed="false">
      <c r="A276" s="9" t="s">
        <v>345</v>
      </c>
      <c r="B276" s="10" t="str">
        <f aca="false">INDEX(Bases!$B$5:$B$83,$T276)</f>
        <v>Mage</v>
      </c>
      <c r="C276" s="10" t="str">
        <f aca="false">INDEX(Bases!$E$5:$E$83,$T276)</f>
        <v>Soutien (arme 2)</v>
      </c>
      <c r="D276" s="10" t="str">
        <f aca="false">INDEX(Bases!$F$5:$F$83,$T276)</f>
        <v>Debuff</v>
      </c>
      <c r="E276" s="11" t="str">
        <f aca="false">INDEX(Bases!$C$5:$C$83,$T276)</f>
        <v>Malédiction</v>
      </c>
      <c r="F276" s="10" t="str">
        <f aca="false">INDEX(Éléments!$A$5:$A$14,$U276)</f>
        <v>Vent</v>
      </c>
      <c r="G276" s="12" t="str">
        <f aca="false">IF(OR($F276="Neutre",$C276="Passif"),$E276,INDEX(Bases!$D$5:$D$83,$T276)&amp;" "&amp;INDEX(Éléments!$D$5:$D$14,$U276))</f>
        <v>Malédiction de vent</v>
      </c>
      <c r="H276" s="10" t="str">
        <f aca="false">INDEX(Bases!$G$5:$G$83,$T276)</f>
        <v>Mono</v>
      </c>
      <c r="I276" s="13" t="n">
        <f aca="false">INDEX(Bases!$H$5:$H$83,$T276)</f>
        <v>2</v>
      </c>
      <c r="J276" s="10" t="str">
        <f aca="false">INDEX(Bases!$I$5:$I$83,$T276)</f>
        <v>Non</v>
      </c>
      <c r="K276" s="14" t="n">
        <f aca="false">INDEX(Bases!$J$5:$J$83,$T276)</f>
        <v>0</v>
      </c>
      <c r="L276" s="10" t="str">
        <f aca="false">INDEX(Bases!$K$5:$K$83,$T276)</f>
        <v>Magie</v>
      </c>
      <c r="M276" s="11" t="str">
        <f aca="false">INDEX(Bases!$L$5:$L$83,$T276)</f>
        <v>La cible inflige −15 % de dégâts pendant 2 tours.</v>
      </c>
      <c r="N276" s="11" t="str">
        <f aca="false">IF($C276="Passif","—",IF($C276="Attaque (arme 1)",INDEX(Éléments!$F$5:$F$14,$U276),INDEX(Éléments!$G$5:$G$14,$U276)))</f>
        <v>+10 % d'Agilité (esquive) pendant la durée de l'effet.</v>
      </c>
      <c r="O276" s="10" t="str">
        <f aca="false">INDEX(Bases!$M$5:$M$83,$T276)</f>
        <v>Active</v>
      </c>
      <c r="P276" s="13" t="n">
        <f aca="false">INDEX(Bases!$N$5:$N$83,$T276)</f>
        <v>20</v>
      </c>
      <c r="Q276" s="15" t="n">
        <f aca="false">INDEX(Éléments!$C$5:$C$14,$U276)</f>
        <v>40</v>
      </c>
      <c r="R276" s="11" t="str">
        <f aca="false">"Niv. "&amp;$P276&amp;IF($Q276&gt;0," · étage "&amp;$Q276&amp;" terminé","")</f>
        <v>Niv. 20 · étage 40 terminé</v>
      </c>
      <c r="S276" s="14" t="n">
        <f aca="false">IF(ISNUMBER($I276),$K276*IF($H276="Zone",Paramètres!$B$8,1)/MAX(1,$I276),0)</f>
        <v>0</v>
      </c>
      <c r="T276" s="16" t="n">
        <v>35</v>
      </c>
      <c r="U276" s="16" t="n">
        <v>4</v>
      </c>
    </row>
    <row r="277" customFormat="false" ht="15" hidden="false" customHeight="true" outlineLevel="0" collapsed="false">
      <c r="A277" s="9" t="s">
        <v>346</v>
      </c>
      <c r="B277" s="10" t="str">
        <f aca="false">INDEX(Bases!$B$5:$B$83,$T277)</f>
        <v>Mage</v>
      </c>
      <c r="C277" s="10" t="str">
        <f aca="false">INDEX(Bases!$E$5:$E$83,$T277)</f>
        <v>Soutien (arme 2)</v>
      </c>
      <c r="D277" s="10" t="str">
        <f aca="false">INDEX(Bases!$F$5:$F$83,$T277)</f>
        <v>Debuff</v>
      </c>
      <c r="E277" s="11" t="str">
        <f aca="false">INDEX(Bases!$C$5:$C$83,$T277)</f>
        <v>Malédiction</v>
      </c>
      <c r="F277" s="10" t="str">
        <f aca="false">INDEX(Éléments!$A$5:$A$14,$U277)</f>
        <v>Acide</v>
      </c>
      <c r="G277" s="12" t="str">
        <f aca="false">IF(OR($F277="Neutre",$C277="Passif"),$E277,INDEX(Bases!$D$5:$D$83,$T277)&amp;" "&amp;INDEX(Éléments!$D$5:$D$14,$U277))</f>
        <v>Malédiction d'acide</v>
      </c>
      <c r="H277" s="10" t="str">
        <f aca="false">INDEX(Bases!$G$5:$G$83,$T277)</f>
        <v>Mono</v>
      </c>
      <c r="I277" s="13" t="n">
        <f aca="false">INDEX(Bases!$H$5:$H$83,$T277)</f>
        <v>2</v>
      </c>
      <c r="J277" s="10" t="str">
        <f aca="false">INDEX(Bases!$I$5:$I$83,$T277)</f>
        <v>Non</v>
      </c>
      <c r="K277" s="14" t="n">
        <f aca="false">INDEX(Bases!$J$5:$J$83,$T277)</f>
        <v>0</v>
      </c>
      <c r="L277" s="10" t="str">
        <f aca="false">INDEX(Bases!$K$5:$K$83,$T277)</f>
        <v>Magie</v>
      </c>
      <c r="M277" s="11" t="str">
        <f aca="false">INDEX(Bases!$L$5:$L$83,$T277)</f>
        <v>La cible inflige −15 % de dégâts pendant 2 tours.</v>
      </c>
      <c r="N277" s="11" t="str">
        <f aca="false">IF($C277="Passif","—",IF($C277="Attaque (arme 1)",INDEX(Éléments!$F$5:$F$14,$U277),INDEX(Éléments!$G$5:$G$14,$U277)))</f>
        <v>Les ennemis qui frappent le lanceur prennent 1 pile de Corrosion (40 %).</v>
      </c>
      <c r="O277" s="10" t="str">
        <f aca="false">INDEX(Bases!$M$5:$M$83,$T277)</f>
        <v>Active</v>
      </c>
      <c r="P277" s="13" t="n">
        <f aca="false">INDEX(Bases!$N$5:$N$83,$T277)</f>
        <v>20</v>
      </c>
      <c r="Q277" s="15" t="n">
        <f aca="false">INDEX(Éléments!$C$5:$C$14,$U277)</f>
        <v>50</v>
      </c>
      <c r="R277" s="11" t="str">
        <f aca="false">"Niv. "&amp;$P277&amp;IF($Q277&gt;0," · étage "&amp;$Q277&amp;" terminé","")</f>
        <v>Niv. 20 · étage 50 terminé</v>
      </c>
      <c r="S277" s="14" t="n">
        <f aca="false">IF(ISNUMBER($I277),$K277*IF($H277="Zone",Paramètres!$B$8,1)/MAX(1,$I277),0)</f>
        <v>0</v>
      </c>
      <c r="T277" s="16" t="n">
        <v>35</v>
      </c>
      <c r="U277" s="16" t="n">
        <v>5</v>
      </c>
    </row>
    <row r="278" customFormat="false" ht="15" hidden="false" customHeight="true" outlineLevel="0" collapsed="false">
      <c r="A278" s="9" t="s">
        <v>347</v>
      </c>
      <c r="B278" s="10" t="str">
        <f aca="false">INDEX(Bases!$B$5:$B$83,$T278)</f>
        <v>Mage</v>
      </c>
      <c r="C278" s="10" t="str">
        <f aca="false">INDEX(Bases!$E$5:$E$83,$T278)</f>
        <v>Soutien (arme 2)</v>
      </c>
      <c r="D278" s="10" t="str">
        <f aca="false">INDEX(Bases!$F$5:$F$83,$T278)</f>
        <v>Debuff</v>
      </c>
      <c r="E278" s="11" t="str">
        <f aca="false">INDEX(Bases!$C$5:$C$83,$T278)</f>
        <v>Malédiction</v>
      </c>
      <c r="F278" s="10" t="str">
        <f aca="false">INDEX(Éléments!$A$5:$A$14,$U278)</f>
        <v>Eau</v>
      </c>
      <c r="G278" s="12" t="str">
        <f aca="false">IF(OR($F278="Neutre",$C278="Passif"),$E278,INDEX(Bases!$D$5:$D$83,$T278)&amp;" "&amp;INDEX(Éléments!$D$5:$D$14,$U278))</f>
        <v>Malédiction d'eau</v>
      </c>
      <c r="H278" s="10" t="str">
        <f aca="false">INDEX(Bases!$G$5:$G$83,$T278)</f>
        <v>Mono</v>
      </c>
      <c r="I278" s="13" t="n">
        <f aca="false">INDEX(Bases!$H$5:$H$83,$T278)</f>
        <v>2</v>
      </c>
      <c r="J278" s="10" t="str">
        <f aca="false">INDEX(Bases!$I$5:$I$83,$T278)</f>
        <v>Non</v>
      </c>
      <c r="K278" s="14" t="n">
        <f aca="false">INDEX(Bases!$J$5:$J$83,$T278)</f>
        <v>0</v>
      </c>
      <c r="L278" s="10" t="str">
        <f aca="false">INDEX(Bases!$K$5:$K$83,$T278)</f>
        <v>Magie</v>
      </c>
      <c r="M278" s="11" t="str">
        <f aca="false">INDEX(Bases!$L$5:$L$83,$T278)</f>
        <v>La cible inflige −15 % de dégâts pendant 2 tours.</v>
      </c>
      <c r="N278" s="11" t="str">
        <f aca="false">IF($C278="Passif","—",IF($C278="Attaque (arme 1)",INDEX(Éléments!$F$5:$F$14,$U278),INDEX(Éléments!$G$5:$G$14,$U278)))</f>
        <v>Soin supplémentaire de 4 % des PV max ; retire Brûlure du lanceur.</v>
      </c>
      <c r="O278" s="10" t="str">
        <f aca="false">INDEX(Bases!$M$5:$M$83,$T278)</f>
        <v>Active</v>
      </c>
      <c r="P278" s="13" t="n">
        <f aca="false">INDEX(Bases!$N$5:$N$83,$T278)</f>
        <v>20</v>
      </c>
      <c r="Q278" s="15" t="n">
        <f aca="false">INDEX(Éléments!$C$5:$C$14,$U278)</f>
        <v>60</v>
      </c>
      <c r="R278" s="11" t="str">
        <f aca="false">"Niv. "&amp;$P278&amp;IF($Q278&gt;0," · étage "&amp;$Q278&amp;" terminé","")</f>
        <v>Niv. 20 · étage 60 terminé</v>
      </c>
      <c r="S278" s="14" t="n">
        <f aca="false">IF(ISNUMBER($I278),$K278*IF($H278="Zone",Paramètres!$B$8,1)/MAX(1,$I278),0)</f>
        <v>0</v>
      </c>
      <c r="T278" s="16" t="n">
        <v>35</v>
      </c>
      <c r="U278" s="16" t="n">
        <v>6</v>
      </c>
    </row>
    <row r="279" customFormat="false" ht="15" hidden="false" customHeight="true" outlineLevel="0" collapsed="false">
      <c r="A279" s="9" t="s">
        <v>348</v>
      </c>
      <c r="B279" s="10" t="str">
        <f aca="false">INDEX(Bases!$B$5:$B$83,$T279)</f>
        <v>Mage</v>
      </c>
      <c r="C279" s="10" t="str">
        <f aca="false">INDEX(Bases!$E$5:$E$83,$T279)</f>
        <v>Soutien (arme 2)</v>
      </c>
      <c r="D279" s="10" t="str">
        <f aca="false">INDEX(Bases!$F$5:$F$83,$T279)</f>
        <v>Debuff</v>
      </c>
      <c r="E279" s="11" t="str">
        <f aca="false">INDEX(Bases!$C$5:$C$83,$T279)</f>
        <v>Malédiction</v>
      </c>
      <c r="F279" s="10" t="str">
        <f aca="false">INDEX(Éléments!$A$5:$A$14,$U279)</f>
        <v>Glace</v>
      </c>
      <c r="G279" s="12" t="str">
        <f aca="false">IF(OR($F279="Neutre",$C279="Passif"),$E279,INDEX(Bases!$D$5:$D$83,$T279)&amp;" "&amp;INDEX(Éléments!$D$5:$D$14,$U279))</f>
        <v>Malédiction de glace</v>
      </c>
      <c r="H279" s="10" t="str">
        <f aca="false">INDEX(Bases!$G$5:$G$83,$T279)</f>
        <v>Mono</v>
      </c>
      <c r="I279" s="13" t="n">
        <f aca="false">INDEX(Bases!$H$5:$H$83,$T279)</f>
        <v>2</v>
      </c>
      <c r="J279" s="10" t="str">
        <f aca="false">INDEX(Bases!$I$5:$I$83,$T279)</f>
        <v>Non</v>
      </c>
      <c r="K279" s="14" t="n">
        <f aca="false">INDEX(Bases!$J$5:$J$83,$T279)</f>
        <v>0</v>
      </c>
      <c r="L279" s="10" t="str">
        <f aca="false">INDEX(Bases!$K$5:$K$83,$T279)</f>
        <v>Magie</v>
      </c>
      <c r="M279" s="11" t="str">
        <f aca="false">INDEX(Bases!$L$5:$L$83,$T279)</f>
        <v>La cible inflige −15 % de dégâts pendant 2 tours.</v>
      </c>
      <c r="N279" s="11" t="str">
        <f aca="false">IF($C279="Passif","—",IF($C279="Attaque (arme 1)",INDEX(Éléments!$F$5:$F$14,$U279),INDEX(Éléments!$G$5:$G$14,$U279)))</f>
        <v>Les ennemis qui frappent le lanceur prennent 1 pile de Froid (40 %).</v>
      </c>
      <c r="O279" s="10" t="str">
        <f aca="false">INDEX(Bases!$M$5:$M$83,$T279)</f>
        <v>Active</v>
      </c>
      <c r="P279" s="13" t="n">
        <f aca="false">INDEX(Bases!$N$5:$N$83,$T279)</f>
        <v>20</v>
      </c>
      <c r="Q279" s="15" t="n">
        <f aca="false">INDEX(Éléments!$C$5:$C$14,$U279)</f>
        <v>70</v>
      </c>
      <c r="R279" s="11" t="str">
        <f aca="false">"Niv. "&amp;$P279&amp;IF($Q279&gt;0," · étage "&amp;$Q279&amp;" terminé","")</f>
        <v>Niv. 20 · étage 70 terminé</v>
      </c>
      <c r="S279" s="14" t="n">
        <f aca="false">IF(ISNUMBER($I279),$K279*IF($H279="Zone",Paramètres!$B$8,1)/MAX(1,$I279),0)</f>
        <v>0</v>
      </c>
      <c r="T279" s="16" t="n">
        <v>35</v>
      </c>
      <c r="U279" s="16" t="n">
        <v>7</v>
      </c>
    </row>
    <row r="280" customFormat="false" ht="15" hidden="false" customHeight="true" outlineLevel="0" collapsed="false">
      <c r="A280" s="9" t="s">
        <v>349</v>
      </c>
      <c r="B280" s="10" t="str">
        <f aca="false">INDEX(Bases!$B$5:$B$83,$T280)</f>
        <v>Mage</v>
      </c>
      <c r="C280" s="10" t="str">
        <f aca="false">INDEX(Bases!$E$5:$E$83,$T280)</f>
        <v>Soutien (arme 2)</v>
      </c>
      <c r="D280" s="10" t="str">
        <f aca="false">INDEX(Bases!$F$5:$F$83,$T280)</f>
        <v>Debuff</v>
      </c>
      <c r="E280" s="11" t="str">
        <f aca="false">INDEX(Bases!$C$5:$C$83,$T280)</f>
        <v>Malédiction</v>
      </c>
      <c r="F280" s="10" t="str">
        <f aca="false">INDEX(Éléments!$A$5:$A$14,$U280)</f>
        <v>Électricité</v>
      </c>
      <c r="G280" s="12" t="str">
        <f aca="false">IF(OR($F280="Neutre",$C280="Passif"),$E280,INDEX(Bases!$D$5:$D$83,$T280)&amp;" "&amp;INDEX(Éléments!$D$5:$D$14,$U280))</f>
        <v>Malédiction de foudre</v>
      </c>
      <c r="H280" s="10" t="str">
        <f aca="false">INDEX(Bases!$G$5:$G$83,$T280)</f>
        <v>Mono</v>
      </c>
      <c r="I280" s="13" t="n">
        <f aca="false">INDEX(Bases!$H$5:$H$83,$T280)</f>
        <v>2</v>
      </c>
      <c r="J280" s="10" t="str">
        <f aca="false">INDEX(Bases!$I$5:$I$83,$T280)</f>
        <v>Non</v>
      </c>
      <c r="K280" s="14" t="n">
        <f aca="false">INDEX(Bases!$J$5:$J$83,$T280)</f>
        <v>0</v>
      </c>
      <c r="L280" s="10" t="str">
        <f aca="false">INDEX(Bases!$K$5:$K$83,$T280)</f>
        <v>Magie</v>
      </c>
      <c r="M280" s="11" t="str">
        <f aca="false">INDEX(Bases!$L$5:$L$83,$T280)</f>
        <v>La cible inflige −15 % de dégâts pendant 2 tours.</v>
      </c>
      <c r="N280" s="11" t="str">
        <f aca="false">IF($C280="Passif","—",IF($C280="Attaque (arme 1)",INDEX(Éléments!$F$5:$F$14,$U280),INDEX(Éléments!$G$5:$G$14,$U280)))</f>
        <v>La prochaine attaque du lanceur inflige +15 % de dégâts.</v>
      </c>
      <c r="O280" s="10" t="str">
        <f aca="false">INDEX(Bases!$M$5:$M$83,$T280)</f>
        <v>Active</v>
      </c>
      <c r="P280" s="13" t="n">
        <f aca="false">INDEX(Bases!$N$5:$N$83,$T280)</f>
        <v>20</v>
      </c>
      <c r="Q280" s="15" t="n">
        <f aca="false">INDEX(Éléments!$C$5:$C$14,$U280)</f>
        <v>80</v>
      </c>
      <c r="R280" s="11" t="str">
        <f aca="false">"Niv. "&amp;$P280&amp;IF($Q280&gt;0," · étage "&amp;$Q280&amp;" terminé","")</f>
        <v>Niv. 20 · étage 80 terminé</v>
      </c>
      <c r="S280" s="14" t="n">
        <f aca="false">IF(ISNUMBER($I280),$K280*IF($H280="Zone",Paramètres!$B$8,1)/MAX(1,$I280),0)</f>
        <v>0</v>
      </c>
      <c r="T280" s="16" t="n">
        <v>35</v>
      </c>
      <c r="U280" s="16" t="n">
        <v>8</v>
      </c>
    </row>
    <row r="281" customFormat="false" ht="15" hidden="false" customHeight="true" outlineLevel="0" collapsed="false">
      <c r="A281" s="9" t="s">
        <v>350</v>
      </c>
      <c r="B281" s="10" t="str">
        <f aca="false">INDEX(Bases!$B$5:$B$83,$T281)</f>
        <v>Mage</v>
      </c>
      <c r="C281" s="10" t="str">
        <f aca="false">INDEX(Bases!$E$5:$E$83,$T281)</f>
        <v>Soutien (arme 2)</v>
      </c>
      <c r="D281" s="10" t="str">
        <f aca="false">INDEX(Bases!$F$5:$F$83,$T281)</f>
        <v>Debuff</v>
      </c>
      <c r="E281" s="11" t="str">
        <f aca="false">INDEX(Bases!$C$5:$C$83,$T281)</f>
        <v>Malédiction</v>
      </c>
      <c r="F281" s="10" t="str">
        <f aca="false">INDEX(Éléments!$A$5:$A$14,$U281)</f>
        <v>Lumière</v>
      </c>
      <c r="G281" s="12" t="str">
        <f aca="false">IF(OR($F281="Neutre",$C281="Passif"),$E281,INDEX(Bases!$D$5:$D$83,$T281)&amp;" "&amp;INDEX(Éléments!$D$5:$D$14,$U281))</f>
        <v>Malédiction de lumière</v>
      </c>
      <c r="H281" s="10" t="str">
        <f aca="false">INDEX(Bases!$G$5:$G$83,$T281)</f>
        <v>Mono</v>
      </c>
      <c r="I281" s="13" t="n">
        <f aca="false">INDEX(Bases!$H$5:$H$83,$T281)</f>
        <v>2</v>
      </c>
      <c r="J281" s="10" t="str">
        <f aca="false">INDEX(Bases!$I$5:$I$83,$T281)</f>
        <v>Non</v>
      </c>
      <c r="K281" s="14" t="n">
        <f aca="false">INDEX(Bases!$J$5:$J$83,$T281)</f>
        <v>0</v>
      </c>
      <c r="L281" s="10" t="str">
        <f aca="false">INDEX(Bases!$K$5:$K$83,$T281)</f>
        <v>Magie</v>
      </c>
      <c r="M281" s="11" t="str">
        <f aca="false">INDEX(Bases!$L$5:$L$83,$T281)</f>
        <v>La cible inflige −15 % de dégâts pendant 2 tours.</v>
      </c>
      <c r="N281" s="11" t="str">
        <f aca="false">IF($C281="Passif","—",IF($C281="Attaque (arme 1)",INDEX(Éléments!$F$5:$F$14,$U281),INDEX(Éléments!$G$5:$G$14,$U281)))</f>
        <v>+20 % sur les soins et boucliers de la compétence.</v>
      </c>
      <c r="O281" s="10" t="str">
        <f aca="false">INDEX(Bases!$M$5:$M$83,$T281)</f>
        <v>Active</v>
      </c>
      <c r="P281" s="13" t="n">
        <f aca="false">INDEX(Bases!$N$5:$N$83,$T281)</f>
        <v>20</v>
      </c>
      <c r="Q281" s="15" t="n">
        <f aca="false">INDEX(Éléments!$C$5:$C$14,$U281)</f>
        <v>90</v>
      </c>
      <c r="R281" s="11" t="str">
        <f aca="false">"Niv. "&amp;$P281&amp;IF($Q281&gt;0," · étage "&amp;$Q281&amp;" terminé","")</f>
        <v>Niv. 20 · étage 90 terminé</v>
      </c>
      <c r="S281" s="14" t="n">
        <f aca="false">IF(ISNUMBER($I281),$K281*IF($H281="Zone",Paramètres!$B$8,1)/MAX(1,$I281),0)</f>
        <v>0</v>
      </c>
      <c r="T281" s="16" t="n">
        <v>35</v>
      </c>
      <c r="U281" s="16" t="n">
        <v>9</v>
      </c>
    </row>
    <row r="282" customFormat="false" ht="15" hidden="false" customHeight="true" outlineLevel="0" collapsed="false">
      <c r="A282" s="9" t="s">
        <v>351</v>
      </c>
      <c r="B282" s="10" t="str">
        <f aca="false">INDEX(Bases!$B$5:$B$83,$T282)</f>
        <v>Mage</v>
      </c>
      <c r="C282" s="10" t="str">
        <f aca="false">INDEX(Bases!$E$5:$E$83,$T282)</f>
        <v>Soutien (arme 2)</v>
      </c>
      <c r="D282" s="10" t="str">
        <f aca="false">INDEX(Bases!$F$5:$F$83,$T282)</f>
        <v>Debuff</v>
      </c>
      <c r="E282" s="11" t="str">
        <f aca="false">INDEX(Bases!$C$5:$C$83,$T282)</f>
        <v>Malédiction</v>
      </c>
      <c r="F282" s="10" t="str">
        <f aca="false">INDEX(Éléments!$A$5:$A$14,$U282)</f>
        <v>Ombre</v>
      </c>
      <c r="G282" s="12" t="str">
        <f aca="false">IF(OR($F282="Neutre",$C282="Passif"),$E282,INDEX(Bases!$D$5:$D$83,$T282)&amp;" "&amp;INDEX(Éléments!$D$5:$D$14,$U282))</f>
        <v>Malédiction d'ombre</v>
      </c>
      <c r="H282" s="10" t="str">
        <f aca="false">INDEX(Bases!$G$5:$G$83,$T282)</f>
        <v>Mono</v>
      </c>
      <c r="I282" s="13" t="n">
        <f aca="false">INDEX(Bases!$H$5:$H$83,$T282)</f>
        <v>2</v>
      </c>
      <c r="J282" s="10" t="str">
        <f aca="false">INDEX(Bases!$I$5:$I$83,$T282)</f>
        <v>Non</v>
      </c>
      <c r="K282" s="14" t="n">
        <f aca="false">INDEX(Bases!$J$5:$J$83,$T282)</f>
        <v>0</v>
      </c>
      <c r="L282" s="10" t="str">
        <f aca="false">INDEX(Bases!$K$5:$K$83,$T282)</f>
        <v>Magie</v>
      </c>
      <c r="M282" s="11" t="str">
        <f aca="false">INDEX(Bases!$L$5:$L$83,$T282)</f>
        <v>La cible inflige −15 % de dégâts pendant 2 tours.</v>
      </c>
      <c r="N282" s="11" t="str">
        <f aca="false">IF($C282="Passif","—",IF($C282="Attaque (arme 1)",INDEX(Éléments!$F$5:$F$14,$U282),INDEX(Éléments!$G$5:$G$14,$U282)))</f>
        <v>Les ennemis qui frappent le lanceur subissent Corruption (25 %).</v>
      </c>
      <c r="O282" s="10" t="str">
        <f aca="false">INDEX(Bases!$M$5:$M$83,$T282)</f>
        <v>Active</v>
      </c>
      <c r="P282" s="13" t="n">
        <f aca="false">INDEX(Bases!$N$5:$N$83,$T282)</f>
        <v>20</v>
      </c>
      <c r="Q282" s="15" t="n">
        <f aca="false">INDEX(Éléments!$C$5:$C$14,$U282)</f>
        <v>100</v>
      </c>
      <c r="R282" s="11" t="str">
        <f aca="false">"Niv. "&amp;$P282&amp;IF($Q282&gt;0," · étage "&amp;$Q282&amp;" terminé","")</f>
        <v>Niv. 20 · étage 100 terminé</v>
      </c>
      <c r="S282" s="14" t="n">
        <f aca="false">IF(ISNUMBER($I282),$K282*IF($H282="Zone",Paramètres!$B$8,1)/MAX(1,$I282),0)</f>
        <v>0</v>
      </c>
      <c r="T282" s="16" t="n">
        <v>35</v>
      </c>
      <c r="U282" s="16" t="n">
        <v>10</v>
      </c>
    </row>
    <row r="283" customFormat="false" ht="15" hidden="false" customHeight="true" outlineLevel="0" collapsed="false">
      <c r="A283" s="9" t="s">
        <v>352</v>
      </c>
      <c r="B283" s="10" t="str">
        <f aca="false">INDEX(Bases!$B$5:$B$83,$T283)</f>
        <v>Mage</v>
      </c>
      <c r="C283" s="10" t="str">
        <f aca="false">INDEX(Bases!$E$5:$E$83,$T283)</f>
        <v>Soutien (arme 2)</v>
      </c>
      <c r="D283" s="10" t="str">
        <f aca="false">INDEX(Bases!$F$5:$F$83,$T283)</f>
        <v>Soin</v>
      </c>
      <c r="E283" s="11" t="str">
        <f aca="false">INDEX(Bases!$C$5:$C$83,$T283)</f>
        <v>Régénération</v>
      </c>
      <c r="F283" s="10" t="str">
        <f aca="false">INDEX(Éléments!$A$5:$A$14,$U283)</f>
        <v>Neutre</v>
      </c>
      <c r="G283" s="12" t="str">
        <f aca="false">IF(OR($F283="Neutre",$C283="Passif"),$E283,INDEX(Bases!$D$5:$D$83,$T283)&amp;" "&amp;INDEX(Éléments!$D$5:$D$14,$U283))</f>
        <v>Régénération</v>
      </c>
      <c r="H283" s="10" t="str">
        <f aca="false">INDEX(Bases!$G$5:$G$83,$T283)</f>
        <v>Soi</v>
      </c>
      <c r="I283" s="13" t="n">
        <f aca="false">INDEX(Bases!$H$5:$H$83,$T283)</f>
        <v>2</v>
      </c>
      <c r="J283" s="10" t="str">
        <f aca="false">INDEX(Bases!$I$5:$I$83,$T283)</f>
        <v>Non</v>
      </c>
      <c r="K283" s="14" t="n">
        <f aca="false">INDEX(Bases!$J$5:$J$83,$T283)</f>
        <v>0</v>
      </c>
      <c r="L283" s="10" t="str">
        <f aca="false">INDEX(Bases!$K$5:$K$83,$T283)</f>
        <v>Magie</v>
      </c>
      <c r="M283" s="11" t="str">
        <f aca="false">INDEX(Bases!$L$5:$L$83,$T283)</f>
        <v>Rend 6 % des PV max par tour pendant 3 tours.</v>
      </c>
      <c r="N283" s="11" t="str">
        <f aca="false">IF($C283="Passif","—",IF($C283="Attaque (arme 1)",INDEX(Éléments!$F$5:$F$14,$U283),INDEX(Éléments!$G$5:$G$14,$U283)))</f>
        <v>Aucun bonus élémentaire : effet de base seul.</v>
      </c>
      <c r="O283" s="10" t="str">
        <f aca="false">INDEX(Bases!$M$5:$M$83,$T283)</f>
        <v>Active</v>
      </c>
      <c r="P283" s="13" t="n">
        <f aca="false">INDEX(Bases!$N$5:$N$83,$T283)</f>
        <v>28</v>
      </c>
      <c r="Q283" s="15" t="n">
        <f aca="false">INDEX(Éléments!$C$5:$C$14,$U283)</f>
        <v>0</v>
      </c>
      <c r="R283" s="11" t="str">
        <f aca="false">"Niv. "&amp;$P283&amp;IF($Q283&gt;0," · étage "&amp;$Q283&amp;" terminé","")</f>
        <v>Niv. 28</v>
      </c>
      <c r="S283" s="14" t="n">
        <f aca="false">IF(ISNUMBER($I283),$K283*IF($H283="Zone",Paramètres!$B$8,1)/MAX(1,$I283),0)</f>
        <v>0</v>
      </c>
      <c r="T283" s="16" t="n">
        <v>36</v>
      </c>
      <c r="U283" s="16" t="n">
        <v>1</v>
      </c>
    </row>
    <row r="284" customFormat="false" ht="15" hidden="false" customHeight="true" outlineLevel="0" collapsed="false">
      <c r="A284" s="9" t="s">
        <v>353</v>
      </c>
      <c r="B284" s="10" t="str">
        <f aca="false">INDEX(Bases!$B$5:$B$83,$T284)</f>
        <v>Mage</v>
      </c>
      <c r="C284" s="10" t="str">
        <f aca="false">INDEX(Bases!$E$5:$E$83,$T284)</f>
        <v>Soutien (arme 2)</v>
      </c>
      <c r="D284" s="10" t="str">
        <f aca="false">INDEX(Bases!$F$5:$F$83,$T284)</f>
        <v>Soin</v>
      </c>
      <c r="E284" s="11" t="str">
        <f aca="false">INDEX(Bases!$C$5:$C$83,$T284)</f>
        <v>Régénération</v>
      </c>
      <c r="F284" s="10" t="str">
        <f aca="false">INDEX(Éléments!$A$5:$A$14,$U284)</f>
        <v>Terre</v>
      </c>
      <c r="G284" s="12" t="str">
        <f aca="false">IF(OR($F284="Neutre",$C284="Passif"),$E284,INDEX(Bases!$D$5:$D$83,$T284)&amp;" "&amp;INDEX(Éléments!$D$5:$D$14,$U284))</f>
        <v>Régénération de pierre</v>
      </c>
      <c r="H284" s="10" t="str">
        <f aca="false">INDEX(Bases!$G$5:$G$83,$T284)</f>
        <v>Soi</v>
      </c>
      <c r="I284" s="13" t="n">
        <f aca="false">INDEX(Bases!$H$5:$H$83,$T284)</f>
        <v>2</v>
      </c>
      <c r="J284" s="10" t="str">
        <f aca="false">INDEX(Bases!$I$5:$I$83,$T284)</f>
        <v>Non</v>
      </c>
      <c r="K284" s="14" t="n">
        <f aca="false">INDEX(Bases!$J$5:$J$83,$T284)</f>
        <v>0</v>
      </c>
      <c r="L284" s="10" t="str">
        <f aca="false">INDEX(Bases!$K$5:$K$83,$T284)</f>
        <v>Magie</v>
      </c>
      <c r="M284" s="11" t="str">
        <f aca="false">INDEX(Bases!$L$5:$L$83,$T284)</f>
        <v>Rend 6 % des PV max par tour pendant 3 tours.</v>
      </c>
      <c r="N284" s="11" t="str">
        <f aca="false">IF($C284="Passif","—",IF($C284="Attaque (arme 1)",INDEX(Éléments!$F$5:$F$14,$U284),INDEX(Éléments!$G$5:$G$14,$U284)))</f>
        <v>+15 % d'Armure pendant la durée de l'effet.</v>
      </c>
      <c r="O284" s="10" t="str">
        <f aca="false">INDEX(Bases!$M$5:$M$83,$T284)</f>
        <v>Active</v>
      </c>
      <c r="P284" s="13" t="n">
        <f aca="false">INDEX(Bases!$N$5:$N$83,$T284)</f>
        <v>28</v>
      </c>
      <c r="Q284" s="15" t="n">
        <f aca="false">INDEX(Éléments!$C$5:$C$14,$U284)</f>
        <v>20</v>
      </c>
      <c r="R284" s="11" t="str">
        <f aca="false">"Niv. "&amp;$P284&amp;IF($Q284&gt;0," · étage "&amp;$Q284&amp;" terminé","")</f>
        <v>Niv. 28 · étage 20 terminé</v>
      </c>
      <c r="S284" s="14" t="n">
        <f aca="false">IF(ISNUMBER($I284),$K284*IF($H284="Zone",Paramètres!$B$8,1)/MAX(1,$I284),0)</f>
        <v>0</v>
      </c>
      <c r="T284" s="16" t="n">
        <v>36</v>
      </c>
      <c r="U284" s="16" t="n">
        <v>2</v>
      </c>
    </row>
    <row r="285" customFormat="false" ht="15" hidden="false" customHeight="true" outlineLevel="0" collapsed="false">
      <c r="A285" s="9" t="s">
        <v>354</v>
      </c>
      <c r="B285" s="10" t="str">
        <f aca="false">INDEX(Bases!$B$5:$B$83,$T285)</f>
        <v>Mage</v>
      </c>
      <c r="C285" s="10" t="str">
        <f aca="false">INDEX(Bases!$E$5:$E$83,$T285)</f>
        <v>Soutien (arme 2)</v>
      </c>
      <c r="D285" s="10" t="str">
        <f aca="false">INDEX(Bases!$F$5:$F$83,$T285)</f>
        <v>Soin</v>
      </c>
      <c r="E285" s="11" t="str">
        <f aca="false">INDEX(Bases!$C$5:$C$83,$T285)</f>
        <v>Régénération</v>
      </c>
      <c r="F285" s="10" t="str">
        <f aca="false">INDEX(Éléments!$A$5:$A$14,$U285)</f>
        <v>Feu</v>
      </c>
      <c r="G285" s="12" t="str">
        <f aca="false">IF(OR($F285="Neutre",$C285="Passif"),$E285,INDEX(Bases!$D$5:$D$83,$T285)&amp;" "&amp;INDEX(Éléments!$D$5:$D$14,$U285))</f>
        <v>Régénération de feu</v>
      </c>
      <c r="H285" s="10" t="str">
        <f aca="false">INDEX(Bases!$G$5:$G$83,$T285)</f>
        <v>Soi</v>
      </c>
      <c r="I285" s="13" t="n">
        <f aca="false">INDEX(Bases!$H$5:$H$83,$T285)</f>
        <v>2</v>
      </c>
      <c r="J285" s="10" t="str">
        <f aca="false">INDEX(Bases!$I$5:$I$83,$T285)</f>
        <v>Non</v>
      </c>
      <c r="K285" s="14" t="n">
        <f aca="false">INDEX(Bases!$J$5:$J$83,$T285)</f>
        <v>0</v>
      </c>
      <c r="L285" s="10" t="str">
        <f aca="false">INDEX(Bases!$K$5:$K$83,$T285)</f>
        <v>Magie</v>
      </c>
      <c r="M285" s="11" t="str">
        <f aca="false">INDEX(Bases!$L$5:$L$83,$T285)</f>
        <v>Rend 6 % des PV max par tour pendant 3 tours.</v>
      </c>
      <c r="N285" s="11" t="str">
        <f aca="false">IF($C285="Passif","—",IF($C285="Attaque (arme 1)",INDEX(Éléments!$F$5:$F$14,$U285),INDEX(Éléments!$G$5:$G$14,$U285)))</f>
        <v>Les ennemis qui frappent le lanceur ont 40 % de subir Brûlure (pendant la durée).</v>
      </c>
      <c r="O285" s="10" t="str">
        <f aca="false">INDEX(Bases!$M$5:$M$83,$T285)</f>
        <v>Active</v>
      </c>
      <c r="P285" s="13" t="n">
        <f aca="false">INDEX(Bases!$N$5:$N$83,$T285)</f>
        <v>28</v>
      </c>
      <c r="Q285" s="15" t="n">
        <f aca="false">INDEX(Éléments!$C$5:$C$14,$U285)</f>
        <v>30</v>
      </c>
      <c r="R285" s="11" t="str">
        <f aca="false">"Niv. "&amp;$P285&amp;IF($Q285&gt;0," · étage "&amp;$Q285&amp;" terminé","")</f>
        <v>Niv. 28 · étage 30 terminé</v>
      </c>
      <c r="S285" s="14" t="n">
        <f aca="false">IF(ISNUMBER($I285),$K285*IF($H285="Zone",Paramètres!$B$8,1)/MAX(1,$I285),0)</f>
        <v>0</v>
      </c>
      <c r="T285" s="16" t="n">
        <v>36</v>
      </c>
      <c r="U285" s="16" t="n">
        <v>3</v>
      </c>
    </row>
    <row r="286" customFormat="false" ht="15" hidden="false" customHeight="true" outlineLevel="0" collapsed="false">
      <c r="A286" s="9" t="s">
        <v>355</v>
      </c>
      <c r="B286" s="10" t="str">
        <f aca="false">INDEX(Bases!$B$5:$B$83,$T286)</f>
        <v>Mage</v>
      </c>
      <c r="C286" s="10" t="str">
        <f aca="false">INDEX(Bases!$E$5:$E$83,$T286)</f>
        <v>Soutien (arme 2)</v>
      </c>
      <c r="D286" s="10" t="str">
        <f aca="false">INDEX(Bases!$F$5:$F$83,$T286)</f>
        <v>Soin</v>
      </c>
      <c r="E286" s="11" t="str">
        <f aca="false">INDEX(Bases!$C$5:$C$83,$T286)</f>
        <v>Régénération</v>
      </c>
      <c r="F286" s="10" t="str">
        <f aca="false">INDEX(Éléments!$A$5:$A$14,$U286)</f>
        <v>Vent</v>
      </c>
      <c r="G286" s="12" t="str">
        <f aca="false">IF(OR($F286="Neutre",$C286="Passif"),$E286,INDEX(Bases!$D$5:$D$83,$T286)&amp;" "&amp;INDEX(Éléments!$D$5:$D$14,$U286))</f>
        <v>Régénération de vent</v>
      </c>
      <c r="H286" s="10" t="str">
        <f aca="false">INDEX(Bases!$G$5:$G$83,$T286)</f>
        <v>Soi</v>
      </c>
      <c r="I286" s="13" t="n">
        <f aca="false">INDEX(Bases!$H$5:$H$83,$T286)</f>
        <v>2</v>
      </c>
      <c r="J286" s="10" t="str">
        <f aca="false">INDEX(Bases!$I$5:$I$83,$T286)</f>
        <v>Non</v>
      </c>
      <c r="K286" s="14" t="n">
        <f aca="false">INDEX(Bases!$J$5:$J$83,$T286)</f>
        <v>0</v>
      </c>
      <c r="L286" s="10" t="str">
        <f aca="false">INDEX(Bases!$K$5:$K$83,$T286)</f>
        <v>Magie</v>
      </c>
      <c r="M286" s="11" t="str">
        <f aca="false">INDEX(Bases!$L$5:$L$83,$T286)</f>
        <v>Rend 6 % des PV max par tour pendant 3 tours.</v>
      </c>
      <c r="N286" s="11" t="str">
        <f aca="false">IF($C286="Passif","—",IF($C286="Attaque (arme 1)",INDEX(Éléments!$F$5:$F$14,$U286),INDEX(Éléments!$G$5:$G$14,$U286)))</f>
        <v>+10 % d'Agilité (esquive) pendant la durée de l'effet.</v>
      </c>
      <c r="O286" s="10" t="str">
        <f aca="false">INDEX(Bases!$M$5:$M$83,$T286)</f>
        <v>Active</v>
      </c>
      <c r="P286" s="13" t="n">
        <f aca="false">INDEX(Bases!$N$5:$N$83,$T286)</f>
        <v>28</v>
      </c>
      <c r="Q286" s="15" t="n">
        <f aca="false">INDEX(Éléments!$C$5:$C$14,$U286)</f>
        <v>40</v>
      </c>
      <c r="R286" s="11" t="str">
        <f aca="false">"Niv. "&amp;$P286&amp;IF($Q286&gt;0," · étage "&amp;$Q286&amp;" terminé","")</f>
        <v>Niv. 28 · étage 40 terminé</v>
      </c>
      <c r="S286" s="14" t="n">
        <f aca="false">IF(ISNUMBER($I286),$K286*IF($H286="Zone",Paramètres!$B$8,1)/MAX(1,$I286),0)</f>
        <v>0</v>
      </c>
      <c r="T286" s="16" t="n">
        <v>36</v>
      </c>
      <c r="U286" s="16" t="n">
        <v>4</v>
      </c>
    </row>
    <row r="287" customFormat="false" ht="15" hidden="false" customHeight="true" outlineLevel="0" collapsed="false">
      <c r="A287" s="9" t="s">
        <v>356</v>
      </c>
      <c r="B287" s="10" t="str">
        <f aca="false">INDEX(Bases!$B$5:$B$83,$T287)</f>
        <v>Mage</v>
      </c>
      <c r="C287" s="10" t="str">
        <f aca="false">INDEX(Bases!$E$5:$E$83,$T287)</f>
        <v>Soutien (arme 2)</v>
      </c>
      <c r="D287" s="10" t="str">
        <f aca="false">INDEX(Bases!$F$5:$F$83,$T287)</f>
        <v>Soin</v>
      </c>
      <c r="E287" s="11" t="str">
        <f aca="false">INDEX(Bases!$C$5:$C$83,$T287)</f>
        <v>Régénération</v>
      </c>
      <c r="F287" s="10" t="str">
        <f aca="false">INDEX(Éléments!$A$5:$A$14,$U287)</f>
        <v>Acide</v>
      </c>
      <c r="G287" s="12" t="str">
        <f aca="false">IF(OR($F287="Neutre",$C287="Passif"),$E287,INDEX(Bases!$D$5:$D$83,$T287)&amp;" "&amp;INDEX(Éléments!$D$5:$D$14,$U287))</f>
        <v>Régénération d'acide</v>
      </c>
      <c r="H287" s="10" t="str">
        <f aca="false">INDEX(Bases!$G$5:$G$83,$T287)</f>
        <v>Soi</v>
      </c>
      <c r="I287" s="13" t="n">
        <f aca="false">INDEX(Bases!$H$5:$H$83,$T287)</f>
        <v>2</v>
      </c>
      <c r="J287" s="10" t="str">
        <f aca="false">INDEX(Bases!$I$5:$I$83,$T287)</f>
        <v>Non</v>
      </c>
      <c r="K287" s="14" t="n">
        <f aca="false">INDEX(Bases!$J$5:$J$83,$T287)</f>
        <v>0</v>
      </c>
      <c r="L287" s="10" t="str">
        <f aca="false">INDEX(Bases!$K$5:$K$83,$T287)</f>
        <v>Magie</v>
      </c>
      <c r="M287" s="11" t="str">
        <f aca="false">INDEX(Bases!$L$5:$L$83,$T287)</f>
        <v>Rend 6 % des PV max par tour pendant 3 tours.</v>
      </c>
      <c r="N287" s="11" t="str">
        <f aca="false">IF($C287="Passif","—",IF($C287="Attaque (arme 1)",INDEX(Éléments!$F$5:$F$14,$U287),INDEX(Éléments!$G$5:$G$14,$U287)))</f>
        <v>Les ennemis qui frappent le lanceur prennent 1 pile de Corrosion (40 %).</v>
      </c>
      <c r="O287" s="10" t="str">
        <f aca="false">INDEX(Bases!$M$5:$M$83,$T287)</f>
        <v>Active</v>
      </c>
      <c r="P287" s="13" t="n">
        <f aca="false">INDEX(Bases!$N$5:$N$83,$T287)</f>
        <v>28</v>
      </c>
      <c r="Q287" s="15" t="n">
        <f aca="false">INDEX(Éléments!$C$5:$C$14,$U287)</f>
        <v>50</v>
      </c>
      <c r="R287" s="11" t="str">
        <f aca="false">"Niv. "&amp;$P287&amp;IF($Q287&gt;0," · étage "&amp;$Q287&amp;" terminé","")</f>
        <v>Niv. 28 · étage 50 terminé</v>
      </c>
      <c r="S287" s="14" t="n">
        <f aca="false">IF(ISNUMBER($I287),$K287*IF($H287="Zone",Paramètres!$B$8,1)/MAX(1,$I287),0)</f>
        <v>0</v>
      </c>
      <c r="T287" s="16" t="n">
        <v>36</v>
      </c>
      <c r="U287" s="16" t="n">
        <v>5</v>
      </c>
    </row>
    <row r="288" customFormat="false" ht="15" hidden="false" customHeight="true" outlineLevel="0" collapsed="false">
      <c r="A288" s="9" t="s">
        <v>357</v>
      </c>
      <c r="B288" s="10" t="str">
        <f aca="false">INDEX(Bases!$B$5:$B$83,$T288)</f>
        <v>Mage</v>
      </c>
      <c r="C288" s="10" t="str">
        <f aca="false">INDEX(Bases!$E$5:$E$83,$T288)</f>
        <v>Soutien (arme 2)</v>
      </c>
      <c r="D288" s="10" t="str">
        <f aca="false">INDEX(Bases!$F$5:$F$83,$T288)</f>
        <v>Soin</v>
      </c>
      <c r="E288" s="11" t="str">
        <f aca="false">INDEX(Bases!$C$5:$C$83,$T288)</f>
        <v>Régénération</v>
      </c>
      <c r="F288" s="10" t="str">
        <f aca="false">INDEX(Éléments!$A$5:$A$14,$U288)</f>
        <v>Eau</v>
      </c>
      <c r="G288" s="12" t="str">
        <f aca="false">IF(OR($F288="Neutre",$C288="Passif"),$E288,INDEX(Bases!$D$5:$D$83,$T288)&amp;" "&amp;INDEX(Éléments!$D$5:$D$14,$U288))</f>
        <v>Régénération d'eau</v>
      </c>
      <c r="H288" s="10" t="str">
        <f aca="false">INDEX(Bases!$G$5:$G$83,$T288)</f>
        <v>Soi</v>
      </c>
      <c r="I288" s="13" t="n">
        <f aca="false">INDEX(Bases!$H$5:$H$83,$T288)</f>
        <v>2</v>
      </c>
      <c r="J288" s="10" t="str">
        <f aca="false">INDEX(Bases!$I$5:$I$83,$T288)</f>
        <v>Non</v>
      </c>
      <c r="K288" s="14" t="n">
        <f aca="false">INDEX(Bases!$J$5:$J$83,$T288)</f>
        <v>0</v>
      </c>
      <c r="L288" s="10" t="str">
        <f aca="false">INDEX(Bases!$K$5:$K$83,$T288)</f>
        <v>Magie</v>
      </c>
      <c r="M288" s="11" t="str">
        <f aca="false">INDEX(Bases!$L$5:$L$83,$T288)</f>
        <v>Rend 6 % des PV max par tour pendant 3 tours.</v>
      </c>
      <c r="N288" s="11" t="str">
        <f aca="false">IF($C288="Passif","—",IF($C288="Attaque (arme 1)",INDEX(Éléments!$F$5:$F$14,$U288),INDEX(Éléments!$G$5:$G$14,$U288)))</f>
        <v>Soin supplémentaire de 4 % des PV max ; retire Brûlure du lanceur.</v>
      </c>
      <c r="O288" s="10" t="str">
        <f aca="false">INDEX(Bases!$M$5:$M$83,$T288)</f>
        <v>Active</v>
      </c>
      <c r="P288" s="13" t="n">
        <f aca="false">INDEX(Bases!$N$5:$N$83,$T288)</f>
        <v>28</v>
      </c>
      <c r="Q288" s="15" t="n">
        <f aca="false">INDEX(Éléments!$C$5:$C$14,$U288)</f>
        <v>60</v>
      </c>
      <c r="R288" s="11" t="str">
        <f aca="false">"Niv. "&amp;$P288&amp;IF($Q288&gt;0," · étage "&amp;$Q288&amp;" terminé","")</f>
        <v>Niv. 28 · étage 60 terminé</v>
      </c>
      <c r="S288" s="14" t="n">
        <f aca="false">IF(ISNUMBER($I288),$K288*IF($H288="Zone",Paramètres!$B$8,1)/MAX(1,$I288),0)</f>
        <v>0</v>
      </c>
      <c r="T288" s="16" t="n">
        <v>36</v>
      </c>
      <c r="U288" s="16" t="n">
        <v>6</v>
      </c>
    </row>
    <row r="289" customFormat="false" ht="15" hidden="false" customHeight="true" outlineLevel="0" collapsed="false">
      <c r="A289" s="9" t="s">
        <v>358</v>
      </c>
      <c r="B289" s="10" t="str">
        <f aca="false">INDEX(Bases!$B$5:$B$83,$T289)</f>
        <v>Mage</v>
      </c>
      <c r="C289" s="10" t="str">
        <f aca="false">INDEX(Bases!$E$5:$E$83,$T289)</f>
        <v>Soutien (arme 2)</v>
      </c>
      <c r="D289" s="10" t="str">
        <f aca="false">INDEX(Bases!$F$5:$F$83,$T289)</f>
        <v>Soin</v>
      </c>
      <c r="E289" s="11" t="str">
        <f aca="false">INDEX(Bases!$C$5:$C$83,$T289)</f>
        <v>Régénération</v>
      </c>
      <c r="F289" s="10" t="str">
        <f aca="false">INDEX(Éléments!$A$5:$A$14,$U289)</f>
        <v>Glace</v>
      </c>
      <c r="G289" s="12" t="str">
        <f aca="false">IF(OR($F289="Neutre",$C289="Passif"),$E289,INDEX(Bases!$D$5:$D$83,$T289)&amp;" "&amp;INDEX(Éléments!$D$5:$D$14,$U289))</f>
        <v>Régénération de glace</v>
      </c>
      <c r="H289" s="10" t="str">
        <f aca="false">INDEX(Bases!$G$5:$G$83,$T289)</f>
        <v>Soi</v>
      </c>
      <c r="I289" s="13" t="n">
        <f aca="false">INDEX(Bases!$H$5:$H$83,$T289)</f>
        <v>2</v>
      </c>
      <c r="J289" s="10" t="str">
        <f aca="false">INDEX(Bases!$I$5:$I$83,$T289)</f>
        <v>Non</v>
      </c>
      <c r="K289" s="14" t="n">
        <f aca="false">INDEX(Bases!$J$5:$J$83,$T289)</f>
        <v>0</v>
      </c>
      <c r="L289" s="10" t="str">
        <f aca="false">INDEX(Bases!$K$5:$K$83,$T289)</f>
        <v>Magie</v>
      </c>
      <c r="M289" s="11" t="str">
        <f aca="false">INDEX(Bases!$L$5:$L$83,$T289)</f>
        <v>Rend 6 % des PV max par tour pendant 3 tours.</v>
      </c>
      <c r="N289" s="11" t="str">
        <f aca="false">IF($C289="Passif","—",IF($C289="Attaque (arme 1)",INDEX(Éléments!$F$5:$F$14,$U289),INDEX(Éléments!$G$5:$G$14,$U289)))</f>
        <v>Les ennemis qui frappent le lanceur prennent 1 pile de Froid (40 %).</v>
      </c>
      <c r="O289" s="10" t="str">
        <f aca="false">INDEX(Bases!$M$5:$M$83,$T289)</f>
        <v>Active</v>
      </c>
      <c r="P289" s="13" t="n">
        <f aca="false">INDEX(Bases!$N$5:$N$83,$T289)</f>
        <v>28</v>
      </c>
      <c r="Q289" s="15" t="n">
        <f aca="false">INDEX(Éléments!$C$5:$C$14,$U289)</f>
        <v>70</v>
      </c>
      <c r="R289" s="11" t="str">
        <f aca="false">"Niv. "&amp;$P289&amp;IF($Q289&gt;0," · étage "&amp;$Q289&amp;" terminé","")</f>
        <v>Niv. 28 · étage 70 terminé</v>
      </c>
      <c r="S289" s="14" t="n">
        <f aca="false">IF(ISNUMBER($I289),$K289*IF($H289="Zone",Paramètres!$B$8,1)/MAX(1,$I289),0)</f>
        <v>0</v>
      </c>
      <c r="T289" s="16" t="n">
        <v>36</v>
      </c>
      <c r="U289" s="16" t="n">
        <v>7</v>
      </c>
    </row>
    <row r="290" customFormat="false" ht="15" hidden="false" customHeight="true" outlineLevel="0" collapsed="false">
      <c r="A290" s="9" t="s">
        <v>359</v>
      </c>
      <c r="B290" s="10" t="str">
        <f aca="false">INDEX(Bases!$B$5:$B$83,$T290)</f>
        <v>Mage</v>
      </c>
      <c r="C290" s="10" t="str">
        <f aca="false">INDEX(Bases!$E$5:$E$83,$T290)</f>
        <v>Soutien (arme 2)</v>
      </c>
      <c r="D290" s="10" t="str">
        <f aca="false">INDEX(Bases!$F$5:$F$83,$T290)</f>
        <v>Soin</v>
      </c>
      <c r="E290" s="11" t="str">
        <f aca="false">INDEX(Bases!$C$5:$C$83,$T290)</f>
        <v>Régénération</v>
      </c>
      <c r="F290" s="10" t="str">
        <f aca="false">INDEX(Éléments!$A$5:$A$14,$U290)</f>
        <v>Électricité</v>
      </c>
      <c r="G290" s="12" t="str">
        <f aca="false">IF(OR($F290="Neutre",$C290="Passif"),$E290,INDEX(Bases!$D$5:$D$83,$T290)&amp;" "&amp;INDEX(Éléments!$D$5:$D$14,$U290))</f>
        <v>Régénération de foudre</v>
      </c>
      <c r="H290" s="10" t="str">
        <f aca="false">INDEX(Bases!$G$5:$G$83,$T290)</f>
        <v>Soi</v>
      </c>
      <c r="I290" s="13" t="n">
        <f aca="false">INDEX(Bases!$H$5:$H$83,$T290)</f>
        <v>2</v>
      </c>
      <c r="J290" s="10" t="str">
        <f aca="false">INDEX(Bases!$I$5:$I$83,$T290)</f>
        <v>Non</v>
      </c>
      <c r="K290" s="14" t="n">
        <f aca="false">INDEX(Bases!$J$5:$J$83,$T290)</f>
        <v>0</v>
      </c>
      <c r="L290" s="10" t="str">
        <f aca="false">INDEX(Bases!$K$5:$K$83,$T290)</f>
        <v>Magie</v>
      </c>
      <c r="M290" s="11" t="str">
        <f aca="false">INDEX(Bases!$L$5:$L$83,$T290)</f>
        <v>Rend 6 % des PV max par tour pendant 3 tours.</v>
      </c>
      <c r="N290" s="11" t="str">
        <f aca="false">IF($C290="Passif","—",IF($C290="Attaque (arme 1)",INDEX(Éléments!$F$5:$F$14,$U290),INDEX(Éléments!$G$5:$G$14,$U290)))</f>
        <v>La prochaine attaque du lanceur inflige +15 % de dégâts.</v>
      </c>
      <c r="O290" s="10" t="str">
        <f aca="false">INDEX(Bases!$M$5:$M$83,$T290)</f>
        <v>Active</v>
      </c>
      <c r="P290" s="13" t="n">
        <f aca="false">INDEX(Bases!$N$5:$N$83,$T290)</f>
        <v>28</v>
      </c>
      <c r="Q290" s="15" t="n">
        <f aca="false">INDEX(Éléments!$C$5:$C$14,$U290)</f>
        <v>80</v>
      </c>
      <c r="R290" s="11" t="str">
        <f aca="false">"Niv. "&amp;$P290&amp;IF($Q290&gt;0," · étage "&amp;$Q290&amp;" terminé","")</f>
        <v>Niv. 28 · étage 80 terminé</v>
      </c>
      <c r="S290" s="14" t="n">
        <f aca="false">IF(ISNUMBER($I290),$K290*IF($H290="Zone",Paramètres!$B$8,1)/MAX(1,$I290),0)</f>
        <v>0</v>
      </c>
      <c r="T290" s="16" t="n">
        <v>36</v>
      </c>
      <c r="U290" s="16" t="n">
        <v>8</v>
      </c>
    </row>
    <row r="291" customFormat="false" ht="15" hidden="false" customHeight="true" outlineLevel="0" collapsed="false">
      <c r="A291" s="9" t="s">
        <v>360</v>
      </c>
      <c r="B291" s="10" t="str">
        <f aca="false">INDEX(Bases!$B$5:$B$83,$T291)</f>
        <v>Mage</v>
      </c>
      <c r="C291" s="10" t="str">
        <f aca="false">INDEX(Bases!$E$5:$E$83,$T291)</f>
        <v>Soutien (arme 2)</v>
      </c>
      <c r="D291" s="10" t="str">
        <f aca="false">INDEX(Bases!$F$5:$F$83,$T291)</f>
        <v>Soin</v>
      </c>
      <c r="E291" s="11" t="str">
        <f aca="false">INDEX(Bases!$C$5:$C$83,$T291)</f>
        <v>Régénération</v>
      </c>
      <c r="F291" s="10" t="str">
        <f aca="false">INDEX(Éléments!$A$5:$A$14,$U291)</f>
        <v>Lumière</v>
      </c>
      <c r="G291" s="12" t="str">
        <f aca="false">IF(OR($F291="Neutre",$C291="Passif"),$E291,INDEX(Bases!$D$5:$D$83,$T291)&amp;" "&amp;INDEX(Éléments!$D$5:$D$14,$U291))</f>
        <v>Régénération de lumière</v>
      </c>
      <c r="H291" s="10" t="str">
        <f aca="false">INDEX(Bases!$G$5:$G$83,$T291)</f>
        <v>Soi</v>
      </c>
      <c r="I291" s="13" t="n">
        <f aca="false">INDEX(Bases!$H$5:$H$83,$T291)</f>
        <v>2</v>
      </c>
      <c r="J291" s="10" t="str">
        <f aca="false">INDEX(Bases!$I$5:$I$83,$T291)</f>
        <v>Non</v>
      </c>
      <c r="K291" s="14" t="n">
        <f aca="false">INDEX(Bases!$J$5:$J$83,$T291)</f>
        <v>0</v>
      </c>
      <c r="L291" s="10" t="str">
        <f aca="false">INDEX(Bases!$K$5:$K$83,$T291)</f>
        <v>Magie</v>
      </c>
      <c r="M291" s="11" t="str">
        <f aca="false">INDEX(Bases!$L$5:$L$83,$T291)</f>
        <v>Rend 6 % des PV max par tour pendant 3 tours.</v>
      </c>
      <c r="N291" s="11" t="str">
        <f aca="false">IF($C291="Passif","—",IF($C291="Attaque (arme 1)",INDEX(Éléments!$F$5:$F$14,$U291),INDEX(Éléments!$G$5:$G$14,$U291)))</f>
        <v>+20 % sur les soins et boucliers de la compétence.</v>
      </c>
      <c r="O291" s="10" t="str">
        <f aca="false">INDEX(Bases!$M$5:$M$83,$T291)</f>
        <v>Active</v>
      </c>
      <c r="P291" s="13" t="n">
        <f aca="false">INDEX(Bases!$N$5:$N$83,$T291)</f>
        <v>28</v>
      </c>
      <c r="Q291" s="15" t="n">
        <f aca="false">INDEX(Éléments!$C$5:$C$14,$U291)</f>
        <v>90</v>
      </c>
      <c r="R291" s="11" t="str">
        <f aca="false">"Niv. "&amp;$P291&amp;IF($Q291&gt;0," · étage "&amp;$Q291&amp;" terminé","")</f>
        <v>Niv. 28 · étage 90 terminé</v>
      </c>
      <c r="S291" s="14" t="n">
        <f aca="false">IF(ISNUMBER($I291),$K291*IF($H291="Zone",Paramètres!$B$8,1)/MAX(1,$I291),0)</f>
        <v>0</v>
      </c>
      <c r="T291" s="16" t="n">
        <v>36</v>
      </c>
      <c r="U291" s="16" t="n">
        <v>9</v>
      </c>
    </row>
    <row r="292" customFormat="false" ht="15" hidden="false" customHeight="true" outlineLevel="0" collapsed="false">
      <c r="A292" s="9" t="s">
        <v>361</v>
      </c>
      <c r="B292" s="10" t="str">
        <f aca="false">INDEX(Bases!$B$5:$B$83,$T292)</f>
        <v>Mage</v>
      </c>
      <c r="C292" s="10" t="str">
        <f aca="false">INDEX(Bases!$E$5:$E$83,$T292)</f>
        <v>Soutien (arme 2)</v>
      </c>
      <c r="D292" s="10" t="str">
        <f aca="false">INDEX(Bases!$F$5:$F$83,$T292)</f>
        <v>Soin</v>
      </c>
      <c r="E292" s="11" t="str">
        <f aca="false">INDEX(Bases!$C$5:$C$83,$T292)</f>
        <v>Régénération</v>
      </c>
      <c r="F292" s="10" t="str">
        <f aca="false">INDEX(Éléments!$A$5:$A$14,$U292)</f>
        <v>Ombre</v>
      </c>
      <c r="G292" s="12" t="str">
        <f aca="false">IF(OR($F292="Neutre",$C292="Passif"),$E292,INDEX(Bases!$D$5:$D$83,$T292)&amp;" "&amp;INDEX(Éléments!$D$5:$D$14,$U292))</f>
        <v>Régénération d'ombre</v>
      </c>
      <c r="H292" s="10" t="str">
        <f aca="false">INDEX(Bases!$G$5:$G$83,$T292)</f>
        <v>Soi</v>
      </c>
      <c r="I292" s="13" t="n">
        <f aca="false">INDEX(Bases!$H$5:$H$83,$T292)</f>
        <v>2</v>
      </c>
      <c r="J292" s="10" t="str">
        <f aca="false">INDEX(Bases!$I$5:$I$83,$T292)</f>
        <v>Non</v>
      </c>
      <c r="K292" s="14" t="n">
        <f aca="false">INDEX(Bases!$J$5:$J$83,$T292)</f>
        <v>0</v>
      </c>
      <c r="L292" s="10" t="str">
        <f aca="false">INDEX(Bases!$K$5:$K$83,$T292)</f>
        <v>Magie</v>
      </c>
      <c r="M292" s="11" t="str">
        <f aca="false">INDEX(Bases!$L$5:$L$83,$T292)</f>
        <v>Rend 6 % des PV max par tour pendant 3 tours.</v>
      </c>
      <c r="N292" s="11" t="str">
        <f aca="false">IF($C292="Passif","—",IF($C292="Attaque (arme 1)",INDEX(Éléments!$F$5:$F$14,$U292),INDEX(Éléments!$G$5:$G$14,$U292)))</f>
        <v>Les ennemis qui frappent le lanceur subissent Corruption (25 %).</v>
      </c>
      <c r="O292" s="10" t="str">
        <f aca="false">INDEX(Bases!$M$5:$M$83,$T292)</f>
        <v>Active</v>
      </c>
      <c r="P292" s="13" t="n">
        <f aca="false">INDEX(Bases!$N$5:$N$83,$T292)</f>
        <v>28</v>
      </c>
      <c r="Q292" s="15" t="n">
        <f aca="false">INDEX(Éléments!$C$5:$C$14,$U292)</f>
        <v>100</v>
      </c>
      <c r="R292" s="11" t="str">
        <f aca="false">"Niv. "&amp;$P292&amp;IF($Q292&gt;0," · étage "&amp;$Q292&amp;" terminé","")</f>
        <v>Niv. 28 · étage 100 terminé</v>
      </c>
      <c r="S292" s="14" t="n">
        <f aca="false">IF(ISNUMBER($I292),$K292*IF($H292="Zone",Paramètres!$B$8,1)/MAX(1,$I292),0)</f>
        <v>0</v>
      </c>
      <c r="T292" s="16" t="n">
        <v>36</v>
      </c>
      <c r="U292" s="16" t="n">
        <v>10</v>
      </c>
    </row>
    <row r="293" customFormat="false" ht="15" hidden="false" customHeight="true" outlineLevel="0" collapsed="false">
      <c r="A293" s="9" t="s">
        <v>362</v>
      </c>
      <c r="B293" s="10" t="str">
        <f aca="false">INDEX(Bases!$B$5:$B$83,$T293)</f>
        <v>Mage</v>
      </c>
      <c r="C293" s="10" t="str">
        <f aca="false">INDEX(Bases!$E$5:$E$83,$T293)</f>
        <v>Soutien (arme 2)</v>
      </c>
      <c r="D293" s="10" t="str">
        <f aca="false">INDEX(Bases!$F$5:$F$83,$T293)</f>
        <v>Soin</v>
      </c>
      <c r="E293" s="11" t="str">
        <f aca="false">INDEX(Bases!$C$5:$C$83,$T293)</f>
        <v>Purification</v>
      </c>
      <c r="F293" s="10" t="str">
        <f aca="false">INDEX(Éléments!$A$5:$A$14,$U293)</f>
        <v>Neutre</v>
      </c>
      <c r="G293" s="12" t="str">
        <f aca="false">IF(OR($F293="Neutre",$C293="Passif"),$E293,INDEX(Bases!$D$5:$D$83,$T293)&amp;" "&amp;INDEX(Éléments!$D$5:$D$14,$U293))</f>
        <v>Purification</v>
      </c>
      <c r="H293" s="10" t="str">
        <f aca="false">INDEX(Bases!$G$5:$G$83,$T293)</f>
        <v>Soi</v>
      </c>
      <c r="I293" s="13" t="n">
        <f aca="false">INDEX(Bases!$H$5:$H$83,$T293)</f>
        <v>2</v>
      </c>
      <c r="J293" s="10" t="str">
        <f aca="false">INDEX(Bases!$I$5:$I$83,$T293)</f>
        <v>Non</v>
      </c>
      <c r="K293" s="14" t="n">
        <f aca="false">INDEX(Bases!$J$5:$J$83,$T293)</f>
        <v>0</v>
      </c>
      <c r="L293" s="10" t="str">
        <f aca="false">INDEX(Bases!$K$5:$K$83,$T293)</f>
        <v>Magie</v>
      </c>
      <c r="M293" s="11" t="str">
        <f aca="false">INDEX(Bases!$L$5:$L$83,$T293)</f>
        <v>Retire toutes les altérations et soigne 8 % des PV max.</v>
      </c>
      <c r="N293" s="11" t="str">
        <f aca="false">IF($C293="Passif","—",IF($C293="Attaque (arme 1)",INDEX(Éléments!$F$5:$F$14,$U293),INDEX(Éléments!$G$5:$G$14,$U293)))</f>
        <v>Aucun bonus élémentaire : effet de base seul.</v>
      </c>
      <c r="O293" s="10" t="str">
        <f aca="false">INDEX(Bases!$M$5:$M$83,$T293)</f>
        <v>Active</v>
      </c>
      <c r="P293" s="13" t="n">
        <f aca="false">INDEX(Bases!$N$5:$N$83,$T293)</f>
        <v>40</v>
      </c>
      <c r="Q293" s="15" t="n">
        <f aca="false">INDEX(Éléments!$C$5:$C$14,$U293)</f>
        <v>0</v>
      </c>
      <c r="R293" s="11" t="str">
        <f aca="false">"Niv. "&amp;$P293&amp;IF($Q293&gt;0," · étage "&amp;$Q293&amp;" terminé","")</f>
        <v>Niv. 40</v>
      </c>
      <c r="S293" s="14" t="n">
        <f aca="false">IF(ISNUMBER($I293),$K293*IF($H293="Zone",Paramètres!$B$8,1)/MAX(1,$I293),0)</f>
        <v>0</v>
      </c>
      <c r="T293" s="16" t="n">
        <v>37</v>
      </c>
      <c r="U293" s="16" t="n">
        <v>1</v>
      </c>
    </row>
    <row r="294" customFormat="false" ht="15" hidden="false" customHeight="true" outlineLevel="0" collapsed="false">
      <c r="A294" s="9" t="s">
        <v>363</v>
      </c>
      <c r="B294" s="10" t="str">
        <f aca="false">INDEX(Bases!$B$5:$B$83,$T294)</f>
        <v>Mage</v>
      </c>
      <c r="C294" s="10" t="str">
        <f aca="false">INDEX(Bases!$E$5:$E$83,$T294)</f>
        <v>Soutien (arme 2)</v>
      </c>
      <c r="D294" s="10" t="str">
        <f aca="false">INDEX(Bases!$F$5:$F$83,$T294)</f>
        <v>Soin</v>
      </c>
      <c r="E294" s="11" t="str">
        <f aca="false">INDEX(Bases!$C$5:$C$83,$T294)</f>
        <v>Purification</v>
      </c>
      <c r="F294" s="10" t="str">
        <f aca="false">INDEX(Éléments!$A$5:$A$14,$U294)</f>
        <v>Terre</v>
      </c>
      <c r="G294" s="12" t="str">
        <f aca="false">IF(OR($F294="Neutre",$C294="Passif"),$E294,INDEX(Bases!$D$5:$D$83,$T294)&amp;" "&amp;INDEX(Éléments!$D$5:$D$14,$U294))</f>
        <v>Purification de pierre</v>
      </c>
      <c r="H294" s="10" t="str">
        <f aca="false">INDEX(Bases!$G$5:$G$83,$T294)</f>
        <v>Soi</v>
      </c>
      <c r="I294" s="13" t="n">
        <f aca="false">INDEX(Bases!$H$5:$H$83,$T294)</f>
        <v>2</v>
      </c>
      <c r="J294" s="10" t="str">
        <f aca="false">INDEX(Bases!$I$5:$I$83,$T294)</f>
        <v>Non</v>
      </c>
      <c r="K294" s="14" t="n">
        <f aca="false">INDEX(Bases!$J$5:$J$83,$T294)</f>
        <v>0</v>
      </c>
      <c r="L294" s="10" t="str">
        <f aca="false">INDEX(Bases!$K$5:$K$83,$T294)</f>
        <v>Magie</v>
      </c>
      <c r="M294" s="11" t="str">
        <f aca="false">INDEX(Bases!$L$5:$L$83,$T294)</f>
        <v>Retire toutes les altérations et soigne 8 % des PV max.</v>
      </c>
      <c r="N294" s="11" t="str">
        <f aca="false">IF($C294="Passif","—",IF($C294="Attaque (arme 1)",INDEX(Éléments!$F$5:$F$14,$U294),INDEX(Éléments!$G$5:$G$14,$U294)))</f>
        <v>+15 % d'Armure pendant la durée de l'effet.</v>
      </c>
      <c r="O294" s="10" t="str">
        <f aca="false">INDEX(Bases!$M$5:$M$83,$T294)</f>
        <v>Active</v>
      </c>
      <c r="P294" s="13" t="n">
        <f aca="false">INDEX(Bases!$N$5:$N$83,$T294)</f>
        <v>40</v>
      </c>
      <c r="Q294" s="15" t="n">
        <f aca="false">INDEX(Éléments!$C$5:$C$14,$U294)</f>
        <v>20</v>
      </c>
      <c r="R294" s="11" t="str">
        <f aca="false">"Niv. "&amp;$P294&amp;IF($Q294&gt;0," · étage "&amp;$Q294&amp;" terminé","")</f>
        <v>Niv. 40 · étage 20 terminé</v>
      </c>
      <c r="S294" s="14" t="n">
        <f aca="false">IF(ISNUMBER($I294),$K294*IF($H294="Zone",Paramètres!$B$8,1)/MAX(1,$I294),0)</f>
        <v>0</v>
      </c>
      <c r="T294" s="16" t="n">
        <v>37</v>
      </c>
      <c r="U294" s="16" t="n">
        <v>2</v>
      </c>
    </row>
    <row r="295" customFormat="false" ht="15" hidden="false" customHeight="true" outlineLevel="0" collapsed="false">
      <c r="A295" s="9" t="s">
        <v>364</v>
      </c>
      <c r="B295" s="10" t="str">
        <f aca="false">INDEX(Bases!$B$5:$B$83,$T295)</f>
        <v>Mage</v>
      </c>
      <c r="C295" s="10" t="str">
        <f aca="false">INDEX(Bases!$E$5:$E$83,$T295)</f>
        <v>Soutien (arme 2)</v>
      </c>
      <c r="D295" s="10" t="str">
        <f aca="false">INDEX(Bases!$F$5:$F$83,$T295)</f>
        <v>Soin</v>
      </c>
      <c r="E295" s="11" t="str">
        <f aca="false">INDEX(Bases!$C$5:$C$83,$T295)</f>
        <v>Purification</v>
      </c>
      <c r="F295" s="10" t="str">
        <f aca="false">INDEX(Éléments!$A$5:$A$14,$U295)</f>
        <v>Feu</v>
      </c>
      <c r="G295" s="12" t="str">
        <f aca="false">IF(OR($F295="Neutre",$C295="Passif"),$E295,INDEX(Bases!$D$5:$D$83,$T295)&amp;" "&amp;INDEX(Éléments!$D$5:$D$14,$U295))</f>
        <v>Purification de feu</v>
      </c>
      <c r="H295" s="10" t="str">
        <f aca="false">INDEX(Bases!$G$5:$G$83,$T295)</f>
        <v>Soi</v>
      </c>
      <c r="I295" s="13" t="n">
        <f aca="false">INDEX(Bases!$H$5:$H$83,$T295)</f>
        <v>2</v>
      </c>
      <c r="J295" s="10" t="str">
        <f aca="false">INDEX(Bases!$I$5:$I$83,$T295)</f>
        <v>Non</v>
      </c>
      <c r="K295" s="14" t="n">
        <f aca="false">INDEX(Bases!$J$5:$J$83,$T295)</f>
        <v>0</v>
      </c>
      <c r="L295" s="10" t="str">
        <f aca="false">INDEX(Bases!$K$5:$K$83,$T295)</f>
        <v>Magie</v>
      </c>
      <c r="M295" s="11" t="str">
        <f aca="false">INDEX(Bases!$L$5:$L$83,$T295)</f>
        <v>Retire toutes les altérations et soigne 8 % des PV max.</v>
      </c>
      <c r="N295" s="11" t="str">
        <f aca="false">IF($C295="Passif","—",IF($C295="Attaque (arme 1)",INDEX(Éléments!$F$5:$F$14,$U295),INDEX(Éléments!$G$5:$G$14,$U295)))</f>
        <v>Les ennemis qui frappent le lanceur ont 40 % de subir Brûlure (pendant la durée).</v>
      </c>
      <c r="O295" s="10" t="str">
        <f aca="false">INDEX(Bases!$M$5:$M$83,$T295)</f>
        <v>Active</v>
      </c>
      <c r="P295" s="13" t="n">
        <f aca="false">INDEX(Bases!$N$5:$N$83,$T295)</f>
        <v>40</v>
      </c>
      <c r="Q295" s="15" t="n">
        <f aca="false">INDEX(Éléments!$C$5:$C$14,$U295)</f>
        <v>30</v>
      </c>
      <c r="R295" s="11" t="str">
        <f aca="false">"Niv. "&amp;$P295&amp;IF($Q295&gt;0," · étage "&amp;$Q295&amp;" terminé","")</f>
        <v>Niv. 40 · étage 30 terminé</v>
      </c>
      <c r="S295" s="14" t="n">
        <f aca="false">IF(ISNUMBER($I295),$K295*IF($H295="Zone",Paramètres!$B$8,1)/MAX(1,$I295),0)</f>
        <v>0</v>
      </c>
      <c r="T295" s="16" t="n">
        <v>37</v>
      </c>
      <c r="U295" s="16" t="n">
        <v>3</v>
      </c>
    </row>
    <row r="296" customFormat="false" ht="15" hidden="false" customHeight="true" outlineLevel="0" collapsed="false">
      <c r="A296" s="9" t="s">
        <v>365</v>
      </c>
      <c r="B296" s="10" t="str">
        <f aca="false">INDEX(Bases!$B$5:$B$83,$T296)</f>
        <v>Mage</v>
      </c>
      <c r="C296" s="10" t="str">
        <f aca="false">INDEX(Bases!$E$5:$E$83,$T296)</f>
        <v>Soutien (arme 2)</v>
      </c>
      <c r="D296" s="10" t="str">
        <f aca="false">INDEX(Bases!$F$5:$F$83,$T296)</f>
        <v>Soin</v>
      </c>
      <c r="E296" s="11" t="str">
        <f aca="false">INDEX(Bases!$C$5:$C$83,$T296)</f>
        <v>Purification</v>
      </c>
      <c r="F296" s="10" t="str">
        <f aca="false">INDEX(Éléments!$A$5:$A$14,$U296)</f>
        <v>Vent</v>
      </c>
      <c r="G296" s="12" t="str">
        <f aca="false">IF(OR($F296="Neutre",$C296="Passif"),$E296,INDEX(Bases!$D$5:$D$83,$T296)&amp;" "&amp;INDEX(Éléments!$D$5:$D$14,$U296))</f>
        <v>Purification de vent</v>
      </c>
      <c r="H296" s="10" t="str">
        <f aca="false">INDEX(Bases!$G$5:$G$83,$T296)</f>
        <v>Soi</v>
      </c>
      <c r="I296" s="13" t="n">
        <f aca="false">INDEX(Bases!$H$5:$H$83,$T296)</f>
        <v>2</v>
      </c>
      <c r="J296" s="10" t="str">
        <f aca="false">INDEX(Bases!$I$5:$I$83,$T296)</f>
        <v>Non</v>
      </c>
      <c r="K296" s="14" t="n">
        <f aca="false">INDEX(Bases!$J$5:$J$83,$T296)</f>
        <v>0</v>
      </c>
      <c r="L296" s="10" t="str">
        <f aca="false">INDEX(Bases!$K$5:$K$83,$T296)</f>
        <v>Magie</v>
      </c>
      <c r="M296" s="11" t="str">
        <f aca="false">INDEX(Bases!$L$5:$L$83,$T296)</f>
        <v>Retire toutes les altérations et soigne 8 % des PV max.</v>
      </c>
      <c r="N296" s="11" t="str">
        <f aca="false">IF($C296="Passif","—",IF($C296="Attaque (arme 1)",INDEX(Éléments!$F$5:$F$14,$U296),INDEX(Éléments!$G$5:$G$14,$U296)))</f>
        <v>+10 % d'Agilité (esquive) pendant la durée de l'effet.</v>
      </c>
      <c r="O296" s="10" t="str">
        <f aca="false">INDEX(Bases!$M$5:$M$83,$T296)</f>
        <v>Active</v>
      </c>
      <c r="P296" s="13" t="n">
        <f aca="false">INDEX(Bases!$N$5:$N$83,$T296)</f>
        <v>40</v>
      </c>
      <c r="Q296" s="15" t="n">
        <f aca="false">INDEX(Éléments!$C$5:$C$14,$U296)</f>
        <v>40</v>
      </c>
      <c r="R296" s="11" t="str">
        <f aca="false">"Niv. "&amp;$P296&amp;IF($Q296&gt;0," · étage "&amp;$Q296&amp;" terminé","")</f>
        <v>Niv. 40 · étage 40 terminé</v>
      </c>
      <c r="S296" s="14" t="n">
        <f aca="false">IF(ISNUMBER($I296),$K296*IF($H296="Zone",Paramètres!$B$8,1)/MAX(1,$I296),0)</f>
        <v>0</v>
      </c>
      <c r="T296" s="16" t="n">
        <v>37</v>
      </c>
      <c r="U296" s="16" t="n">
        <v>4</v>
      </c>
    </row>
    <row r="297" customFormat="false" ht="15" hidden="false" customHeight="true" outlineLevel="0" collapsed="false">
      <c r="A297" s="9" t="s">
        <v>366</v>
      </c>
      <c r="B297" s="10" t="str">
        <f aca="false">INDEX(Bases!$B$5:$B$83,$T297)</f>
        <v>Mage</v>
      </c>
      <c r="C297" s="10" t="str">
        <f aca="false">INDEX(Bases!$E$5:$E$83,$T297)</f>
        <v>Soutien (arme 2)</v>
      </c>
      <c r="D297" s="10" t="str">
        <f aca="false">INDEX(Bases!$F$5:$F$83,$T297)</f>
        <v>Soin</v>
      </c>
      <c r="E297" s="11" t="str">
        <f aca="false">INDEX(Bases!$C$5:$C$83,$T297)</f>
        <v>Purification</v>
      </c>
      <c r="F297" s="10" t="str">
        <f aca="false">INDEX(Éléments!$A$5:$A$14,$U297)</f>
        <v>Acide</v>
      </c>
      <c r="G297" s="12" t="str">
        <f aca="false">IF(OR($F297="Neutre",$C297="Passif"),$E297,INDEX(Bases!$D$5:$D$83,$T297)&amp;" "&amp;INDEX(Éléments!$D$5:$D$14,$U297))</f>
        <v>Purification d'acide</v>
      </c>
      <c r="H297" s="10" t="str">
        <f aca="false">INDEX(Bases!$G$5:$G$83,$T297)</f>
        <v>Soi</v>
      </c>
      <c r="I297" s="13" t="n">
        <f aca="false">INDEX(Bases!$H$5:$H$83,$T297)</f>
        <v>2</v>
      </c>
      <c r="J297" s="10" t="str">
        <f aca="false">INDEX(Bases!$I$5:$I$83,$T297)</f>
        <v>Non</v>
      </c>
      <c r="K297" s="14" t="n">
        <f aca="false">INDEX(Bases!$J$5:$J$83,$T297)</f>
        <v>0</v>
      </c>
      <c r="L297" s="10" t="str">
        <f aca="false">INDEX(Bases!$K$5:$K$83,$T297)</f>
        <v>Magie</v>
      </c>
      <c r="M297" s="11" t="str">
        <f aca="false">INDEX(Bases!$L$5:$L$83,$T297)</f>
        <v>Retire toutes les altérations et soigne 8 % des PV max.</v>
      </c>
      <c r="N297" s="11" t="str">
        <f aca="false">IF($C297="Passif","—",IF($C297="Attaque (arme 1)",INDEX(Éléments!$F$5:$F$14,$U297),INDEX(Éléments!$G$5:$G$14,$U297)))</f>
        <v>Les ennemis qui frappent le lanceur prennent 1 pile de Corrosion (40 %).</v>
      </c>
      <c r="O297" s="10" t="str">
        <f aca="false">INDEX(Bases!$M$5:$M$83,$T297)</f>
        <v>Active</v>
      </c>
      <c r="P297" s="13" t="n">
        <f aca="false">INDEX(Bases!$N$5:$N$83,$T297)</f>
        <v>40</v>
      </c>
      <c r="Q297" s="15" t="n">
        <f aca="false">INDEX(Éléments!$C$5:$C$14,$U297)</f>
        <v>50</v>
      </c>
      <c r="R297" s="11" t="str">
        <f aca="false">"Niv. "&amp;$P297&amp;IF($Q297&gt;0," · étage "&amp;$Q297&amp;" terminé","")</f>
        <v>Niv. 40 · étage 50 terminé</v>
      </c>
      <c r="S297" s="14" t="n">
        <f aca="false">IF(ISNUMBER($I297),$K297*IF($H297="Zone",Paramètres!$B$8,1)/MAX(1,$I297),0)</f>
        <v>0</v>
      </c>
      <c r="T297" s="16" t="n">
        <v>37</v>
      </c>
      <c r="U297" s="16" t="n">
        <v>5</v>
      </c>
    </row>
    <row r="298" customFormat="false" ht="15" hidden="false" customHeight="true" outlineLevel="0" collapsed="false">
      <c r="A298" s="9" t="s">
        <v>367</v>
      </c>
      <c r="B298" s="10" t="str">
        <f aca="false">INDEX(Bases!$B$5:$B$83,$T298)</f>
        <v>Mage</v>
      </c>
      <c r="C298" s="10" t="str">
        <f aca="false">INDEX(Bases!$E$5:$E$83,$T298)</f>
        <v>Soutien (arme 2)</v>
      </c>
      <c r="D298" s="10" t="str">
        <f aca="false">INDEX(Bases!$F$5:$F$83,$T298)</f>
        <v>Soin</v>
      </c>
      <c r="E298" s="11" t="str">
        <f aca="false">INDEX(Bases!$C$5:$C$83,$T298)</f>
        <v>Purification</v>
      </c>
      <c r="F298" s="10" t="str">
        <f aca="false">INDEX(Éléments!$A$5:$A$14,$U298)</f>
        <v>Eau</v>
      </c>
      <c r="G298" s="12" t="str">
        <f aca="false">IF(OR($F298="Neutre",$C298="Passif"),$E298,INDEX(Bases!$D$5:$D$83,$T298)&amp;" "&amp;INDEX(Éléments!$D$5:$D$14,$U298))</f>
        <v>Purification d'eau</v>
      </c>
      <c r="H298" s="10" t="str">
        <f aca="false">INDEX(Bases!$G$5:$G$83,$T298)</f>
        <v>Soi</v>
      </c>
      <c r="I298" s="13" t="n">
        <f aca="false">INDEX(Bases!$H$5:$H$83,$T298)</f>
        <v>2</v>
      </c>
      <c r="J298" s="10" t="str">
        <f aca="false">INDEX(Bases!$I$5:$I$83,$T298)</f>
        <v>Non</v>
      </c>
      <c r="K298" s="14" t="n">
        <f aca="false">INDEX(Bases!$J$5:$J$83,$T298)</f>
        <v>0</v>
      </c>
      <c r="L298" s="10" t="str">
        <f aca="false">INDEX(Bases!$K$5:$K$83,$T298)</f>
        <v>Magie</v>
      </c>
      <c r="M298" s="11" t="str">
        <f aca="false">INDEX(Bases!$L$5:$L$83,$T298)</f>
        <v>Retire toutes les altérations et soigne 8 % des PV max.</v>
      </c>
      <c r="N298" s="11" t="str">
        <f aca="false">IF($C298="Passif","—",IF($C298="Attaque (arme 1)",INDEX(Éléments!$F$5:$F$14,$U298),INDEX(Éléments!$G$5:$G$14,$U298)))</f>
        <v>Soin supplémentaire de 4 % des PV max ; retire Brûlure du lanceur.</v>
      </c>
      <c r="O298" s="10" t="str">
        <f aca="false">INDEX(Bases!$M$5:$M$83,$T298)</f>
        <v>Active</v>
      </c>
      <c r="P298" s="13" t="n">
        <f aca="false">INDEX(Bases!$N$5:$N$83,$T298)</f>
        <v>40</v>
      </c>
      <c r="Q298" s="15" t="n">
        <f aca="false">INDEX(Éléments!$C$5:$C$14,$U298)</f>
        <v>60</v>
      </c>
      <c r="R298" s="11" t="str">
        <f aca="false">"Niv. "&amp;$P298&amp;IF($Q298&gt;0," · étage "&amp;$Q298&amp;" terminé","")</f>
        <v>Niv. 40 · étage 60 terminé</v>
      </c>
      <c r="S298" s="14" t="n">
        <f aca="false">IF(ISNUMBER($I298),$K298*IF($H298="Zone",Paramètres!$B$8,1)/MAX(1,$I298),0)</f>
        <v>0</v>
      </c>
      <c r="T298" s="16" t="n">
        <v>37</v>
      </c>
      <c r="U298" s="16" t="n">
        <v>6</v>
      </c>
    </row>
    <row r="299" customFormat="false" ht="15" hidden="false" customHeight="true" outlineLevel="0" collapsed="false">
      <c r="A299" s="9" t="s">
        <v>368</v>
      </c>
      <c r="B299" s="10" t="str">
        <f aca="false">INDEX(Bases!$B$5:$B$83,$T299)</f>
        <v>Mage</v>
      </c>
      <c r="C299" s="10" t="str">
        <f aca="false">INDEX(Bases!$E$5:$E$83,$T299)</f>
        <v>Soutien (arme 2)</v>
      </c>
      <c r="D299" s="10" t="str">
        <f aca="false">INDEX(Bases!$F$5:$F$83,$T299)</f>
        <v>Soin</v>
      </c>
      <c r="E299" s="11" t="str">
        <f aca="false">INDEX(Bases!$C$5:$C$83,$T299)</f>
        <v>Purification</v>
      </c>
      <c r="F299" s="10" t="str">
        <f aca="false">INDEX(Éléments!$A$5:$A$14,$U299)</f>
        <v>Glace</v>
      </c>
      <c r="G299" s="12" t="str">
        <f aca="false">IF(OR($F299="Neutre",$C299="Passif"),$E299,INDEX(Bases!$D$5:$D$83,$T299)&amp;" "&amp;INDEX(Éléments!$D$5:$D$14,$U299))</f>
        <v>Purification de glace</v>
      </c>
      <c r="H299" s="10" t="str">
        <f aca="false">INDEX(Bases!$G$5:$G$83,$T299)</f>
        <v>Soi</v>
      </c>
      <c r="I299" s="13" t="n">
        <f aca="false">INDEX(Bases!$H$5:$H$83,$T299)</f>
        <v>2</v>
      </c>
      <c r="J299" s="10" t="str">
        <f aca="false">INDEX(Bases!$I$5:$I$83,$T299)</f>
        <v>Non</v>
      </c>
      <c r="K299" s="14" t="n">
        <f aca="false">INDEX(Bases!$J$5:$J$83,$T299)</f>
        <v>0</v>
      </c>
      <c r="L299" s="10" t="str">
        <f aca="false">INDEX(Bases!$K$5:$K$83,$T299)</f>
        <v>Magie</v>
      </c>
      <c r="M299" s="11" t="str">
        <f aca="false">INDEX(Bases!$L$5:$L$83,$T299)</f>
        <v>Retire toutes les altérations et soigne 8 % des PV max.</v>
      </c>
      <c r="N299" s="11" t="str">
        <f aca="false">IF($C299="Passif","—",IF($C299="Attaque (arme 1)",INDEX(Éléments!$F$5:$F$14,$U299),INDEX(Éléments!$G$5:$G$14,$U299)))</f>
        <v>Les ennemis qui frappent le lanceur prennent 1 pile de Froid (40 %).</v>
      </c>
      <c r="O299" s="10" t="str">
        <f aca="false">INDEX(Bases!$M$5:$M$83,$T299)</f>
        <v>Active</v>
      </c>
      <c r="P299" s="13" t="n">
        <f aca="false">INDEX(Bases!$N$5:$N$83,$T299)</f>
        <v>40</v>
      </c>
      <c r="Q299" s="15" t="n">
        <f aca="false">INDEX(Éléments!$C$5:$C$14,$U299)</f>
        <v>70</v>
      </c>
      <c r="R299" s="11" t="str">
        <f aca="false">"Niv. "&amp;$P299&amp;IF($Q299&gt;0," · étage "&amp;$Q299&amp;" terminé","")</f>
        <v>Niv. 40 · étage 70 terminé</v>
      </c>
      <c r="S299" s="14" t="n">
        <f aca="false">IF(ISNUMBER($I299),$K299*IF($H299="Zone",Paramètres!$B$8,1)/MAX(1,$I299),0)</f>
        <v>0</v>
      </c>
      <c r="T299" s="16" t="n">
        <v>37</v>
      </c>
      <c r="U299" s="16" t="n">
        <v>7</v>
      </c>
    </row>
    <row r="300" customFormat="false" ht="15" hidden="false" customHeight="true" outlineLevel="0" collapsed="false">
      <c r="A300" s="9" t="s">
        <v>369</v>
      </c>
      <c r="B300" s="10" t="str">
        <f aca="false">INDEX(Bases!$B$5:$B$83,$T300)</f>
        <v>Mage</v>
      </c>
      <c r="C300" s="10" t="str">
        <f aca="false">INDEX(Bases!$E$5:$E$83,$T300)</f>
        <v>Soutien (arme 2)</v>
      </c>
      <c r="D300" s="10" t="str">
        <f aca="false">INDEX(Bases!$F$5:$F$83,$T300)</f>
        <v>Soin</v>
      </c>
      <c r="E300" s="11" t="str">
        <f aca="false">INDEX(Bases!$C$5:$C$83,$T300)</f>
        <v>Purification</v>
      </c>
      <c r="F300" s="10" t="str">
        <f aca="false">INDEX(Éléments!$A$5:$A$14,$U300)</f>
        <v>Électricité</v>
      </c>
      <c r="G300" s="12" t="str">
        <f aca="false">IF(OR($F300="Neutre",$C300="Passif"),$E300,INDEX(Bases!$D$5:$D$83,$T300)&amp;" "&amp;INDEX(Éléments!$D$5:$D$14,$U300))</f>
        <v>Purification de foudre</v>
      </c>
      <c r="H300" s="10" t="str">
        <f aca="false">INDEX(Bases!$G$5:$G$83,$T300)</f>
        <v>Soi</v>
      </c>
      <c r="I300" s="13" t="n">
        <f aca="false">INDEX(Bases!$H$5:$H$83,$T300)</f>
        <v>2</v>
      </c>
      <c r="J300" s="10" t="str">
        <f aca="false">INDEX(Bases!$I$5:$I$83,$T300)</f>
        <v>Non</v>
      </c>
      <c r="K300" s="14" t="n">
        <f aca="false">INDEX(Bases!$J$5:$J$83,$T300)</f>
        <v>0</v>
      </c>
      <c r="L300" s="10" t="str">
        <f aca="false">INDEX(Bases!$K$5:$K$83,$T300)</f>
        <v>Magie</v>
      </c>
      <c r="M300" s="11" t="str">
        <f aca="false">INDEX(Bases!$L$5:$L$83,$T300)</f>
        <v>Retire toutes les altérations et soigne 8 % des PV max.</v>
      </c>
      <c r="N300" s="11" t="str">
        <f aca="false">IF($C300="Passif","—",IF($C300="Attaque (arme 1)",INDEX(Éléments!$F$5:$F$14,$U300),INDEX(Éléments!$G$5:$G$14,$U300)))</f>
        <v>La prochaine attaque du lanceur inflige +15 % de dégâts.</v>
      </c>
      <c r="O300" s="10" t="str">
        <f aca="false">INDEX(Bases!$M$5:$M$83,$T300)</f>
        <v>Active</v>
      </c>
      <c r="P300" s="13" t="n">
        <f aca="false">INDEX(Bases!$N$5:$N$83,$T300)</f>
        <v>40</v>
      </c>
      <c r="Q300" s="15" t="n">
        <f aca="false">INDEX(Éléments!$C$5:$C$14,$U300)</f>
        <v>80</v>
      </c>
      <c r="R300" s="11" t="str">
        <f aca="false">"Niv. "&amp;$P300&amp;IF($Q300&gt;0," · étage "&amp;$Q300&amp;" terminé","")</f>
        <v>Niv. 40 · étage 80 terminé</v>
      </c>
      <c r="S300" s="14" t="n">
        <f aca="false">IF(ISNUMBER($I300),$K300*IF($H300="Zone",Paramètres!$B$8,1)/MAX(1,$I300),0)</f>
        <v>0</v>
      </c>
      <c r="T300" s="16" t="n">
        <v>37</v>
      </c>
      <c r="U300" s="16" t="n">
        <v>8</v>
      </c>
    </row>
    <row r="301" customFormat="false" ht="15" hidden="false" customHeight="true" outlineLevel="0" collapsed="false">
      <c r="A301" s="9" t="s">
        <v>370</v>
      </c>
      <c r="B301" s="10" t="str">
        <f aca="false">INDEX(Bases!$B$5:$B$83,$T301)</f>
        <v>Mage</v>
      </c>
      <c r="C301" s="10" t="str">
        <f aca="false">INDEX(Bases!$E$5:$E$83,$T301)</f>
        <v>Soutien (arme 2)</v>
      </c>
      <c r="D301" s="10" t="str">
        <f aca="false">INDEX(Bases!$F$5:$F$83,$T301)</f>
        <v>Soin</v>
      </c>
      <c r="E301" s="11" t="str">
        <f aca="false">INDEX(Bases!$C$5:$C$83,$T301)</f>
        <v>Purification</v>
      </c>
      <c r="F301" s="10" t="str">
        <f aca="false">INDEX(Éléments!$A$5:$A$14,$U301)</f>
        <v>Lumière</v>
      </c>
      <c r="G301" s="12" t="str">
        <f aca="false">IF(OR($F301="Neutre",$C301="Passif"),$E301,INDEX(Bases!$D$5:$D$83,$T301)&amp;" "&amp;INDEX(Éléments!$D$5:$D$14,$U301))</f>
        <v>Purification de lumière</v>
      </c>
      <c r="H301" s="10" t="str">
        <f aca="false">INDEX(Bases!$G$5:$G$83,$T301)</f>
        <v>Soi</v>
      </c>
      <c r="I301" s="13" t="n">
        <f aca="false">INDEX(Bases!$H$5:$H$83,$T301)</f>
        <v>2</v>
      </c>
      <c r="J301" s="10" t="str">
        <f aca="false">INDEX(Bases!$I$5:$I$83,$T301)</f>
        <v>Non</v>
      </c>
      <c r="K301" s="14" t="n">
        <f aca="false">INDEX(Bases!$J$5:$J$83,$T301)</f>
        <v>0</v>
      </c>
      <c r="L301" s="10" t="str">
        <f aca="false">INDEX(Bases!$K$5:$K$83,$T301)</f>
        <v>Magie</v>
      </c>
      <c r="M301" s="11" t="str">
        <f aca="false">INDEX(Bases!$L$5:$L$83,$T301)</f>
        <v>Retire toutes les altérations et soigne 8 % des PV max.</v>
      </c>
      <c r="N301" s="11" t="str">
        <f aca="false">IF($C301="Passif","—",IF($C301="Attaque (arme 1)",INDEX(Éléments!$F$5:$F$14,$U301),INDEX(Éléments!$G$5:$G$14,$U301)))</f>
        <v>+20 % sur les soins et boucliers de la compétence.</v>
      </c>
      <c r="O301" s="10" t="str">
        <f aca="false">INDEX(Bases!$M$5:$M$83,$T301)</f>
        <v>Active</v>
      </c>
      <c r="P301" s="13" t="n">
        <f aca="false">INDEX(Bases!$N$5:$N$83,$T301)</f>
        <v>40</v>
      </c>
      <c r="Q301" s="15" t="n">
        <f aca="false">INDEX(Éléments!$C$5:$C$14,$U301)</f>
        <v>90</v>
      </c>
      <c r="R301" s="11" t="str">
        <f aca="false">"Niv. "&amp;$P301&amp;IF($Q301&gt;0," · étage "&amp;$Q301&amp;" terminé","")</f>
        <v>Niv. 40 · étage 90 terminé</v>
      </c>
      <c r="S301" s="14" t="n">
        <f aca="false">IF(ISNUMBER($I301),$K301*IF($H301="Zone",Paramètres!$B$8,1)/MAX(1,$I301),0)</f>
        <v>0</v>
      </c>
      <c r="T301" s="16" t="n">
        <v>37</v>
      </c>
      <c r="U301" s="16" t="n">
        <v>9</v>
      </c>
    </row>
    <row r="302" customFormat="false" ht="15" hidden="false" customHeight="true" outlineLevel="0" collapsed="false">
      <c r="A302" s="9" t="s">
        <v>371</v>
      </c>
      <c r="B302" s="10" t="str">
        <f aca="false">INDEX(Bases!$B$5:$B$83,$T302)</f>
        <v>Mage</v>
      </c>
      <c r="C302" s="10" t="str">
        <f aca="false">INDEX(Bases!$E$5:$E$83,$T302)</f>
        <v>Soutien (arme 2)</v>
      </c>
      <c r="D302" s="10" t="str">
        <f aca="false">INDEX(Bases!$F$5:$F$83,$T302)</f>
        <v>Soin</v>
      </c>
      <c r="E302" s="11" t="str">
        <f aca="false">INDEX(Bases!$C$5:$C$83,$T302)</f>
        <v>Purification</v>
      </c>
      <c r="F302" s="10" t="str">
        <f aca="false">INDEX(Éléments!$A$5:$A$14,$U302)</f>
        <v>Ombre</v>
      </c>
      <c r="G302" s="12" t="str">
        <f aca="false">IF(OR($F302="Neutre",$C302="Passif"),$E302,INDEX(Bases!$D$5:$D$83,$T302)&amp;" "&amp;INDEX(Éléments!$D$5:$D$14,$U302))</f>
        <v>Purification d'ombre</v>
      </c>
      <c r="H302" s="10" t="str">
        <f aca="false">INDEX(Bases!$G$5:$G$83,$T302)</f>
        <v>Soi</v>
      </c>
      <c r="I302" s="13" t="n">
        <f aca="false">INDEX(Bases!$H$5:$H$83,$T302)</f>
        <v>2</v>
      </c>
      <c r="J302" s="10" t="str">
        <f aca="false">INDEX(Bases!$I$5:$I$83,$T302)</f>
        <v>Non</v>
      </c>
      <c r="K302" s="14" t="n">
        <f aca="false">INDEX(Bases!$J$5:$J$83,$T302)</f>
        <v>0</v>
      </c>
      <c r="L302" s="10" t="str">
        <f aca="false">INDEX(Bases!$K$5:$K$83,$T302)</f>
        <v>Magie</v>
      </c>
      <c r="M302" s="11" t="str">
        <f aca="false">INDEX(Bases!$L$5:$L$83,$T302)</f>
        <v>Retire toutes les altérations et soigne 8 % des PV max.</v>
      </c>
      <c r="N302" s="11" t="str">
        <f aca="false">IF($C302="Passif","—",IF($C302="Attaque (arme 1)",INDEX(Éléments!$F$5:$F$14,$U302),INDEX(Éléments!$G$5:$G$14,$U302)))</f>
        <v>Les ennemis qui frappent le lanceur subissent Corruption (25 %).</v>
      </c>
      <c r="O302" s="10" t="str">
        <f aca="false">INDEX(Bases!$M$5:$M$83,$T302)</f>
        <v>Active</v>
      </c>
      <c r="P302" s="13" t="n">
        <f aca="false">INDEX(Bases!$N$5:$N$83,$T302)</f>
        <v>40</v>
      </c>
      <c r="Q302" s="15" t="n">
        <f aca="false">INDEX(Éléments!$C$5:$C$14,$U302)</f>
        <v>100</v>
      </c>
      <c r="R302" s="11" t="str">
        <f aca="false">"Niv. "&amp;$P302&amp;IF($Q302&gt;0," · étage "&amp;$Q302&amp;" terminé","")</f>
        <v>Niv. 40 · étage 100 terminé</v>
      </c>
      <c r="S302" s="14" t="n">
        <f aca="false">IF(ISNUMBER($I302),$K302*IF($H302="Zone",Paramètres!$B$8,1)/MAX(1,$I302),0)</f>
        <v>0</v>
      </c>
      <c r="T302" s="16" t="n">
        <v>37</v>
      </c>
      <c r="U302" s="16" t="n">
        <v>10</v>
      </c>
    </row>
    <row r="303" customFormat="false" ht="15" hidden="false" customHeight="true" outlineLevel="0" collapsed="false">
      <c r="A303" s="9" t="s">
        <v>372</v>
      </c>
      <c r="B303" s="10" t="str">
        <f aca="false">INDEX(Bases!$B$5:$B$83,$T303)</f>
        <v>Mage</v>
      </c>
      <c r="C303" s="10" t="str">
        <f aca="false">INDEX(Bases!$E$5:$E$83,$T303)</f>
        <v>Soutien (arme 2)</v>
      </c>
      <c r="D303" s="10" t="str">
        <f aca="false">INDEX(Bases!$F$5:$F$83,$T303)</f>
        <v>Soin</v>
      </c>
      <c r="E303" s="11" t="str">
        <f aca="false">INDEX(Bases!$C$5:$C$83,$T303)</f>
        <v>Sanctuaire</v>
      </c>
      <c r="F303" s="10" t="str">
        <f aca="false">INDEX(Éléments!$A$5:$A$14,$U303)</f>
        <v>Neutre</v>
      </c>
      <c r="G303" s="12" t="str">
        <f aca="false">IF(OR($F303="Neutre",$C303="Passif"),$E303,INDEX(Bases!$D$5:$D$83,$T303)&amp;" "&amp;INDEX(Éléments!$D$5:$D$14,$U303))</f>
        <v>Sanctuaire</v>
      </c>
      <c r="H303" s="10" t="str">
        <f aca="false">INDEX(Bases!$G$5:$G$83,$T303)</f>
        <v>Soi</v>
      </c>
      <c r="I303" s="13" t="n">
        <f aca="false">INDEX(Bases!$H$5:$H$83,$T303)</f>
        <v>3</v>
      </c>
      <c r="J303" s="10" t="str">
        <f aca="false">INDEX(Bases!$I$5:$I$83,$T303)</f>
        <v>Oui</v>
      </c>
      <c r="K303" s="14" t="n">
        <f aca="false">INDEX(Bases!$J$5:$J$83,$T303)</f>
        <v>0</v>
      </c>
      <c r="L303" s="10" t="str">
        <f aca="false">INDEX(Bases!$K$5:$K$83,$T303)</f>
        <v>Magie</v>
      </c>
      <c r="M303" s="11" t="str">
        <f aca="false">INDEX(Bases!$L$5:$L$83,$T303)</f>
        <v>Soigne 30 % des PV max + bouclier de 15 % des PV max.</v>
      </c>
      <c r="N303" s="11" t="str">
        <f aca="false">IF($C303="Passif","—",IF($C303="Attaque (arme 1)",INDEX(Éléments!$F$5:$F$14,$U303),INDEX(Éléments!$G$5:$G$14,$U303)))</f>
        <v>Aucun bonus élémentaire : effet de base seul.</v>
      </c>
      <c r="O303" s="10" t="str">
        <f aca="false">INDEX(Bases!$M$5:$M$83,$T303)</f>
        <v>Active</v>
      </c>
      <c r="P303" s="13" t="n">
        <f aca="false">INDEX(Bases!$N$5:$N$83,$T303)</f>
        <v>50</v>
      </c>
      <c r="Q303" s="15" t="n">
        <f aca="false">INDEX(Éléments!$C$5:$C$14,$U303)</f>
        <v>0</v>
      </c>
      <c r="R303" s="11" t="str">
        <f aca="false">"Niv. "&amp;$P303&amp;IF($Q303&gt;0," · étage "&amp;$Q303&amp;" terminé","")</f>
        <v>Niv. 50</v>
      </c>
      <c r="S303" s="14" t="n">
        <f aca="false">IF(ISNUMBER($I303),$K303*IF($H303="Zone",Paramètres!$B$8,1)/MAX(1,$I303),0)</f>
        <v>0</v>
      </c>
      <c r="T303" s="16" t="n">
        <v>38</v>
      </c>
      <c r="U303" s="16" t="n">
        <v>1</v>
      </c>
    </row>
    <row r="304" customFormat="false" ht="15" hidden="false" customHeight="true" outlineLevel="0" collapsed="false">
      <c r="A304" s="9" t="s">
        <v>373</v>
      </c>
      <c r="B304" s="10" t="str">
        <f aca="false">INDEX(Bases!$B$5:$B$83,$T304)</f>
        <v>Mage</v>
      </c>
      <c r="C304" s="10" t="str">
        <f aca="false">INDEX(Bases!$E$5:$E$83,$T304)</f>
        <v>Soutien (arme 2)</v>
      </c>
      <c r="D304" s="10" t="str">
        <f aca="false">INDEX(Bases!$F$5:$F$83,$T304)</f>
        <v>Soin</v>
      </c>
      <c r="E304" s="11" t="str">
        <f aca="false">INDEX(Bases!$C$5:$C$83,$T304)</f>
        <v>Sanctuaire</v>
      </c>
      <c r="F304" s="10" t="str">
        <f aca="false">INDEX(Éléments!$A$5:$A$14,$U304)</f>
        <v>Terre</v>
      </c>
      <c r="G304" s="12" t="str">
        <f aca="false">IF(OR($F304="Neutre",$C304="Passif"),$E304,INDEX(Bases!$D$5:$D$83,$T304)&amp;" "&amp;INDEX(Éléments!$D$5:$D$14,$U304))</f>
        <v>Sanctuaire de pierre</v>
      </c>
      <c r="H304" s="10" t="str">
        <f aca="false">INDEX(Bases!$G$5:$G$83,$T304)</f>
        <v>Soi</v>
      </c>
      <c r="I304" s="13" t="n">
        <f aca="false">INDEX(Bases!$H$5:$H$83,$T304)</f>
        <v>3</v>
      </c>
      <c r="J304" s="10" t="str">
        <f aca="false">INDEX(Bases!$I$5:$I$83,$T304)</f>
        <v>Oui</v>
      </c>
      <c r="K304" s="14" t="n">
        <f aca="false">INDEX(Bases!$J$5:$J$83,$T304)</f>
        <v>0</v>
      </c>
      <c r="L304" s="10" t="str">
        <f aca="false">INDEX(Bases!$K$5:$K$83,$T304)</f>
        <v>Magie</v>
      </c>
      <c r="M304" s="11" t="str">
        <f aca="false">INDEX(Bases!$L$5:$L$83,$T304)</f>
        <v>Soigne 30 % des PV max + bouclier de 15 % des PV max.</v>
      </c>
      <c r="N304" s="11" t="str">
        <f aca="false">IF($C304="Passif","—",IF($C304="Attaque (arme 1)",INDEX(Éléments!$F$5:$F$14,$U304),INDEX(Éléments!$G$5:$G$14,$U304)))</f>
        <v>+15 % d'Armure pendant la durée de l'effet.</v>
      </c>
      <c r="O304" s="10" t="str">
        <f aca="false">INDEX(Bases!$M$5:$M$83,$T304)</f>
        <v>Active</v>
      </c>
      <c r="P304" s="13" t="n">
        <f aca="false">INDEX(Bases!$N$5:$N$83,$T304)</f>
        <v>50</v>
      </c>
      <c r="Q304" s="15" t="n">
        <f aca="false">INDEX(Éléments!$C$5:$C$14,$U304)</f>
        <v>20</v>
      </c>
      <c r="R304" s="11" t="str">
        <f aca="false">"Niv. "&amp;$P304&amp;IF($Q304&gt;0," · étage "&amp;$Q304&amp;" terminé","")</f>
        <v>Niv. 50 · étage 20 terminé</v>
      </c>
      <c r="S304" s="14" t="n">
        <f aca="false">IF(ISNUMBER($I304),$K304*IF($H304="Zone",Paramètres!$B$8,1)/MAX(1,$I304),0)</f>
        <v>0</v>
      </c>
      <c r="T304" s="16" t="n">
        <v>38</v>
      </c>
      <c r="U304" s="16" t="n">
        <v>2</v>
      </c>
    </row>
    <row r="305" customFormat="false" ht="15" hidden="false" customHeight="true" outlineLevel="0" collapsed="false">
      <c r="A305" s="9" t="s">
        <v>374</v>
      </c>
      <c r="B305" s="10" t="str">
        <f aca="false">INDEX(Bases!$B$5:$B$83,$T305)</f>
        <v>Mage</v>
      </c>
      <c r="C305" s="10" t="str">
        <f aca="false">INDEX(Bases!$E$5:$E$83,$T305)</f>
        <v>Soutien (arme 2)</v>
      </c>
      <c r="D305" s="10" t="str">
        <f aca="false">INDEX(Bases!$F$5:$F$83,$T305)</f>
        <v>Soin</v>
      </c>
      <c r="E305" s="11" t="str">
        <f aca="false">INDEX(Bases!$C$5:$C$83,$T305)</f>
        <v>Sanctuaire</v>
      </c>
      <c r="F305" s="10" t="str">
        <f aca="false">INDEX(Éléments!$A$5:$A$14,$U305)</f>
        <v>Feu</v>
      </c>
      <c r="G305" s="12" t="str">
        <f aca="false">IF(OR($F305="Neutre",$C305="Passif"),$E305,INDEX(Bases!$D$5:$D$83,$T305)&amp;" "&amp;INDEX(Éléments!$D$5:$D$14,$U305))</f>
        <v>Sanctuaire de feu</v>
      </c>
      <c r="H305" s="10" t="str">
        <f aca="false">INDEX(Bases!$G$5:$G$83,$T305)</f>
        <v>Soi</v>
      </c>
      <c r="I305" s="13" t="n">
        <f aca="false">INDEX(Bases!$H$5:$H$83,$T305)</f>
        <v>3</v>
      </c>
      <c r="J305" s="10" t="str">
        <f aca="false">INDEX(Bases!$I$5:$I$83,$T305)</f>
        <v>Oui</v>
      </c>
      <c r="K305" s="14" t="n">
        <f aca="false">INDEX(Bases!$J$5:$J$83,$T305)</f>
        <v>0</v>
      </c>
      <c r="L305" s="10" t="str">
        <f aca="false">INDEX(Bases!$K$5:$K$83,$T305)</f>
        <v>Magie</v>
      </c>
      <c r="M305" s="11" t="str">
        <f aca="false">INDEX(Bases!$L$5:$L$83,$T305)</f>
        <v>Soigne 30 % des PV max + bouclier de 15 % des PV max.</v>
      </c>
      <c r="N305" s="11" t="str">
        <f aca="false">IF($C305="Passif","—",IF($C305="Attaque (arme 1)",INDEX(Éléments!$F$5:$F$14,$U305),INDEX(Éléments!$G$5:$G$14,$U305)))</f>
        <v>Les ennemis qui frappent le lanceur ont 40 % de subir Brûlure (pendant la durée).</v>
      </c>
      <c r="O305" s="10" t="str">
        <f aca="false">INDEX(Bases!$M$5:$M$83,$T305)</f>
        <v>Active</v>
      </c>
      <c r="P305" s="13" t="n">
        <f aca="false">INDEX(Bases!$N$5:$N$83,$T305)</f>
        <v>50</v>
      </c>
      <c r="Q305" s="15" t="n">
        <f aca="false">INDEX(Éléments!$C$5:$C$14,$U305)</f>
        <v>30</v>
      </c>
      <c r="R305" s="11" t="str">
        <f aca="false">"Niv. "&amp;$P305&amp;IF($Q305&gt;0," · étage "&amp;$Q305&amp;" terminé","")</f>
        <v>Niv. 50 · étage 30 terminé</v>
      </c>
      <c r="S305" s="14" t="n">
        <f aca="false">IF(ISNUMBER($I305),$K305*IF($H305="Zone",Paramètres!$B$8,1)/MAX(1,$I305),0)</f>
        <v>0</v>
      </c>
      <c r="T305" s="16" t="n">
        <v>38</v>
      </c>
      <c r="U305" s="16" t="n">
        <v>3</v>
      </c>
    </row>
    <row r="306" customFormat="false" ht="15" hidden="false" customHeight="true" outlineLevel="0" collapsed="false">
      <c r="A306" s="9" t="s">
        <v>375</v>
      </c>
      <c r="B306" s="10" t="str">
        <f aca="false">INDEX(Bases!$B$5:$B$83,$T306)</f>
        <v>Mage</v>
      </c>
      <c r="C306" s="10" t="str">
        <f aca="false">INDEX(Bases!$E$5:$E$83,$T306)</f>
        <v>Soutien (arme 2)</v>
      </c>
      <c r="D306" s="10" t="str">
        <f aca="false">INDEX(Bases!$F$5:$F$83,$T306)</f>
        <v>Soin</v>
      </c>
      <c r="E306" s="11" t="str">
        <f aca="false">INDEX(Bases!$C$5:$C$83,$T306)</f>
        <v>Sanctuaire</v>
      </c>
      <c r="F306" s="10" t="str">
        <f aca="false">INDEX(Éléments!$A$5:$A$14,$U306)</f>
        <v>Vent</v>
      </c>
      <c r="G306" s="12" t="str">
        <f aca="false">IF(OR($F306="Neutre",$C306="Passif"),$E306,INDEX(Bases!$D$5:$D$83,$T306)&amp;" "&amp;INDEX(Éléments!$D$5:$D$14,$U306))</f>
        <v>Sanctuaire de vent</v>
      </c>
      <c r="H306" s="10" t="str">
        <f aca="false">INDEX(Bases!$G$5:$G$83,$T306)</f>
        <v>Soi</v>
      </c>
      <c r="I306" s="13" t="n">
        <f aca="false">INDEX(Bases!$H$5:$H$83,$T306)</f>
        <v>3</v>
      </c>
      <c r="J306" s="10" t="str">
        <f aca="false">INDEX(Bases!$I$5:$I$83,$T306)</f>
        <v>Oui</v>
      </c>
      <c r="K306" s="14" t="n">
        <f aca="false">INDEX(Bases!$J$5:$J$83,$T306)</f>
        <v>0</v>
      </c>
      <c r="L306" s="10" t="str">
        <f aca="false">INDEX(Bases!$K$5:$K$83,$T306)</f>
        <v>Magie</v>
      </c>
      <c r="M306" s="11" t="str">
        <f aca="false">INDEX(Bases!$L$5:$L$83,$T306)</f>
        <v>Soigne 30 % des PV max + bouclier de 15 % des PV max.</v>
      </c>
      <c r="N306" s="11" t="str">
        <f aca="false">IF($C306="Passif","—",IF($C306="Attaque (arme 1)",INDEX(Éléments!$F$5:$F$14,$U306),INDEX(Éléments!$G$5:$G$14,$U306)))</f>
        <v>+10 % d'Agilité (esquive) pendant la durée de l'effet.</v>
      </c>
      <c r="O306" s="10" t="str">
        <f aca="false">INDEX(Bases!$M$5:$M$83,$T306)</f>
        <v>Active</v>
      </c>
      <c r="P306" s="13" t="n">
        <f aca="false">INDEX(Bases!$N$5:$N$83,$T306)</f>
        <v>50</v>
      </c>
      <c r="Q306" s="15" t="n">
        <f aca="false">INDEX(Éléments!$C$5:$C$14,$U306)</f>
        <v>40</v>
      </c>
      <c r="R306" s="11" t="str">
        <f aca="false">"Niv. "&amp;$P306&amp;IF($Q306&gt;0," · étage "&amp;$Q306&amp;" terminé","")</f>
        <v>Niv. 50 · étage 40 terminé</v>
      </c>
      <c r="S306" s="14" t="n">
        <f aca="false">IF(ISNUMBER($I306),$K306*IF($H306="Zone",Paramètres!$B$8,1)/MAX(1,$I306),0)</f>
        <v>0</v>
      </c>
      <c r="T306" s="16" t="n">
        <v>38</v>
      </c>
      <c r="U306" s="16" t="n">
        <v>4</v>
      </c>
    </row>
    <row r="307" customFormat="false" ht="15" hidden="false" customHeight="true" outlineLevel="0" collapsed="false">
      <c r="A307" s="9" t="s">
        <v>376</v>
      </c>
      <c r="B307" s="10" t="str">
        <f aca="false">INDEX(Bases!$B$5:$B$83,$T307)</f>
        <v>Mage</v>
      </c>
      <c r="C307" s="10" t="str">
        <f aca="false">INDEX(Bases!$E$5:$E$83,$T307)</f>
        <v>Soutien (arme 2)</v>
      </c>
      <c r="D307" s="10" t="str">
        <f aca="false">INDEX(Bases!$F$5:$F$83,$T307)</f>
        <v>Soin</v>
      </c>
      <c r="E307" s="11" t="str">
        <f aca="false">INDEX(Bases!$C$5:$C$83,$T307)</f>
        <v>Sanctuaire</v>
      </c>
      <c r="F307" s="10" t="str">
        <f aca="false">INDEX(Éléments!$A$5:$A$14,$U307)</f>
        <v>Acide</v>
      </c>
      <c r="G307" s="12" t="str">
        <f aca="false">IF(OR($F307="Neutre",$C307="Passif"),$E307,INDEX(Bases!$D$5:$D$83,$T307)&amp;" "&amp;INDEX(Éléments!$D$5:$D$14,$U307))</f>
        <v>Sanctuaire d'acide</v>
      </c>
      <c r="H307" s="10" t="str">
        <f aca="false">INDEX(Bases!$G$5:$G$83,$T307)</f>
        <v>Soi</v>
      </c>
      <c r="I307" s="13" t="n">
        <f aca="false">INDEX(Bases!$H$5:$H$83,$T307)</f>
        <v>3</v>
      </c>
      <c r="J307" s="10" t="str">
        <f aca="false">INDEX(Bases!$I$5:$I$83,$T307)</f>
        <v>Oui</v>
      </c>
      <c r="K307" s="14" t="n">
        <f aca="false">INDEX(Bases!$J$5:$J$83,$T307)</f>
        <v>0</v>
      </c>
      <c r="L307" s="10" t="str">
        <f aca="false">INDEX(Bases!$K$5:$K$83,$T307)</f>
        <v>Magie</v>
      </c>
      <c r="M307" s="11" t="str">
        <f aca="false">INDEX(Bases!$L$5:$L$83,$T307)</f>
        <v>Soigne 30 % des PV max + bouclier de 15 % des PV max.</v>
      </c>
      <c r="N307" s="11" t="str">
        <f aca="false">IF($C307="Passif","—",IF($C307="Attaque (arme 1)",INDEX(Éléments!$F$5:$F$14,$U307),INDEX(Éléments!$G$5:$G$14,$U307)))</f>
        <v>Les ennemis qui frappent le lanceur prennent 1 pile de Corrosion (40 %).</v>
      </c>
      <c r="O307" s="10" t="str">
        <f aca="false">INDEX(Bases!$M$5:$M$83,$T307)</f>
        <v>Active</v>
      </c>
      <c r="P307" s="13" t="n">
        <f aca="false">INDEX(Bases!$N$5:$N$83,$T307)</f>
        <v>50</v>
      </c>
      <c r="Q307" s="15" t="n">
        <f aca="false">INDEX(Éléments!$C$5:$C$14,$U307)</f>
        <v>50</v>
      </c>
      <c r="R307" s="11" t="str">
        <f aca="false">"Niv. "&amp;$P307&amp;IF($Q307&gt;0," · étage "&amp;$Q307&amp;" terminé","")</f>
        <v>Niv. 50 · étage 50 terminé</v>
      </c>
      <c r="S307" s="14" t="n">
        <f aca="false">IF(ISNUMBER($I307),$K307*IF($H307="Zone",Paramètres!$B$8,1)/MAX(1,$I307),0)</f>
        <v>0</v>
      </c>
      <c r="T307" s="16" t="n">
        <v>38</v>
      </c>
      <c r="U307" s="16" t="n">
        <v>5</v>
      </c>
    </row>
    <row r="308" customFormat="false" ht="15" hidden="false" customHeight="true" outlineLevel="0" collapsed="false">
      <c r="A308" s="9" t="s">
        <v>377</v>
      </c>
      <c r="B308" s="10" t="str">
        <f aca="false">INDEX(Bases!$B$5:$B$83,$T308)</f>
        <v>Mage</v>
      </c>
      <c r="C308" s="10" t="str">
        <f aca="false">INDEX(Bases!$E$5:$E$83,$T308)</f>
        <v>Soutien (arme 2)</v>
      </c>
      <c r="D308" s="10" t="str">
        <f aca="false">INDEX(Bases!$F$5:$F$83,$T308)</f>
        <v>Soin</v>
      </c>
      <c r="E308" s="11" t="str">
        <f aca="false">INDEX(Bases!$C$5:$C$83,$T308)</f>
        <v>Sanctuaire</v>
      </c>
      <c r="F308" s="10" t="str">
        <f aca="false">INDEX(Éléments!$A$5:$A$14,$U308)</f>
        <v>Eau</v>
      </c>
      <c r="G308" s="12" t="str">
        <f aca="false">IF(OR($F308="Neutre",$C308="Passif"),$E308,INDEX(Bases!$D$5:$D$83,$T308)&amp;" "&amp;INDEX(Éléments!$D$5:$D$14,$U308))</f>
        <v>Sanctuaire d'eau</v>
      </c>
      <c r="H308" s="10" t="str">
        <f aca="false">INDEX(Bases!$G$5:$G$83,$T308)</f>
        <v>Soi</v>
      </c>
      <c r="I308" s="13" t="n">
        <f aca="false">INDEX(Bases!$H$5:$H$83,$T308)</f>
        <v>3</v>
      </c>
      <c r="J308" s="10" t="str">
        <f aca="false">INDEX(Bases!$I$5:$I$83,$T308)</f>
        <v>Oui</v>
      </c>
      <c r="K308" s="14" t="n">
        <f aca="false">INDEX(Bases!$J$5:$J$83,$T308)</f>
        <v>0</v>
      </c>
      <c r="L308" s="10" t="str">
        <f aca="false">INDEX(Bases!$K$5:$K$83,$T308)</f>
        <v>Magie</v>
      </c>
      <c r="M308" s="11" t="str">
        <f aca="false">INDEX(Bases!$L$5:$L$83,$T308)</f>
        <v>Soigne 30 % des PV max + bouclier de 15 % des PV max.</v>
      </c>
      <c r="N308" s="11" t="str">
        <f aca="false">IF($C308="Passif","—",IF($C308="Attaque (arme 1)",INDEX(Éléments!$F$5:$F$14,$U308),INDEX(Éléments!$G$5:$G$14,$U308)))</f>
        <v>Soin supplémentaire de 4 % des PV max ; retire Brûlure du lanceur.</v>
      </c>
      <c r="O308" s="10" t="str">
        <f aca="false">INDEX(Bases!$M$5:$M$83,$T308)</f>
        <v>Active</v>
      </c>
      <c r="P308" s="13" t="n">
        <f aca="false">INDEX(Bases!$N$5:$N$83,$T308)</f>
        <v>50</v>
      </c>
      <c r="Q308" s="15" t="n">
        <f aca="false">INDEX(Éléments!$C$5:$C$14,$U308)</f>
        <v>60</v>
      </c>
      <c r="R308" s="11" t="str">
        <f aca="false">"Niv. "&amp;$P308&amp;IF($Q308&gt;0," · étage "&amp;$Q308&amp;" terminé","")</f>
        <v>Niv. 50 · étage 60 terminé</v>
      </c>
      <c r="S308" s="14" t="n">
        <f aca="false">IF(ISNUMBER($I308),$K308*IF($H308="Zone",Paramètres!$B$8,1)/MAX(1,$I308),0)</f>
        <v>0</v>
      </c>
      <c r="T308" s="16" t="n">
        <v>38</v>
      </c>
      <c r="U308" s="16" t="n">
        <v>6</v>
      </c>
    </row>
    <row r="309" customFormat="false" ht="15" hidden="false" customHeight="true" outlineLevel="0" collapsed="false">
      <c r="A309" s="9" t="s">
        <v>378</v>
      </c>
      <c r="B309" s="10" t="str">
        <f aca="false">INDEX(Bases!$B$5:$B$83,$T309)</f>
        <v>Mage</v>
      </c>
      <c r="C309" s="10" t="str">
        <f aca="false">INDEX(Bases!$E$5:$E$83,$T309)</f>
        <v>Soutien (arme 2)</v>
      </c>
      <c r="D309" s="10" t="str">
        <f aca="false">INDEX(Bases!$F$5:$F$83,$T309)</f>
        <v>Soin</v>
      </c>
      <c r="E309" s="11" t="str">
        <f aca="false">INDEX(Bases!$C$5:$C$83,$T309)</f>
        <v>Sanctuaire</v>
      </c>
      <c r="F309" s="10" t="str">
        <f aca="false">INDEX(Éléments!$A$5:$A$14,$U309)</f>
        <v>Glace</v>
      </c>
      <c r="G309" s="12" t="str">
        <f aca="false">IF(OR($F309="Neutre",$C309="Passif"),$E309,INDEX(Bases!$D$5:$D$83,$T309)&amp;" "&amp;INDEX(Éléments!$D$5:$D$14,$U309))</f>
        <v>Sanctuaire de glace</v>
      </c>
      <c r="H309" s="10" t="str">
        <f aca="false">INDEX(Bases!$G$5:$G$83,$T309)</f>
        <v>Soi</v>
      </c>
      <c r="I309" s="13" t="n">
        <f aca="false">INDEX(Bases!$H$5:$H$83,$T309)</f>
        <v>3</v>
      </c>
      <c r="J309" s="10" t="str">
        <f aca="false">INDEX(Bases!$I$5:$I$83,$T309)</f>
        <v>Oui</v>
      </c>
      <c r="K309" s="14" t="n">
        <f aca="false">INDEX(Bases!$J$5:$J$83,$T309)</f>
        <v>0</v>
      </c>
      <c r="L309" s="10" t="str">
        <f aca="false">INDEX(Bases!$K$5:$K$83,$T309)</f>
        <v>Magie</v>
      </c>
      <c r="M309" s="11" t="str">
        <f aca="false">INDEX(Bases!$L$5:$L$83,$T309)</f>
        <v>Soigne 30 % des PV max + bouclier de 15 % des PV max.</v>
      </c>
      <c r="N309" s="11" t="str">
        <f aca="false">IF($C309="Passif","—",IF($C309="Attaque (arme 1)",INDEX(Éléments!$F$5:$F$14,$U309),INDEX(Éléments!$G$5:$G$14,$U309)))</f>
        <v>Les ennemis qui frappent le lanceur prennent 1 pile de Froid (40 %).</v>
      </c>
      <c r="O309" s="10" t="str">
        <f aca="false">INDEX(Bases!$M$5:$M$83,$T309)</f>
        <v>Active</v>
      </c>
      <c r="P309" s="13" t="n">
        <f aca="false">INDEX(Bases!$N$5:$N$83,$T309)</f>
        <v>50</v>
      </c>
      <c r="Q309" s="15" t="n">
        <f aca="false">INDEX(Éléments!$C$5:$C$14,$U309)</f>
        <v>70</v>
      </c>
      <c r="R309" s="11" t="str">
        <f aca="false">"Niv. "&amp;$P309&amp;IF($Q309&gt;0," · étage "&amp;$Q309&amp;" terminé","")</f>
        <v>Niv. 50 · étage 70 terminé</v>
      </c>
      <c r="S309" s="14" t="n">
        <f aca="false">IF(ISNUMBER($I309),$K309*IF($H309="Zone",Paramètres!$B$8,1)/MAX(1,$I309),0)</f>
        <v>0</v>
      </c>
      <c r="T309" s="16" t="n">
        <v>38</v>
      </c>
      <c r="U309" s="16" t="n">
        <v>7</v>
      </c>
    </row>
    <row r="310" customFormat="false" ht="15" hidden="false" customHeight="true" outlineLevel="0" collapsed="false">
      <c r="A310" s="9" t="s">
        <v>379</v>
      </c>
      <c r="B310" s="10" t="str">
        <f aca="false">INDEX(Bases!$B$5:$B$83,$T310)</f>
        <v>Mage</v>
      </c>
      <c r="C310" s="10" t="str">
        <f aca="false">INDEX(Bases!$E$5:$E$83,$T310)</f>
        <v>Soutien (arme 2)</v>
      </c>
      <c r="D310" s="10" t="str">
        <f aca="false">INDEX(Bases!$F$5:$F$83,$T310)</f>
        <v>Soin</v>
      </c>
      <c r="E310" s="11" t="str">
        <f aca="false">INDEX(Bases!$C$5:$C$83,$T310)</f>
        <v>Sanctuaire</v>
      </c>
      <c r="F310" s="10" t="str">
        <f aca="false">INDEX(Éléments!$A$5:$A$14,$U310)</f>
        <v>Électricité</v>
      </c>
      <c r="G310" s="12" t="str">
        <f aca="false">IF(OR($F310="Neutre",$C310="Passif"),$E310,INDEX(Bases!$D$5:$D$83,$T310)&amp;" "&amp;INDEX(Éléments!$D$5:$D$14,$U310))</f>
        <v>Sanctuaire de foudre</v>
      </c>
      <c r="H310" s="10" t="str">
        <f aca="false">INDEX(Bases!$G$5:$G$83,$T310)</f>
        <v>Soi</v>
      </c>
      <c r="I310" s="13" t="n">
        <f aca="false">INDEX(Bases!$H$5:$H$83,$T310)</f>
        <v>3</v>
      </c>
      <c r="J310" s="10" t="str">
        <f aca="false">INDEX(Bases!$I$5:$I$83,$T310)</f>
        <v>Oui</v>
      </c>
      <c r="K310" s="14" t="n">
        <f aca="false">INDEX(Bases!$J$5:$J$83,$T310)</f>
        <v>0</v>
      </c>
      <c r="L310" s="10" t="str">
        <f aca="false">INDEX(Bases!$K$5:$K$83,$T310)</f>
        <v>Magie</v>
      </c>
      <c r="M310" s="11" t="str">
        <f aca="false">INDEX(Bases!$L$5:$L$83,$T310)</f>
        <v>Soigne 30 % des PV max + bouclier de 15 % des PV max.</v>
      </c>
      <c r="N310" s="11" t="str">
        <f aca="false">IF($C310="Passif","—",IF($C310="Attaque (arme 1)",INDEX(Éléments!$F$5:$F$14,$U310),INDEX(Éléments!$G$5:$G$14,$U310)))</f>
        <v>La prochaine attaque du lanceur inflige +15 % de dégâts.</v>
      </c>
      <c r="O310" s="10" t="str">
        <f aca="false">INDEX(Bases!$M$5:$M$83,$T310)</f>
        <v>Active</v>
      </c>
      <c r="P310" s="13" t="n">
        <f aca="false">INDEX(Bases!$N$5:$N$83,$T310)</f>
        <v>50</v>
      </c>
      <c r="Q310" s="15" t="n">
        <f aca="false">INDEX(Éléments!$C$5:$C$14,$U310)</f>
        <v>80</v>
      </c>
      <c r="R310" s="11" t="str">
        <f aca="false">"Niv. "&amp;$P310&amp;IF($Q310&gt;0," · étage "&amp;$Q310&amp;" terminé","")</f>
        <v>Niv. 50 · étage 80 terminé</v>
      </c>
      <c r="S310" s="14" t="n">
        <f aca="false">IF(ISNUMBER($I310),$K310*IF($H310="Zone",Paramètres!$B$8,1)/MAX(1,$I310),0)</f>
        <v>0</v>
      </c>
      <c r="T310" s="16" t="n">
        <v>38</v>
      </c>
      <c r="U310" s="16" t="n">
        <v>8</v>
      </c>
    </row>
    <row r="311" customFormat="false" ht="15" hidden="false" customHeight="true" outlineLevel="0" collapsed="false">
      <c r="A311" s="9" t="s">
        <v>380</v>
      </c>
      <c r="B311" s="10" t="str">
        <f aca="false">INDEX(Bases!$B$5:$B$83,$T311)</f>
        <v>Mage</v>
      </c>
      <c r="C311" s="10" t="str">
        <f aca="false">INDEX(Bases!$E$5:$E$83,$T311)</f>
        <v>Soutien (arme 2)</v>
      </c>
      <c r="D311" s="10" t="str">
        <f aca="false">INDEX(Bases!$F$5:$F$83,$T311)</f>
        <v>Soin</v>
      </c>
      <c r="E311" s="11" t="str">
        <f aca="false">INDEX(Bases!$C$5:$C$83,$T311)</f>
        <v>Sanctuaire</v>
      </c>
      <c r="F311" s="10" t="str">
        <f aca="false">INDEX(Éléments!$A$5:$A$14,$U311)</f>
        <v>Lumière</v>
      </c>
      <c r="G311" s="12" t="str">
        <f aca="false">IF(OR($F311="Neutre",$C311="Passif"),$E311,INDEX(Bases!$D$5:$D$83,$T311)&amp;" "&amp;INDEX(Éléments!$D$5:$D$14,$U311))</f>
        <v>Sanctuaire de lumière</v>
      </c>
      <c r="H311" s="10" t="str">
        <f aca="false">INDEX(Bases!$G$5:$G$83,$T311)</f>
        <v>Soi</v>
      </c>
      <c r="I311" s="13" t="n">
        <f aca="false">INDEX(Bases!$H$5:$H$83,$T311)</f>
        <v>3</v>
      </c>
      <c r="J311" s="10" t="str">
        <f aca="false">INDEX(Bases!$I$5:$I$83,$T311)</f>
        <v>Oui</v>
      </c>
      <c r="K311" s="14" t="n">
        <f aca="false">INDEX(Bases!$J$5:$J$83,$T311)</f>
        <v>0</v>
      </c>
      <c r="L311" s="10" t="str">
        <f aca="false">INDEX(Bases!$K$5:$K$83,$T311)</f>
        <v>Magie</v>
      </c>
      <c r="M311" s="11" t="str">
        <f aca="false">INDEX(Bases!$L$5:$L$83,$T311)</f>
        <v>Soigne 30 % des PV max + bouclier de 15 % des PV max.</v>
      </c>
      <c r="N311" s="11" t="str">
        <f aca="false">IF($C311="Passif","—",IF($C311="Attaque (arme 1)",INDEX(Éléments!$F$5:$F$14,$U311),INDEX(Éléments!$G$5:$G$14,$U311)))</f>
        <v>+20 % sur les soins et boucliers de la compétence.</v>
      </c>
      <c r="O311" s="10" t="str">
        <f aca="false">INDEX(Bases!$M$5:$M$83,$T311)</f>
        <v>Active</v>
      </c>
      <c r="P311" s="13" t="n">
        <f aca="false">INDEX(Bases!$N$5:$N$83,$T311)</f>
        <v>50</v>
      </c>
      <c r="Q311" s="15" t="n">
        <f aca="false">INDEX(Éléments!$C$5:$C$14,$U311)</f>
        <v>90</v>
      </c>
      <c r="R311" s="11" t="str">
        <f aca="false">"Niv. "&amp;$P311&amp;IF($Q311&gt;0," · étage "&amp;$Q311&amp;" terminé","")</f>
        <v>Niv. 50 · étage 90 terminé</v>
      </c>
      <c r="S311" s="14" t="n">
        <f aca="false">IF(ISNUMBER($I311),$K311*IF($H311="Zone",Paramètres!$B$8,1)/MAX(1,$I311),0)</f>
        <v>0</v>
      </c>
      <c r="T311" s="16" t="n">
        <v>38</v>
      </c>
      <c r="U311" s="16" t="n">
        <v>9</v>
      </c>
    </row>
    <row r="312" customFormat="false" ht="15" hidden="false" customHeight="true" outlineLevel="0" collapsed="false">
      <c r="A312" s="9" t="s">
        <v>381</v>
      </c>
      <c r="B312" s="10" t="str">
        <f aca="false">INDEX(Bases!$B$5:$B$83,$T312)</f>
        <v>Mage</v>
      </c>
      <c r="C312" s="10" t="str">
        <f aca="false">INDEX(Bases!$E$5:$E$83,$T312)</f>
        <v>Soutien (arme 2)</v>
      </c>
      <c r="D312" s="10" t="str">
        <f aca="false">INDEX(Bases!$F$5:$F$83,$T312)</f>
        <v>Soin</v>
      </c>
      <c r="E312" s="11" t="str">
        <f aca="false">INDEX(Bases!$C$5:$C$83,$T312)</f>
        <v>Sanctuaire</v>
      </c>
      <c r="F312" s="10" t="str">
        <f aca="false">INDEX(Éléments!$A$5:$A$14,$U312)</f>
        <v>Ombre</v>
      </c>
      <c r="G312" s="12" t="str">
        <f aca="false">IF(OR($F312="Neutre",$C312="Passif"),$E312,INDEX(Bases!$D$5:$D$83,$T312)&amp;" "&amp;INDEX(Éléments!$D$5:$D$14,$U312))</f>
        <v>Sanctuaire d'ombre</v>
      </c>
      <c r="H312" s="10" t="str">
        <f aca="false">INDEX(Bases!$G$5:$G$83,$T312)</f>
        <v>Soi</v>
      </c>
      <c r="I312" s="13" t="n">
        <f aca="false">INDEX(Bases!$H$5:$H$83,$T312)</f>
        <v>3</v>
      </c>
      <c r="J312" s="10" t="str">
        <f aca="false">INDEX(Bases!$I$5:$I$83,$T312)</f>
        <v>Oui</v>
      </c>
      <c r="K312" s="14" t="n">
        <f aca="false">INDEX(Bases!$J$5:$J$83,$T312)</f>
        <v>0</v>
      </c>
      <c r="L312" s="10" t="str">
        <f aca="false">INDEX(Bases!$K$5:$K$83,$T312)</f>
        <v>Magie</v>
      </c>
      <c r="M312" s="11" t="str">
        <f aca="false">INDEX(Bases!$L$5:$L$83,$T312)</f>
        <v>Soigne 30 % des PV max + bouclier de 15 % des PV max.</v>
      </c>
      <c r="N312" s="11" t="str">
        <f aca="false">IF($C312="Passif","—",IF($C312="Attaque (arme 1)",INDEX(Éléments!$F$5:$F$14,$U312),INDEX(Éléments!$G$5:$G$14,$U312)))</f>
        <v>Les ennemis qui frappent le lanceur subissent Corruption (25 %).</v>
      </c>
      <c r="O312" s="10" t="str">
        <f aca="false">INDEX(Bases!$M$5:$M$83,$T312)</f>
        <v>Active</v>
      </c>
      <c r="P312" s="13" t="n">
        <f aca="false">INDEX(Bases!$N$5:$N$83,$T312)</f>
        <v>50</v>
      </c>
      <c r="Q312" s="15" t="n">
        <f aca="false">INDEX(Éléments!$C$5:$C$14,$U312)</f>
        <v>100</v>
      </c>
      <c r="R312" s="11" t="str">
        <f aca="false">"Niv. "&amp;$P312&amp;IF($Q312&gt;0," · étage "&amp;$Q312&amp;" terminé","")</f>
        <v>Niv. 50 · étage 100 terminé</v>
      </c>
      <c r="S312" s="14" t="n">
        <f aca="false">IF(ISNUMBER($I312),$K312*IF($H312="Zone",Paramètres!$B$8,1)/MAX(1,$I312),0)</f>
        <v>0</v>
      </c>
      <c r="T312" s="16" t="n">
        <v>38</v>
      </c>
      <c r="U312" s="16" t="n">
        <v>10</v>
      </c>
    </row>
    <row r="313" customFormat="false" ht="15" hidden="false" customHeight="true" outlineLevel="0" collapsed="false">
      <c r="A313" s="9" t="s">
        <v>382</v>
      </c>
      <c r="B313" s="10" t="str">
        <f aca="false">INDEX(Bases!$B$5:$B$83,$T313)</f>
        <v>Mage</v>
      </c>
      <c r="C313" s="10" t="str">
        <f aca="false">INDEX(Bases!$E$5:$E$83,$T313)</f>
        <v>Passif</v>
      </c>
      <c r="D313" s="10" t="str">
        <f aca="false">INDEX(Bases!$F$5:$F$83,$T313)</f>
        <v>Passif</v>
      </c>
      <c r="E313" s="11" t="str">
        <f aca="false">INDEX(Bases!$C$5:$C$83,$T313)</f>
        <v>Concentration arcanique</v>
      </c>
      <c r="F313" s="10" t="str">
        <f aca="false">INDEX(Éléments!$A$5:$A$14,$U313)</f>
        <v>Neutre</v>
      </c>
      <c r="G313" s="12" t="str">
        <f aca="false">IF(OR($F313="Neutre",$C313="Passif"),$E313,INDEX(Bases!$D$5:$D$83,$T313)&amp;" "&amp;INDEX(Éléments!$D$5:$D$14,$U313))</f>
        <v>Concentration arcanique</v>
      </c>
      <c r="H313" s="10" t="str">
        <f aca="false">INDEX(Bases!$G$5:$G$83,$T313)</f>
        <v>Soi</v>
      </c>
      <c r="I313" s="13" t="str">
        <f aca="false">INDEX(Bases!$H$5:$H$83,$T313)</f>
        <v>—</v>
      </c>
      <c r="J313" s="10" t="str">
        <f aca="false">INDEX(Bases!$I$5:$I$83,$T313)</f>
        <v>Non</v>
      </c>
      <c r="K313" s="14" t="n">
        <f aca="false">INDEX(Bases!$J$5:$J$83,$T313)</f>
        <v>0</v>
      </c>
      <c r="L313" s="10" t="str">
        <f aca="false">INDEX(Bases!$K$5:$K$83,$T313)</f>
        <v>—</v>
      </c>
      <c r="M313" s="11" t="str">
        <f aca="false">INDEX(Bases!$L$5:$L$83,$T313)</f>
        <v>+8 % de Magie.</v>
      </c>
      <c r="N313" s="11" t="str">
        <f aca="false">IF($C313="Passif","—",IF($C313="Attaque (arme 1)",INDEX(Éléments!$F$5:$F$14,$U313),INDEX(Éléments!$G$5:$G$14,$U313)))</f>
        <v>—</v>
      </c>
      <c r="O313" s="10" t="str">
        <f aca="false">INDEX(Bases!$M$5:$M$83,$T313)</f>
        <v>Permanent</v>
      </c>
      <c r="P313" s="13" t="n">
        <f aca="false">INDEX(Bases!$N$5:$N$83,$T313)</f>
        <v>1</v>
      </c>
      <c r="Q313" s="15" t="n">
        <f aca="false">INDEX(Éléments!$C$5:$C$14,$U313)</f>
        <v>0</v>
      </c>
      <c r="R313" s="11" t="str">
        <f aca="false">"Niv. "&amp;$P313&amp;IF($Q313&gt;0," · étage "&amp;$Q313&amp;" terminé","")</f>
        <v>Niv. 1</v>
      </c>
      <c r="S313" s="14" t="n">
        <f aca="false">IF(ISNUMBER($I313),$K313*IF($H313="Zone",Paramètres!$B$8,1)/MAX(1,$I313),0)</f>
        <v>0</v>
      </c>
      <c r="T313" s="16" t="n">
        <v>39</v>
      </c>
      <c r="U313" s="16" t="n">
        <v>1</v>
      </c>
    </row>
    <row r="314" customFormat="false" ht="15" hidden="false" customHeight="true" outlineLevel="0" collapsed="false">
      <c r="A314" s="9" t="s">
        <v>383</v>
      </c>
      <c r="B314" s="10" t="str">
        <f aca="false">INDEX(Bases!$B$5:$B$83,$T314)</f>
        <v>Mage</v>
      </c>
      <c r="C314" s="10" t="str">
        <f aca="false">INDEX(Bases!$E$5:$E$83,$T314)</f>
        <v>Passif</v>
      </c>
      <c r="D314" s="10" t="str">
        <f aca="false">INDEX(Bases!$F$5:$F$83,$T314)</f>
        <v>Passif</v>
      </c>
      <c r="E314" s="11" t="str">
        <f aca="false">INDEX(Bases!$C$5:$C$83,$T314)</f>
        <v>Siphon</v>
      </c>
      <c r="F314" s="10" t="str">
        <f aca="false">INDEX(Éléments!$A$5:$A$14,$U314)</f>
        <v>Neutre</v>
      </c>
      <c r="G314" s="12" t="str">
        <f aca="false">IF(OR($F314="Neutre",$C314="Passif"),$E314,INDEX(Bases!$D$5:$D$83,$T314)&amp;" "&amp;INDEX(Éléments!$D$5:$D$14,$U314))</f>
        <v>Siphon</v>
      </c>
      <c r="H314" s="10" t="str">
        <f aca="false">INDEX(Bases!$G$5:$G$83,$T314)</f>
        <v>Soi</v>
      </c>
      <c r="I314" s="13" t="str">
        <f aca="false">INDEX(Bases!$H$5:$H$83,$T314)</f>
        <v>—</v>
      </c>
      <c r="J314" s="10" t="str">
        <f aca="false">INDEX(Bases!$I$5:$I$83,$T314)</f>
        <v>Non</v>
      </c>
      <c r="K314" s="14" t="n">
        <f aca="false">INDEX(Bases!$J$5:$J$83,$T314)</f>
        <v>0</v>
      </c>
      <c r="L314" s="10" t="str">
        <f aca="false">INDEX(Bases!$K$5:$K$83,$T314)</f>
        <v>—</v>
      </c>
      <c r="M314" s="11" t="str">
        <f aca="false">INDEX(Bases!$L$5:$L$83,$T314)</f>
        <v>Vol de vie : 4 % des dégâts magiques.</v>
      </c>
      <c r="N314" s="11" t="str">
        <f aca="false">IF($C314="Passif","—",IF($C314="Attaque (arme 1)",INDEX(Éléments!$F$5:$F$14,$U314),INDEX(Éléments!$G$5:$G$14,$U314)))</f>
        <v>—</v>
      </c>
      <c r="O314" s="10" t="str">
        <f aca="false">INDEX(Bases!$M$5:$M$83,$T314)</f>
        <v>Permanent</v>
      </c>
      <c r="P314" s="13" t="n">
        <f aca="false">INDEX(Bases!$N$5:$N$83,$T314)</f>
        <v>10</v>
      </c>
      <c r="Q314" s="15" t="n">
        <f aca="false">INDEX(Éléments!$C$5:$C$14,$U314)</f>
        <v>0</v>
      </c>
      <c r="R314" s="11" t="str">
        <f aca="false">"Niv. "&amp;$P314&amp;IF($Q314&gt;0," · étage "&amp;$Q314&amp;" terminé","")</f>
        <v>Niv. 10</v>
      </c>
      <c r="S314" s="14" t="n">
        <f aca="false">IF(ISNUMBER($I314),$K314*IF($H314="Zone",Paramètres!$B$8,1)/MAX(1,$I314),0)</f>
        <v>0</v>
      </c>
      <c r="T314" s="16" t="n">
        <v>40</v>
      </c>
      <c r="U314" s="16" t="n">
        <v>1</v>
      </c>
    </row>
    <row r="315" customFormat="false" ht="15" hidden="false" customHeight="true" outlineLevel="0" collapsed="false">
      <c r="A315" s="9" t="s">
        <v>384</v>
      </c>
      <c r="B315" s="10" t="str">
        <f aca="false">INDEX(Bases!$B$5:$B$83,$T315)</f>
        <v>Mage</v>
      </c>
      <c r="C315" s="10" t="str">
        <f aca="false">INDEX(Bases!$E$5:$E$83,$T315)</f>
        <v>Passif</v>
      </c>
      <c r="D315" s="10" t="str">
        <f aca="false">INDEX(Bases!$F$5:$F$83,$T315)</f>
        <v>Passif</v>
      </c>
      <c r="E315" s="11" t="str">
        <f aca="false">INDEX(Bases!$C$5:$C$83,$T315)</f>
        <v>Écho</v>
      </c>
      <c r="F315" s="10" t="str">
        <f aca="false">INDEX(Éléments!$A$5:$A$14,$U315)</f>
        <v>Neutre</v>
      </c>
      <c r="G315" s="12" t="str">
        <f aca="false">IF(OR($F315="Neutre",$C315="Passif"),$E315,INDEX(Bases!$D$5:$D$83,$T315)&amp;" "&amp;INDEX(Éléments!$D$5:$D$14,$U315))</f>
        <v>Écho</v>
      </c>
      <c r="H315" s="10" t="str">
        <f aca="false">INDEX(Bases!$G$5:$G$83,$T315)</f>
        <v>Soi</v>
      </c>
      <c r="I315" s="13" t="str">
        <f aca="false">INDEX(Bases!$H$5:$H$83,$T315)</f>
        <v>—</v>
      </c>
      <c r="J315" s="10" t="str">
        <f aca="false">INDEX(Bases!$I$5:$I$83,$T315)</f>
        <v>Non</v>
      </c>
      <c r="K315" s="14" t="n">
        <f aca="false">INDEX(Bases!$J$5:$J$83,$T315)</f>
        <v>0</v>
      </c>
      <c r="L315" s="10" t="str">
        <f aca="false">INDEX(Bases!$K$5:$K$83,$T315)</f>
        <v>—</v>
      </c>
      <c r="M315" s="11" t="str">
        <f aca="false">INDEX(Bases!$L$5:$L$83,$T315)</f>
        <v>15 % qu'un sort à recharge 1 frappe une seconde fois (50 %).</v>
      </c>
      <c r="N315" s="11" t="str">
        <f aca="false">IF($C315="Passif","—",IF($C315="Attaque (arme 1)",INDEX(Éléments!$F$5:$F$14,$U315),INDEX(Éléments!$G$5:$G$14,$U315)))</f>
        <v>—</v>
      </c>
      <c r="O315" s="10" t="str">
        <f aca="false">INDEX(Bases!$M$5:$M$83,$T315)</f>
        <v>À chaque sort</v>
      </c>
      <c r="P315" s="13" t="n">
        <f aca="false">INDEX(Bases!$N$5:$N$83,$T315)</f>
        <v>20</v>
      </c>
      <c r="Q315" s="15" t="n">
        <f aca="false">INDEX(Éléments!$C$5:$C$14,$U315)</f>
        <v>0</v>
      </c>
      <c r="R315" s="11" t="str">
        <f aca="false">"Niv. "&amp;$P315&amp;IF($Q315&gt;0," · étage "&amp;$Q315&amp;" terminé","")</f>
        <v>Niv. 20</v>
      </c>
      <c r="S315" s="14" t="n">
        <f aca="false">IF(ISNUMBER($I315),$K315*IF($H315="Zone",Paramètres!$B$8,1)/MAX(1,$I315),0)</f>
        <v>0</v>
      </c>
      <c r="T315" s="16" t="n">
        <v>41</v>
      </c>
      <c r="U315" s="16" t="n">
        <v>1</v>
      </c>
    </row>
    <row r="316" customFormat="false" ht="15" hidden="false" customHeight="true" outlineLevel="0" collapsed="false">
      <c r="A316" s="9" t="s">
        <v>385</v>
      </c>
      <c r="B316" s="10" t="str">
        <f aca="false">INDEX(Bases!$B$5:$B$83,$T316)</f>
        <v>Mage</v>
      </c>
      <c r="C316" s="10" t="str">
        <f aca="false">INDEX(Bases!$E$5:$E$83,$T316)</f>
        <v>Passif</v>
      </c>
      <c r="D316" s="10" t="str">
        <f aca="false">INDEX(Bases!$F$5:$F$83,$T316)</f>
        <v>Passif</v>
      </c>
      <c r="E316" s="11" t="str">
        <f aca="false">INDEX(Bases!$C$5:$C$83,$T316)</f>
        <v>Persistance</v>
      </c>
      <c r="F316" s="10" t="str">
        <f aca="false">INDEX(Éléments!$A$5:$A$14,$U316)</f>
        <v>Neutre</v>
      </c>
      <c r="G316" s="12" t="str">
        <f aca="false">IF(OR($F316="Neutre",$C316="Passif"),$E316,INDEX(Bases!$D$5:$D$83,$T316)&amp;" "&amp;INDEX(Éléments!$D$5:$D$14,$U316))</f>
        <v>Persistance</v>
      </c>
      <c r="H316" s="10" t="str">
        <f aca="false">INDEX(Bases!$G$5:$G$83,$T316)</f>
        <v>Soi</v>
      </c>
      <c r="I316" s="13" t="str">
        <f aca="false">INDEX(Bases!$H$5:$H$83,$T316)</f>
        <v>—</v>
      </c>
      <c r="J316" s="10" t="str">
        <f aca="false">INDEX(Bases!$I$5:$I$83,$T316)</f>
        <v>Non</v>
      </c>
      <c r="K316" s="14" t="n">
        <f aca="false">INDEX(Bases!$J$5:$J$83,$T316)</f>
        <v>0</v>
      </c>
      <c r="L316" s="10" t="str">
        <f aca="false">INDEX(Bases!$K$5:$K$83,$T316)</f>
        <v>—</v>
      </c>
      <c r="M316" s="11" t="str">
        <f aca="false">INDEX(Bases!$L$5:$L$83,$T316)</f>
        <v>Les altérations infligées durent 1 tour de plus.</v>
      </c>
      <c r="N316" s="11" t="str">
        <f aca="false">IF($C316="Passif","—",IF($C316="Attaque (arme 1)",INDEX(Éléments!$F$5:$F$14,$U316),INDEX(Éléments!$G$5:$G$14,$U316)))</f>
        <v>—</v>
      </c>
      <c r="O316" s="10" t="str">
        <f aca="false">INDEX(Bases!$M$5:$M$83,$T316)</f>
        <v>Permanent</v>
      </c>
      <c r="P316" s="13" t="n">
        <f aca="false">INDEX(Bases!$N$5:$N$83,$T316)</f>
        <v>30</v>
      </c>
      <c r="Q316" s="15" t="n">
        <f aca="false">INDEX(Éléments!$C$5:$C$14,$U316)</f>
        <v>0</v>
      </c>
      <c r="R316" s="11" t="str">
        <f aca="false">"Niv. "&amp;$P316&amp;IF($Q316&gt;0," · étage "&amp;$Q316&amp;" terminé","")</f>
        <v>Niv. 30</v>
      </c>
      <c r="S316" s="14" t="n">
        <f aca="false">IF(ISNUMBER($I316),$K316*IF($H316="Zone",Paramètres!$B$8,1)/MAX(1,$I316),0)</f>
        <v>0</v>
      </c>
      <c r="T316" s="16" t="n">
        <v>42</v>
      </c>
      <c r="U316" s="16" t="n">
        <v>1</v>
      </c>
    </row>
    <row r="317" customFormat="false" ht="15" hidden="false" customHeight="true" outlineLevel="0" collapsed="false">
      <c r="A317" s="9" t="s">
        <v>386</v>
      </c>
      <c r="B317" s="10" t="str">
        <f aca="false">INDEX(Bases!$B$5:$B$83,$T317)</f>
        <v>Mage</v>
      </c>
      <c r="C317" s="10" t="str">
        <f aca="false">INDEX(Bases!$E$5:$E$83,$T317)</f>
        <v>Passif</v>
      </c>
      <c r="D317" s="10" t="str">
        <f aca="false">INDEX(Bases!$F$5:$F$83,$T317)</f>
        <v>Passif</v>
      </c>
      <c r="E317" s="11" t="str">
        <f aca="false">INDEX(Bases!$C$5:$C$83,$T317)</f>
        <v>Égide arcanique</v>
      </c>
      <c r="F317" s="10" t="str">
        <f aca="false">INDEX(Éléments!$A$5:$A$14,$U317)</f>
        <v>Neutre</v>
      </c>
      <c r="G317" s="12" t="str">
        <f aca="false">IF(OR($F317="Neutre",$C317="Passif"),$E317,INDEX(Bases!$D$5:$D$83,$T317)&amp;" "&amp;INDEX(Éléments!$D$5:$D$14,$U317))</f>
        <v>Égide arcanique</v>
      </c>
      <c r="H317" s="10" t="str">
        <f aca="false">INDEX(Bases!$G$5:$G$83,$T317)</f>
        <v>Soi</v>
      </c>
      <c r="I317" s="13" t="str">
        <f aca="false">INDEX(Bases!$H$5:$H$83,$T317)</f>
        <v>—</v>
      </c>
      <c r="J317" s="10" t="str">
        <f aca="false">INDEX(Bases!$I$5:$I$83,$T317)</f>
        <v>Non</v>
      </c>
      <c r="K317" s="14" t="n">
        <f aca="false">INDEX(Bases!$J$5:$J$83,$T317)</f>
        <v>0</v>
      </c>
      <c r="L317" s="10" t="str">
        <f aca="false">INDEX(Bases!$K$5:$K$83,$T317)</f>
        <v>—</v>
      </c>
      <c r="M317" s="11" t="str">
        <f aca="false">INDEX(Bases!$L$5:$L$83,$T317)</f>
        <v>Bouclier de 6 % des PV max.</v>
      </c>
      <c r="N317" s="11" t="str">
        <f aca="false">IF($C317="Passif","—",IF($C317="Attaque (arme 1)",INDEX(Éléments!$F$5:$F$14,$U317),INDEX(Éléments!$G$5:$G$14,$U317)))</f>
        <v>—</v>
      </c>
      <c r="O317" s="10" t="str">
        <f aca="false">INDEX(Bases!$M$5:$M$83,$T317)</f>
        <v>Tous les 3 tours</v>
      </c>
      <c r="P317" s="13" t="n">
        <f aca="false">INDEX(Bases!$N$5:$N$83,$T317)</f>
        <v>40</v>
      </c>
      <c r="Q317" s="15" t="n">
        <f aca="false">INDEX(Éléments!$C$5:$C$14,$U317)</f>
        <v>0</v>
      </c>
      <c r="R317" s="11" t="str">
        <f aca="false">"Niv. "&amp;$P317&amp;IF($Q317&gt;0," · étage "&amp;$Q317&amp;" terminé","")</f>
        <v>Niv. 40</v>
      </c>
      <c r="S317" s="14" t="n">
        <f aca="false">IF(ISNUMBER($I317),$K317*IF($H317="Zone",Paramètres!$B$8,1)/MAX(1,$I317),0)</f>
        <v>0</v>
      </c>
      <c r="T317" s="16" t="n">
        <v>43</v>
      </c>
      <c r="U317" s="16" t="n">
        <v>1</v>
      </c>
    </row>
    <row r="318" customFormat="false" ht="15" hidden="false" customHeight="true" outlineLevel="0" collapsed="false">
      <c r="A318" s="9" t="s">
        <v>387</v>
      </c>
      <c r="B318" s="10" t="str">
        <f aca="false">INDEX(Bases!$B$5:$B$83,$T318)</f>
        <v>Mage</v>
      </c>
      <c r="C318" s="10" t="str">
        <f aca="false">INDEX(Bases!$E$5:$E$83,$T318)</f>
        <v>Passif</v>
      </c>
      <c r="D318" s="10" t="str">
        <f aca="false">INDEX(Bases!$F$5:$F$83,$T318)</f>
        <v>Passif</v>
      </c>
      <c r="E318" s="11" t="str">
        <f aca="false">INDEX(Bases!$C$5:$C$83,$T318)</f>
        <v>Sagesse</v>
      </c>
      <c r="F318" s="10" t="str">
        <f aca="false">INDEX(Éléments!$A$5:$A$14,$U318)</f>
        <v>Neutre</v>
      </c>
      <c r="G318" s="12" t="str">
        <f aca="false">IF(OR($F318="Neutre",$C318="Passif"),$E318,INDEX(Bases!$D$5:$D$83,$T318)&amp;" "&amp;INDEX(Éléments!$D$5:$D$14,$U318))</f>
        <v>Sagesse</v>
      </c>
      <c r="H318" s="10" t="str">
        <f aca="false">INDEX(Bases!$G$5:$G$83,$T318)</f>
        <v>Soi</v>
      </c>
      <c r="I318" s="13" t="str">
        <f aca="false">INDEX(Bases!$H$5:$H$83,$T318)</f>
        <v>—</v>
      </c>
      <c r="J318" s="10" t="str">
        <f aca="false">INDEX(Bases!$I$5:$I$83,$T318)</f>
        <v>Non</v>
      </c>
      <c r="K318" s="14" t="n">
        <f aca="false">INDEX(Bases!$J$5:$J$83,$T318)</f>
        <v>0</v>
      </c>
      <c r="L318" s="10" t="str">
        <f aca="false">INDEX(Bases!$K$5:$K$83,$T318)</f>
        <v>—</v>
      </c>
      <c r="M318" s="11" t="str">
        <f aca="false">INDEX(Bases!$L$5:$L$83,$T318)</f>
        <v>+10 % de Bonus de soins.</v>
      </c>
      <c r="N318" s="11" t="str">
        <f aca="false">IF($C318="Passif","—",IF($C318="Attaque (arme 1)",INDEX(Éléments!$F$5:$F$14,$U318),INDEX(Éléments!$G$5:$G$14,$U318)))</f>
        <v>—</v>
      </c>
      <c r="O318" s="10" t="str">
        <f aca="false">INDEX(Bases!$M$5:$M$83,$T318)</f>
        <v>Permanent</v>
      </c>
      <c r="P318" s="13" t="n">
        <f aca="false">INDEX(Bases!$N$5:$N$83,$T318)</f>
        <v>50</v>
      </c>
      <c r="Q318" s="15" t="n">
        <f aca="false">INDEX(Éléments!$C$5:$C$14,$U318)</f>
        <v>0</v>
      </c>
      <c r="R318" s="11" t="str">
        <f aca="false">"Niv. "&amp;$P318&amp;IF($Q318&gt;0," · étage "&amp;$Q318&amp;" terminé","")</f>
        <v>Niv. 50</v>
      </c>
      <c r="S318" s="14" t="n">
        <f aca="false">IF(ISNUMBER($I318),$K318*IF($H318="Zone",Paramètres!$B$8,1)/MAX(1,$I318),0)</f>
        <v>0</v>
      </c>
      <c r="T318" s="16" t="n">
        <v>44</v>
      </c>
      <c r="U318" s="16" t="n">
        <v>1</v>
      </c>
    </row>
    <row r="319" customFormat="false" ht="15" hidden="false" customHeight="true" outlineLevel="0" collapsed="false">
      <c r="A319" s="9" t="s">
        <v>388</v>
      </c>
      <c r="B319" s="10" t="str">
        <f aca="false">INDEX(Bases!$B$5:$B$83,$T319)</f>
        <v>Mage</v>
      </c>
      <c r="C319" s="10" t="str">
        <f aca="false">INDEX(Bases!$E$5:$E$83,$T319)</f>
        <v>Passif</v>
      </c>
      <c r="D319" s="10" t="str">
        <f aca="false">INDEX(Bases!$F$5:$F$83,$T319)</f>
        <v>Passif</v>
      </c>
      <c r="E319" s="11" t="str">
        <f aca="false">INDEX(Bases!$C$5:$C$83,$T319)</f>
        <v>Accélération</v>
      </c>
      <c r="F319" s="10" t="str">
        <f aca="false">INDEX(Éléments!$A$5:$A$14,$U319)</f>
        <v>Neutre</v>
      </c>
      <c r="G319" s="12" t="str">
        <f aca="false">IF(OR($F319="Neutre",$C319="Passif"),$E319,INDEX(Bases!$D$5:$D$83,$T319)&amp;" "&amp;INDEX(Éléments!$D$5:$D$14,$U319))</f>
        <v>Accélération</v>
      </c>
      <c r="H319" s="10" t="str">
        <f aca="false">INDEX(Bases!$G$5:$G$83,$T319)</f>
        <v>Soi</v>
      </c>
      <c r="I319" s="13" t="str">
        <f aca="false">INDEX(Bases!$H$5:$H$83,$T319)</f>
        <v>—</v>
      </c>
      <c r="J319" s="10" t="str">
        <f aca="false">INDEX(Bases!$I$5:$I$83,$T319)</f>
        <v>Non</v>
      </c>
      <c r="K319" s="14" t="n">
        <f aca="false">INDEX(Bases!$J$5:$J$83,$T319)</f>
        <v>0</v>
      </c>
      <c r="L319" s="10" t="str">
        <f aca="false">INDEX(Bases!$K$5:$K$83,$T319)</f>
        <v>—</v>
      </c>
      <c r="M319" s="11" t="str">
        <f aca="false">INDEX(Bases!$L$5:$L$83,$T319)</f>
        <v>Réduit de 1 tour la recharge de la compétence la plus longue.</v>
      </c>
      <c r="N319" s="11" t="str">
        <f aca="false">IF($C319="Passif","—",IF($C319="Attaque (arme 1)",INDEX(Éléments!$F$5:$F$14,$U319),INDEX(Éléments!$G$5:$G$14,$U319)))</f>
        <v>—</v>
      </c>
      <c r="O319" s="10" t="str">
        <f aca="false">INDEX(Bases!$M$5:$M$83,$T319)</f>
        <v>Tous les 3 tours</v>
      </c>
      <c r="P319" s="13" t="n">
        <f aca="false">INDEX(Bases!$N$5:$N$83,$T319)</f>
        <v>60</v>
      </c>
      <c r="Q319" s="15" t="n">
        <f aca="false">INDEX(Éléments!$C$5:$C$14,$U319)</f>
        <v>0</v>
      </c>
      <c r="R319" s="11" t="str">
        <f aca="false">"Niv. "&amp;$P319&amp;IF($Q319&gt;0," · étage "&amp;$Q319&amp;" terminé","")</f>
        <v>Niv. 60</v>
      </c>
      <c r="S319" s="14" t="n">
        <f aca="false">IF(ISNUMBER($I319),$K319*IF($H319="Zone",Paramètres!$B$8,1)/MAX(1,$I319),0)</f>
        <v>0</v>
      </c>
      <c r="T319" s="16" t="n">
        <v>45</v>
      </c>
      <c r="U319" s="16" t="n">
        <v>1</v>
      </c>
    </row>
    <row r="320" customFormat="false" ht="15" hidden="false" customHeight="true" outlineLevel="0" collapsed="false">
      <c r="A320" s="9" t="s">
        <v>389</v>
      </c>
      <c r="B320" s="10" t="str">
        <f aca="false">INDEX(Bases!$B$5:$B$83,$T320)</f>
        <v>Mage</v>
      </c>
      <c r="C320" s="10" t="str">
        <f aca="false">INDEX(Bases!$E$5:$E$83,$T320)</f>
        <v>Passif</v>
      </c>
      <c r="D320" s="10" t="str">
        <f aca="false">INDEX(Bases!$F$5:$F$83,$T320)</f>
        <v>Passif</v>
      </c>
      <c r="E320" s="11" t="str">
        <f aca="false">INDEX(Bases!$C$5:$C$83,$T320)</f>
        <v>Érosion magique</v>
      </c>
      <c r="F320" s="10" t="str">
        <f aca="false">INDEX(Éléments!$A$5:$A$14,$U320)</f>
        <v>Neutre</v>
      </c>
      <c r="G320" s="12" t="str">
        <f aca="false">IF(OR($F320="Neutre",$C320="Passif"),$E320,INDEX(Bases!$D$5:$D$83,$T320)&amp;" "&amp;INDEX(Éléments!$D$5:$D$14,$U320))</f>
        <v>Érosion magique</v>
      </c>
      <c r="H320" s="10" t="str">
        <f aca="false">INDEX(Bases!$G$5:$G$83,$T320)</f>
        <v>Soi</v>
      </c>
      <c r="I320" s="13" t="str">
        <f aca="false">INDEX(Bases!$H$5:$H$83,$T320)</f>
        <v>—</v>
      </c>
      <c r="J320" s="10" t="str">
        <f aca="false">INDEX(Bases!$I$5:$I$83,$T320)</f>
        <v>Non</v>
      </c>
      <c r="K320" s="14" t="n">
        <f aca="false">INDEX(Bases!$J$5:$J$83,$T320)</f>
        <v>0</v>
      </c>
      <c r="L320" s="10" t="str">
        <f aca="false">INDEX(Bases!$K$5:$K$83,$T320)</f>
        <v>—</v>
      </c>
      <c r="M320" s="11" t="str">
        <f aca="false">INDEX(Bases!$L$5:$L$83,$T320)</f>
        <v>Chaque sort réduit de 3 % la Résistance de la cible (5 piles max).</v>
      </c>
      <c r="N320" s="11" t="str">
        <f aca="false">IF($C320="Passif","—",IF($C320="Attaque (arme 1)",INDEX(Éléments!$F$5:$F$14,$U320),INDEX(Éléments!$G$5:$G$14,$U320)))</f>
        <v>—</v>
      </c>
      <c r="O320" s="10" t="str">
        <f aca="false">INDEX(Bases!$M$5:$M$83,$T320)</f>
        <v>À chaque sort</v>
      </c>
      <c r="P320" s="13" t="n">
        <f aca="false">INDEX(Bases!$N$5:$N$83,$T320)</f>
        <v>70</v>
      </c>
      <c r="Q320" s="15" t="n">
        <f aca="false">INDEX(Éléments!$C$5:$C$14,$U320)</f>
        <v>0</v>
      </c>
      <c r="R320" s="11" t="str">
        <f aca="false">"Niv. "&amp;$P320&amp;IF($Q320&gt;0," · étage "&amp;$Q320&amp;" terminé","")</f>
        <v>Niv. 70</v>
      </c>
      <c r="S320" s="14" t="n">
        <f aca="false">IF(ISNUMBER($I320),$K320*IF($H320="Zone",Paramètres!$B$8,1)/MAX(1,$I320),0)</f>
        <v>0</v>
      </c>
      <c r="T320" s="16" t="n">
        <v>46</v>
      </c>
      <c r="U320" s="16" t="n">
        <v>1</v>
      </c>
    </row>
    <row r="321" customFormat="false" ht="15" hidden="false" customHeight="true" outlineLevel="0" collapsed="false">
      <c r="A321" s="9" t="s">
        <v>390</v>
      </c>
      <c r="B321" s="10" t="str">
        <f aca="false">INDEX(Bases!$B$5:$B$83,$T321)</f>
        <v>Tireur</v>
      </c>
      <c r="C321" s="10" t="str">
        <f aca="false">INDEX(Bases!$E$5:$E$83,$T321)</f>
        <v>Attaque (arme 1)</v>
      </c>
      <c r="D321" s="10" t="str">
        <f aca="false">INDEX(Bases!$F$5:$F$83,$T321)</f>
        <v>Attaque</v>
      </c>
      <c r="E321" s="11" t="str">
        <f aca="false">INDEX(Bases!$C$5:$C$83,$T321)</f>
        <v>Tir rapide</v>
      </c>
      <c r="F321" s="10" t="str">
        <f aca="false">INDEX(Éléments!$A$5:$A$14,$U321)</f>
        <v>Neutre</v>
      </c>
      <c r="G321" s="12" t="str">
        <f aca="false">IF(OR($F321="Neutre",$C321="Passif"),$E321,INDEX(Bases!$D$5:$D$83,$T321)&amp;" "&amp;INDEX(Éléments!$D$5:$D$14,$U321))</f>
        <v>Tir rapide</v>
      </c>
      <c r="H321" s="10" t="str">
        <f aca="false">INDEX(Bases!$G$5:$G$83,$T321)</f>
        <v>Mono</v>
      </c>
      <c r="I321" s="13" t="n">
        <f aca="false">INDEX(Bases!$H$5:$H$83,$T321)</f>
        <v>0</v>
      </c>
      <c r="J321" s="10" t="str">
        <f aca="false">INDEX(Bases!$I$5:$I$83,$T321)</f>
        <v>Non</v>
      </c>
      <c r="K321" s="14" t="n">
        <f aca="false">INDEX(Bases!$J$5:$J$83,$T321)</f>
        <v>1</v>
      </c>
      <c r="L321" s="10" t="str">
        <f aca="false">INDEX(Bases!$K$5:$K$83,$T321)</f>
        <v>Force</v>
      </c>
      <c r="M321" s="11" t="str">
        <f aca="false">INDEX(Bases!$L$5:$L$83,$T321)</f>
        <v>Tir fiable.</v>
      </c>
      <c r="N321" s="11" t="str">
        <f aca="false">IF($C321="Passif","—",IF($C321="Attaque (arme 1)",INDEX(Éléments!$F$5:$F$14,$U321),INDEX(Éléments!$G$5:$G$14,$U321)))</f>
        <v>Aucune altération ; ignore 10 % de la Résistance de la cible. Fiable contre tous les biomes.</v>
      </c>
      <c r="O321" s="10" t="str">
        <f aca="false">INDEX(Bases!$M$5:$M$83,$T321)</f>
        <v>Active</v>
      </c>
      <c r="P321" s="13" t="n">
        <f aca="false">INDEX(Bases!$N$5:$N$83,$T321)</f>
        <v>1</v>
      </c>
      <c r="Q321" s="15" t="n">
        <f aca="false">INDEX(Éléments!$C$5:$C$14,$U321)</f>
        <v>0</v>
      </c>
      <c r="R321" s="11" t="str">
        <f aca="false">"Niv. "&amp;$P321&amp;IF($Q321&gt;0," · étage "&amp;$Q321&amp;" terminé","")</f>
        <v>Niv. 1</v>
      </c>
      <c r="S321" s="14" t="n">
        <f aca="false">IF(ISNUMBER($I321),$K321*IF($H321="Zone",Paramètres!$B$8,1)/MAX(1,$I321),0)</f>
        <v>1</v>
      </c>
      <c r="T321" s="16" t="n">
        <v>47</v>
      </c>
      <c r="U321" s="16" t="n">
        <v>1</v>
      </c>
    </row>
    <row r="322" customFormat="false" ht="15" hidden="false" customHeight="true" outlineLevel="0" collapsed="false">
      <c r="A322" s="9" t="s">
        <v>391</v>
      </c>
      <c r="B322" s="10" t="str">
        <f aca="false">INDEX(Bases!$B$5:$B$83,$T322)</f>
        <v>Tireur</v>
      </c>
      <c r="C322" s="10" t="str">
        <f aca="false">INDEX(Bases!$E$5:$E$83,$T322)</f>
        <v>Attaque (arme 1)</v>
      </c>
      <c r="D322" s="10" t="str">
        <f aca="false">INDEX(Bases!$F$5:$F$83,$T322)</f>
        <v>Attaque</v>
      </c>
      <c r="E322" s="11" t="str">
        <f aca="false">INDEX(Bases!$C$5:$C$83,$T322)</f>
        <v>Tir rapide</v>
      </c>
      <c r="F322" s="10" t="str">
        <f aca="false">INDEX(Éléments!$A$5:$A$14,$U322)</f>
        <v>Terre</v>
      </c>
      <c r="G322" s="12" t="str">
        <f aca="false">IF(OR($F322="Neutre",$C322="Passif"),$E322,INDEX(Bases!$D$5:$D$83,$T322)&amp;" "&amp;INDEX(Éléments!$D$5:$D$14,$U322))</f>
        <v>Tir rapide de pierre</v>
      </c>
      <c r="H322" s="10" t="str">
        <f aca="false">INDEX(Bases!$G$5:$G$83,$T322)</f>
        <v>Mono</v>
      </c>
      <c r="I322" s="13" t="n">
        <f aca="false">INDEX(Bases!$H$5:$H$83,$T322)</f>
        <v>0</v>
      </c>
      <c r="J322" s="10" t="str">
        <f aca="false">INDEX(Bases!$I$5:$I$83,$T322)</f>
        <v>Non</v>
      </c>
      <c r="K322" s="14" t="n">
        <f aca="false">INDEX(Bases!$J$5:$J$83,$T322)</f>
        <v>1</v>
      </c>
      <c r="L322" s="10" t="str">
        <f aca="false">INDEX(Bases!$K$5:$K$83,$T322)</f>
        <v>Force</v>
      </c>
      <c r="M322" s="11" t="str">
        <f aca="false">INDEX(Bases!$L$5:$L$83,$T322)</f>
        <v>Tir fiable.</v>
      </c>
      <c r="N322" s="11" t="str">
        <f aca="false">IF($C322="Passif","—",IF($C322="Attaque (arme 1)",INDEX(Éléments!$F$5:$F$14,$U322),INDEX(Éléments!$G$5:$G$14,$U322)))</f>
        <v>30 % : Garde brisée (−15 % Résistance, 2 tours).</v>
      </c>
      <c r="O322" s="10" t="str">
        <f aca="false">INDEX(Bases!$M$5:$M$83,$T322)</f>
        <v>Active</v>
      </c>
      <c r="P322" s="13" t="n">
        <f aca="false">INDEX(Bases!$N$5:$N$83,$T322)</f>
        <v>1</v>
      </c>
      <c r="Q322" s="15" t="n">
        <f aca="false">INDEX(Éléments!$C$5:$C$14,$U322)</f>
        <v>20</v>
      </c>
      <c r="R322" s="11" t="str">
        <f aca="false">"Niv. "&amp;$P322&amp;IF($Q322&gt;0," · étage "&amp;$Q322&amp;" terminé","")</f>
        <v>Niv. 1 · étage 20 terminé</v>
      </c>
      <c r="S322" s="14" t="n">
        <f aca="false">IF(ISNUMBER($I322),$K322*IF($H322="Zone",Paramètres!$B$8,1)/MAX(1,$I322),0)</f>
        <v>1</v>
      </c>
      <c r="T322" s="16" t="n">
        <v>47</v>
      </c>
      <c r="U322" s="16" t="n">
        <v>2</v>
      </c>
    </row>
    <row r="323" customFormat="false" ht="15" hidden="false" customHeight="true" outlineLevel="0" collapsed="false">
      <c r="A323" s="9" t="s">
        <v>392</v>
      </c>
      <c r="B323" s="10" t="str">
        <f aca="false">INDEX(Bases!$B$5:$B$83,$T323)</f>
        <v>Tireur</v>
      </c>
      <c r="C323" s="10" t="str">
        <f aca="false">INDEX(Bases!$E$5:$E$83,$T323)</f>
        <v>Attaque (arme 1)</v>
      </c>
      <c r="D323" s="10" t="str">
        <f aca="false">INDEX(Bases!$F$5:$F$83,$T323)</f>
        <v>Attaque</v>
      </c>
      <c r="E323" s="11" t="str">
        <f aca="false">INDEX(Bases!$C$5:$C$83,$T323)</f>
        <v>Tir rapide</v>
      </c>
      <c r="F323" s="10" t="str">
        <f aca="false">INDEX(Éléments!$A$5:$A$14,$U323)</f>
        <v>Feu</v>
      </c>
      <c r="G323" s="12" t="str">
        <f aca="false">IF(OR($F323="Neutre",$C323="Passif"),$E323,INDEX(Bases!$D$5:$D$83,$T323)&amp;" "&amp;INDEX(Éléments!$D$5:$D$14,$U323))</f>
        <v>Tir rapide de feu</v>
      </c>
      <c r="H323" s="10" t="str">
        <f aca="false">INDEX(Bases!$G$5:$G$83,$T323)</f>
        <v>Mono</v>
      </c>
      <c r="I323" s="13" t="n">
        <f aca="false">INDEX(Bases!$H$5:$H$83,$T323)</f>
        <v>0</v>
      </c>
      <c r="J323" s="10" t="str">
        <f aca="false">INDEX(Bases!$I$5:$I$83,$T323)</f>
        <v>Non</v>
      </c>
      <c r="K323" s="14" t="n">
        <f aca="false">INDEX(Bases!$J$5:$J$83,$T323)</f>
        <v>1</v>
      </c>
      <c r="L323" s="10" t="str">
        <f aca="false">INDEX(Bases!$K$5:$K$83,$T323)</f>
        <v>Force</v>
      </c>
      <c r="M323" s="11" t="str">
        <f aca="false">INDEX(Bases!$L$5:$L$83,$T323)</f>
        <v>Tir fiable.</v>
      </c>
      <c r="N323" s="11" t="str">
        <f aca="false">IF($C323="Passif","—",IF($C323="Attaque (arme 1)",INDEX(Éléments!$F$5:$F$14,$U323),INDEX(Éléments!$G$5:$G$14,$U323)))</f>
        <v>35 % : Brûlure (8 % de la stat d'attaque par tour, 3 tours, non cumulable).</v>
      </c>
      <c r="O323" s="10" t="str">
        <f aca="false">INDEX(Bases!$M$5:$M$83,$T323)</f>
        <v>Active</v>
      </c>
      <c r="P323" s="13" t="n">
        <f aca="false">INDEX(Bases!$N$5:$N$83,$T323)</f>
        <v>1</v>
      </c>
      <c r="Q323" s="15" t="n">
        <f aca="false">INDEX(Éléments!$C$5:$C$14,$U323)</f>
        <v>30</v>
      </c>
      <c r="R323" s="11" t="str">
        <f aca="false">"Niv. "&amp;$P323&amp;IF($Q323&gt;0," · étage "&amp;$Q323&amp;" terminé","")</f>
        <v>Niv. 1 · étage 30 terminé</v>
      </c>
      <c r="S323" s="14" t="n">
        <f aca="false">IF(ISNUMBER($I323),$K323*IF($H323="Zone",Paramètres!$B$8,1)/MAX(1,$I323),0)</f>
        <v>1</v>
      </c>
      <c r="T323" s="16" t="n">
        <v>47</v>
      </c>
      <c r="U323" s="16" t="n">
        <v>3</v>
      </c>
    </row>
    <row r="324" customFormat="false" ht="15" hidden="false" customHeight="true" outlineLevel="0" collapsed="false">
      <c r="A324" s="9" t="s">
        <v>393</v>
      </c>
      <c r="B324" s="10" t="str">
        <f aca="false">INDEX(Bases!$B$5:$B$83,$T324)</f>
        <v>Tireur</v>
      </c>
      <c r="C324" s="10" t="str">
        <f aca="false">INDEX(Bases!$E$5:$E$83,$T324)</f>
        <v>Attaque (arme 1)</v>
      </c>
      <c r="D324" s="10" t="str">
        <f aca="false">INDEX(Bases!$F$5:$F$83,$T324)</f>
        <v>Attaque</v>
      </c>
      <c r="E324" s="11" t="str">
        <f aca="false">INDEX(Bases!$C$5:$C$83,$T324)</f>
        <v>Tir rapide</v>
      </c>
      <c r="F324" s="10" t="str">
        <f aca="false">INDEX(Éléments!$A$5:$A$14,$U324)</f>
        <v>Vent</v>
      </c>
      <c r="G324" s="12" t="str">
        <f aca="false">IF(OR($F324="Neutre",$C324="Passif"),$E324,INDEX(Bases!$D$5:$D$83,$T324)&amp;" "&amp;INDEX(Éléments!$D$5:$D$14,$U324))</f>
        <v>Tir rapide de vent</v>
      </c>
      <c r="H324" s="10" t="str">
        <f aca="false">INDEX(Bases!$G$5:$G$83,$T324)</f>
        <v>Mono</v>
      </c>
      <c r="I324" s="13" t="n">
        <f aca="false">INDEX(Bases!$H$5:$H$83,$T324)</f>
        <v>0</v>
      </c>
      <c r="J324" s="10" t="str">
        <f aca="false">INDEX(Bases!$I$5:$I$83,$T324)</f>
        <v>Non</v>
      </c>
      <c r="K324" s="14" t="n">
        <f aca="false">INDEX(Bases!$J$5:$J$83,$T324)</f>
        <v>1</v>
      </c>
      <c r="L324" s="10" t="str">
        <f aca="false">INDEX(Bases!$K$5:$K$83,$T324)</f>
        <v>Force</v>
      </c>
      <c r="M324" s="11" t="str">
        <f aca="false">INDEX(Bases!$L$5:$L$83,$T324)</f>
        <v>Tir fiable.</v>
      </c>
      <c r="N324" s="11" t="str">
        <f aca="false">IF($C324="Passif","—",IF($C324="Attaque (arme 1)",INDEX(Éléments!$F$5:$F$14,$U324),INDEX(Éléments!$G$5:$G$14,$U324)))</f>
        <v>+10 % de chance de critique ; 30 % : Désorienté (−15 % Précision, 2 tours).</v>
      </c>
      <c r="O324" s="10" t="str">
        <f aca="false">INDEX(Bases!$M$5:$M$83,$T324)</f>
        <v>Active</v>
      </c>
      <c r="P324" s="13" t="n">
        <f aca="false">INDEX(Bases!$N$5:$N$83,$T324)</f>
        <v>1</v>
      </c>
      <c r="Q324" s="15" t="n">
        <f aca="false">INDEX(Éléments!$C$5:$C$14,$U324)</f>
        <v>40</v>
      </c>
      <c r="R324" s="11" t="str">
        <f aca="false">"Niv. "&amp;$P324&amp;IF($Q324&gt;0," · étage "&amp;$Q324&amp;" terminé","")</f>
        <v>Niv. 1 · étage 40 terminé</v>
      </c>
      <c r="S324" s="14" t="n">
        <f aca="false">IF(ISNUMBER($I324),$K324*IF($H324="Zone",Paramètres!$B$8,1)/MAX(1,$I324),0)</f>
        <v>1</v>
      </c>
      <c r="T324" s="16" t="n">
        <v>47</v>
      </c>
      <c r="U324" s="16" t="n">
        <v>4</v>
      </c>
    </row>
    <row r="325" customFormat="false" ht="15" hidden="false" customHeight="true" outlineLevel="0" collapsed="false">
      <c r="A325" s="9" t="s">
        <v>394</v>
      </c>
      <c r="B325" s="10" t="str">
        <f aca="false">INDEX(Bases!$B$5:$B$83,$T325)</f>
        <v>Tireur</v>
      </c>
      <c r="C325" s="10" t="str">
        <f aca="false">INDEX(Bases!$E$5:$E$83,$T325)</f>
        <v>Attaque (arme 1)</v>
      </c>
      <c r="D325" s="10" t="str">
        <f aca="false">INDEX(Bases!$F$5:$F$83,$T325)</f>
        <v>Attaque</v>
      </c>
      <c r="E325" s="11" t="str">
        <f aca="false">INDEX(Bases!$C$5:$C$83,$T325)</f>
        <v>Tir rapide</v>
      </c>
      <c r="F325" s="10" t="str">
        <f aca="false">INDEX(Éléments!$A$5:$A$14,$U325)</f>
        <v>Acide</v>
      </c>
      <c r="G325" s="12" t="str">
        <f aca="false">IF(OR($F325="Neutre",$C325="Passif"),$E325,INDEX(Bases!$D$5:$D$83,$T325)&amp;" "&amp;INDEX(Éléments!$D$5:$D$14,$U325))</f>
        <v>Tir rapide d'acide</v>
      </c>
      <c r="H325" s="10" t="str">
        <f aca="false">INDEX(Bases!$G$5:$G$83,$T325)</f>
        <v>Mono</v>
      </c>
      <c r="I325" s="13" t="n">
        <f aca="false">INDEX(Bases!$H$5:$H$83,$T325)</f>
        <v>0</v>
      </c>
      <c r="J325" s="10" t="str">
        <f aca="false">INDEX(Bases!$I$5:$I$83,$T325)</f>
        <v>Non</v>
      </c>
      <c r="K325" s="14" t="n">
        <f aca="false">INDEX(Bases!$J$5:$J$83,$T325)</f>
        <v>1</v>
      </c>
      <c r="L325" s="10" t="str">
        <f aca="false">INDEX(Bases!$K$5:$K$83,$T325)</f>
        <v>Force</v>
      </c>
      <c r="M325" s="11" t="str">
        <f aca="false">INDEX(Bases!$L$5:$L$83,$T325)</f>
        <v>Tir fiable.</v>
      </c>
      <c r="N325" s="11" t="str">
        <f aca="false">IF($C325="Passif","—",IF($C325="Attaque (arme 1)",INDEX(Éléments!$F$5:$F$14,$U325),INDEX(Éléments!$G$5:$G$14,$U325)))</f>
        <v>50 % : 1 pile de Corrosion (−5 % Armure par pile, 4 piles max, 3 tours).</v>
      </c>
      <c r="O325" s="10" t="str">
        <f aca="false">INDEX(Bases!$M$5:$M$83,$T325)</f>
        <v>Active</v>
      </c>
      <c r="P325" s="13" t="n">
        <f aca="false">INDEX(Bases!$N$5:$N$83,$T325)</f>
        <v>1</v>
      </c>
      <c r="Q325" s="15" t="n">
        <f aca="false">INDEX(Éléments!$C$5:$C$14,$U325)</f>
        <v>50</v>
      </c>
      <c r="R325" s="11" t="str">
        <f aca="false">"Niv. "&amp;$P325&amp;IF($Q325&gt;0," · étage "&amp;$Q325&amp;" terminé","")</f>
        <v>Niv. 1 · étage 50 terminé</v>
      </c>
      <c r="S325" s="14" t="n">
        <f aca="false">IF(ISNUMBER($I325),$K325*IF($H325="Zone",Paramètres!$B$8,1)/MAX(1,$I325),0)</f>
        <v>1</v>
      </c>
      <c r="T325" s="16" t="n">
        <v>47</v>
      </c>
      <c r="U325" s="16" t="n">
        <v>5</v>
      </c>
    </row>
    <row r="326" customFormat="false" ht="15" hidden="false" customHeight="true" outlineLevel="0" collapsed="false">
      <c r="A326" s="9" t="s">
        <v>395</v>
      </c>
      <c r="B326" s="10" t="str">
        <f aca="false">INDEX(Bases!$B$5:$B$83,$T326)</f>
        <v>Tireur</v>
      </c>
      <c r="C326" s="10" t="str">
        <f aca="false">INDEX(Bases!$E$5:$E$83,$T326)</f>
        <v>Attaque (arme 1)</v>
      </c>
      <c r="D326" s="10" t="str">
        <f aca="false">INDEX(Bases!$F$5:$F$83,$T326)</f>
        <v>Attaque</v>
      </c>
      <c r="E326" s="11" t="str">
        <f aca="false">INDEX(Bases!$C$5:$C$83,$T326)</f>
        <v>Tir rapide</v>
      </c>
      <c r="F326" s="10" t="str">
        <f aca="false">INDEX(Éléments!$A$5:$A$14,$U326)</f>
        <v>Eau</v>
      </c>
      <c r="G326" s="12" t="str">
        <f aca="false">IF(OR($F326="Neutre",$C326="Passif"),$E326,INDEX(Bases!$D$5:$D$83,$T326)&amp;" "&amp;INDEX(Éléments!$D$5:$D$14,$U326))</f>
        <v>Tir rapide d'eau</v>
      </c>
      <c r="H326" s="10" t="str">
        <f aca="false">INDEX(Bases!$G$5:$G$83,$T326)</f>
        <v>Mono</v>
      </c>
      <c r="I326" s="13" t="n">
        <f aca="false">INDEX(Bases!$H$5:$H$83,$T326)</f>
        <v>0</v>
      </c>
      <c r="J326" s="10" t="str">
        <f aca="false">INDEX(Bases!$I$5:$I$83,$T326)</f>
        <v>Non</v>
      </c>
      <c r="K326" s="14" t="n">
        <f aca="false">INDEX(Bases!$J$5:$J$83,$T326)</f>
        <v>1</v>
      </c>
      <c r="L326" s="10" t="str">
        <f aca="false">INDEX(Bases!$K$5:$K$83,$T326)</f>
        <v>Force</v>
      </c>
      <c r="M326" s="11" t="str">
        <f aca="false">INDEX(Bases!$L$5:$L$83,$T326)</f>
        <v>Tir fiable.</v>
      </c>
      <c r="N326" s="11" t="str">
        <f aca="false">IF($C326="Passif","—",IF($C326="Attaque (arme 1)",INDEX(Éléments!$F$5:$F$14,$U326),INDEX(Éléments!$G$5:$G$14,$U326)))</f>
        <v>50 % : Mouillé (+25 % de dégâts d'Électricité subis, retire Brûlure, 3 tours).</v>
      </c>
      <c r="O326" s="10" t="str">
        <f aca="false">INDEX(Bases!$M$5:$M$83,$T326)</f>
        <v>Active</v>
      </c>
      <c r="P326" s="13" t="n">
        <f aca="false">INDEX(Bases!$N$5:$N$83,$T326)</f>
        <v>1</v>
      </c>
      <c r="Q326" s="15" t="n">
        <f aca="false">INDEX(Éléments!$C$5:$C$14,$U326)</f>
        <v>60</v>
      </c>
      <c r="R326" s="11" t="str">
        <f aca="false">"Niv. "&amp;$P326&amp;IF($Q326&gt;0," · étage "&amp;$Q326&amp;" terminé","")</f>
        <v>Niv. 1 · étage 60 terminé</v>
      </c>
      <c r="S326" s="14" t="n">
        <f aca="false">IF(ISNUMBER($I326),$K326*IF($H326="Zone",Paramètres!$B$8,1)/MAX(1,$I326),0)</f>
        <v>1</v>
      </c>
      <c r="T326" s="16" t="n">
        <v>47</v>
      </c>
      <c r="U326" s="16" t="n">
        <v>6</v>
      </c>
    </row>
    <row r="327" customFormat="false" ht="15" hidden="false" customHeight="true" outlineLevel="0" collapsed="false">
      <c r="A327" s="9" t="s">
        <v>396</v>
      </c>
      <c r="B327" s="10" t="str">
        <f aca="false">INDEX(Bases!$B$5:$B$83,$T327)</f>
        <v>Tireur</v>
      </c>
      <c r="C327" s="10" t="str">
        <f aca="false">INDEX(Bases!$E$5:$E$83,$T327)</f>
        <v>Attaque (arme 1)</v>
      </c>
      <c r="D327" s="10" t="str">
        <f aca="false">INDEX(Bases!$F$5:$F$83,$T327)</f>
        <v>Attaque</v>
      </c>
      <c r="E327" s="11" t="str">
        <f aca="false">INDEX(Bases!$C$5:$C$83,$T327)</f>
        <v>Tir rapide</v>
      </c>
      <c r="F327" s="10" t="str">
        <f aca="false">INDEX(Éléments!$A$5:$A$14,$U327)</f>
        <v>Glace</v>
      </c>
      <c r="G327" s="12" t="str">
        <f aca="false">IF(OR($F327="Neutre",$C327="Passif"),$E327,INDEX(Bases!$D$5:$D$83,$T327)&amp;" "&amp;INDEX(Éléments!$D$5:$D$14,$U327))</f>
        <v>Tir rapide de glace</v>
      </c>
      <c r="H327" s="10" t="str">
        <f aca="false">INDEX(Bases!$G$5:$G$83,$T327)</f>
        <v>Mono</v>
      </c>
      <c r="I327" s="13" t="n">
        <f aca="false">INDEX(Bases!$H$5:$H$83,$T327)</f>
        <v>0</v>
      </c>
      <c r="J327" s="10" t="str">
        <f aca="false">INDEX(Bases!$I$5:$I$83,$T327)</f>
        <v>Non</v>
      </c>
      <c r="K327" s="14" t="n">
        <f aca="false">INDEX(Bases!$J$5:$J$83,$T327)</f>
        <v>1</v>
      </c>
      <c r="L327" s="10" t="str">
        <f aca="false">INDEX(Bases!$K$5:$K$83,$T327)</f>
        <v>Force</v>
      </c>
      <c r="M327" s="11" t="str">
        <f aca="false">INDEX(Bases!$L$5:$L$83,$T327)</f>
        <v>Tir fiable.</v>
      </c>
      <c r="N327" s="11" t="str">
        <f aca="false">IF($C327="Passif","—",IF($C327="Attaque (arme 1)",INDEX(Éléments!$F$5:$F$14,$U327),INDEX(Éléments!$G$5:$G$14,$U327)))</f>
        <v>40 % : 1 pile de Froid (−8 % Agilité ; à 3 piles : Gel, la cible perd 1 tour).</v>
      </c>
      <c r="O327" s="10" t="str">
        <f aca="false">INDEX(Bases!$M$5:$M$83,$T327)</f>
        <v>Active</v>
      </c>
      <c r="P327" s="13" t="n">
        <f aca="false">INDEX(Bases!$N$5:$N$83,$T327)</f>
        <v>1</v>
      </c>
      <c r="Q327" s="15" t="n">
        <f aca="false">INDEX(Éléments!$C$5:$C$14,$U327)</f>
        <v>70</v>
      </c>
      <c r="R327" s="11" t="str">
        <f aca="false">"Niv. "&amp;$P327&amp;IF($Q327&gt;0," · étage "&amp;$Q327&amp;" terminé","")</f>
        <v>Niv. 1 · étage 70 terminé</v>
      </c>
      <c r="S327" s="14" t="n">
        <f aca="false">IF(ISNUMBER($I327),$K327*IF($H327="Zone",Paramètres!$B$8,1)/MAX(1,$I327),0)</f>
        <v>1</v>
      </c>
      <c r="T327" s="16" t="n">
        <v>47</v>
      </c>
      <c r="U327" s="16" t="n">
        <v>7</v>
      </c>
    </row>
    <row r="328" customFormat="false" ht="15" hidden="false" customHeight="true" outlineLevel="0" collapsed="false">
      <c r="A328" s="9" t="s">
        <v>397</v>
      </c>
      <c r="B328" s="10" t="str">
        <f aca="false">INDEX(Bases!$B$5:$B$83,$T328)</f>
        <v>Tireur</v>
      </c>
      <c r="C328" s="10" t="str">
        <f aca="false">INDEX(Bases!$E$5:$E$83,$T328)</f>
        <v>Attaque (arme 1)</v>
      </c>
      <c r="D328" s="10" t="str">
        <f aca="false">INDEX(Bases!$F$5:$F$83,$T328)</f>
        <v>Attaque</v>
      </c>
      <c r="E328" s="11" t="str">
        <f aca="false">INDEX(Bases!$C$5:$C$83,$T328)</f>
        <v>Tir rapide</v>
      </c>
      <c r="F328" s="10" t="str">
        <f aca="false">INDEX(Éléments!$A$5:$A$14,$U328)</f>
        <v>Électricité</v>
      </c>
      <c r="G328" s="12" t="str">
        <f aca="false">IF(OR($F328="Neutre",$C328="Passif"),$E328,INDEX(Bases!$D$5:$D$83,$T328)&amp;" "&amp;INDEX(Éléments!$D$5:$D$14,$U328))</f>
        <v>Tir rapide de foudre</v>
      </c>
      <c r="H328" s="10" t="str">
        <f aca="false">INDEX(Bases!$G$5:$G$83,$T328)</f>
        <v>Mono</v>
      </c>
      <c r="I328" s="13" t="n">
        <f aca="false">INDEX(Bases!$H$5:$H$83,$T328)</f>
        <v>0</v>
      </c>
      <c r="J328" s="10" t="str">
        <f aca="false">INDEX(Bases!$I$5:$I$83,$T328)</f>
        <v>Non</v>
      </c>
      <c r="K328" s="14" t="n">
        <f aca="false">INDEX(Bases!$J$5:$J$83,$T328)</f>
        <v>1</v>
      </c>
      <c r="L328" s="10" t="str">
        <f aca="false">INDEX(Bases!$K$5:$K$83,$T328)</f>
        <v>Force</v>
      </c>
      <c r="M328" s="11" t="str">
        <f aca="false">INDEX(Bases!$L$5:$L$83,$T328)</f>
        <v>Tir fiable.</v>
      </c>
      <c r="N328" s="11" t="str">
        <f aca="false">IF($C328="Passif","—",IF($C328="Attaque (arme 1)",INDEX(Éléments!$F$5:$F$14,$U328),INDEX(Éléments!$G$5:$G$14,$U328)))</f>
        <v>Rebondit sur 1 autre ennemi (40 % des dégâts) ; 10 % : Étourdissement (1 tour).</v>
      </c>
      <c r="O328" s="10" t="str">
        <f aca="false">INDEX(Bases!$M$5:$M$83,$T328)</f>
        <v>Active</v>
      </c>
      <c r="P328" s="13" t="n">
        <f aca="false">INDEX(Bases!$N$5:$N$83,$T328)</f>
        <v>1</v>
      </c>
      <c r="Q328" s="15" t="n">
        <f aca="false">INDEX(Éléments!$C$5:$C$14,$U328)</f>
        <v>80</v>
      </c>
      <c r="R328" s="11" t="str">
        <f aca="false">"Niv. "&amp;$P328&amp;IF($Q328&gt;0," · étage "&amp;$Q328&amp;" terminé","")</f>
        <v>Niv. 1 · étage 80 terminé</v>
      </c>
      <c r="S328" s="14" t="n">
        <f aca="false">IF(ISNUMBER($I328),$K328*IF($H328="Zone",Paramètres!$B$8,1)/MAX(1,$I328),0)</f>
        <v>1</v>
      </c>
      <c r="T328" s="16" t="n">
        <v>47</v>
      </c>
      <c r="U328" s="16" t="n">
        <v>8</v>
      </c>
    </row>
    <row r="329" customFormat="false" ht="15" hidden="false" customHeight="true" outlineLevel="0" collapsed="false">
      <c r="A329" s="9" t="s">
        <v>398</v>
      </c>
      <c r="B329" s="10" t="str">
        <f aca="false">INDEX(Bases!$B$5:$B$83,$T329)</f>
        <v>Tireur</v>
      </c>
      <c r="C329" s="10" t="str">
        <f aca="false">INDEX(Bases!$E$5:$E$83,$T329)</f>
        <v>Attaque (arme 1)</v>
      </c>
      <c r="D329" s="10" t="str">
        <f aca="false">INDEX(Bases!$F$5:$F$83,$T329)</f>
        <v>Attaque</v>
      </c>
      <c r="E329" s="11" t="str">
        <f aca="false">INDEX(Bases!$C$5:$C$83,$T329)</f>
        <v>Tir rapide</v>
      </c>
      <c r="F329" s="10" t="str">
        <f aca="false">INDEX(Éléments!$A$5:$A$14,$U329)</f>
        <v>Lumière</v>
      </c>
      <c r="G329" s="12" t="str">
        <f aca="false">IF(OR($F329="Neutre",$C329="Passif"),$E329,INDEX(Bases!$D$5:$D$83,$T329)&amp;" "&amp;INDEX(Éléments!$D$5:$D$14,$U329))</f>
        <v>Tir rapide de lumière</v>
      </c>
      <c r="H329" s="10" t="str">
        <f aca="false">INDEX(Bases!$G$5:$G$83,$T329)</f>
        <v>Mono</v>
      </c>
      <c r="I329" s="13" t="n">
        <f aca="false">INDEX(Bases!$H$5:$H$83,$T329)</f>
        <v>0</v>
      </c>
      <c r="J329" s="10" t="str">
        <f aca="false">INDEX(Bases!$I$5:$I$83,$T329)</f>
        <v>Non</v>
      </c>
      <c r="K329" s="14" t="n">
        <f aca="false">INDEX(Bases!$J$5:$J$83,$T329)</f>
        <v>1</v>
      </c>
      <c r="L329" s="10" t="str">
        <f aca="false">INDEX(Bases!$K$5:$K$83,$T329)</f>
        <v>Force</v>
      </c>
      <c r="M329" s="11" t="str">
        <f aca="false">INDEX(Bases!$L$5:$L$83,$T329)</f>
        <v>Tir fiable.</v>
      </c>
      <c r="N329" s="11" t="str">
        <f aca="false">IF($C329="Passif","—",IF($C329="Attaque (arme 1)",INDEX(Éléments!$F$5:$F$14,$U329),INDEX(Éléments!$G$5:$G$14,$U329)))</f>
        <v>Soigne le lanceur de 5 % des dégâts infligés ; 25 % : Éblouissement (−20 % chance de critique, 2 tours).</v>
      </c>
      <c r="O329" s="10" t="str">
        <f aca="false">INDEX(Bases!$M$5:$M$83,$T329)</f>
        <v>Active</v>
      </c>
      <c r="P329" s="13" t="n">
        <f aca="false">INDEX(Bases!$N$5:$N$83,$T329)</f>
        <v>1</v>
      </c>
      <c r="Q329" s="15" t="n">
        <f aca="false">INDEX(Éléments!$C$5:$C$14,$U329)</f>
        <v>90</v>
      </c>
      <c r="R329" s="11" t="str">
        <f aca="false">"Niv. "&amp;$P329&amp;IF($Q329&gt;0," · étage "&amp;$Q329&amp;" terminé","")</f>
        <v>Niv. 1 · étage 90 terminé</v>
      </c>
      <c r="S329" s="14" t="n">
        <f aca="false">IF(ISNUMBER($I329),$K329*IF($H329="Zone",Paramètres!$B$8,1)/MAX(1,$I329),0)</f>
        <v>1</v>
      </c>
      <c r="T329" s="16" t="n">
        <v>47</v>
      </c>
      <c r="U329" s="16" t="n">
        <v>9</v>
      </c>
    </row>
    <row r="330" customFormat="false" ht="15" hidden="false" customHeight="true" outlineLevel="0" collapsed="false">
      <c r="A330" s="9" t="s">
        <v>399</v>
      </c>
      <c r="B330" s="10" t="str">
        <f aca="false">INDEX(Bases!$B$5:$B$83,$T330)</f>
        <v>Tireur</v>
      </c>
      <c r="C330" s="10" t="str">
        <f aca="false">INDEX(Bases!$E$5:$E$83,$T330)</f>
        <v>Attaque (arme 1)</v>
      </c>
      <c r="D330" s="10" t="str">
        <f aca="false">INDEX(Bases!$F$5:$F$83,$T330)</f>
        <v>Attaque</v>
      </c>
      <c r="E330" s="11" t="str">
        <f aca="false">INDEX(Bases!$C$5:$C$83,$T330)</f>
        <v>Tir rapide</v>
      </c>
      <c r="F330" s="10" t="str">
        <f aca="false">INDEX(Éléments!$A$5:$A$14,$U330)</f>
        <v>Ombre</v>
      </c>
      <c r="G330" s="12" t="str">
        <f aca="false">IF(OR($F330="Neutre",$C330="Passif"),$E330,INDEX(Bases!$D$5:$D$83,$T330)&amp;" "&amp;INDEX(Éléments!$D$5:$D$14,$U330))</f>
        <v>Tir rapide d'ombre</v>
      </c>
      <c r="H330" s="10" t="str">
        <f aca="false">INDEX(Bases!$G$5:$G$83,$T330)</f>
        <v>Mono</v>
      </c>
      <c r="I330" s="13" t="n">
        <f aca="false">INDEX(Bases!$H$5:$H$83,$T330)</f>
        <v>0</v>
      </c>
      <c r="J330" s="10" t="str">
        <f aca="false">INDEX(Bases!$I$5:$I$83,$T330)</f>
        <v>Non</v>
      </c>
      <c r="K330" s="14" t="n">
        <f aca="false">INDEX(Bases!$J$5:$J$83,$T330)</f>
        <v>1</v>
      </c>
      <c r="L330" s="10" t="str">
        <f aca="false">INDEX(Bases!$K$5:$K$83,$T330)</f>
        <v>Force</v>
      </c>
      <c r="M330" s="11" t="str">
        <f aca="false">INDEX(Bases!$L$5:$L$83,$T330)</f>
        <v>Tir fiable.</v>
      </c>
      <c r="N330" s="11" t="str">
        <f aca="false">IF($C330="Passif","—",IF($C330="Attaque (arme 1)",INDEX(Éléments!$F$5:$F$14,$U330),INDEX(Éléments!$G$5:$G$14,$U330)))</f>
        <v>Vol de vie 5 % ; 30 % : Corruption (+10 % de dégâts subis, 2 tours).</v>
      </c>
      <c r="O330" s="10" t="str">
        <f aca="false">INDEX(Bases!$M$5:$M$83,$T330)</f>
        <v>Active</v>
      </c>
      <c r="P330" s="13" t="n">
        <f aca="false">INDEX(Bases!$N$5:$N$83,$T330)</f>
        <v>1</v>
      </c>
      <c r="Q330" s="15" t="n">
        <f aca="false">INDEX(Éléments!$C$5:$C$14,$U330)</f>
        <v>100</v>
      </c>
      <c r="R330" s="11" t="str">
        <f aca="false">"Niv. "&amp;$P330&amp;IF($Q330&gt;0," · étage "&amp;$Q330&amp;" terminé","")</f>
        <v>Niv. 1 · étage 100 terminé</v>
      </c>
      <c r="S330" s="14" t="n">
        <f aca="false">IF(ISNUMBER($I330),$K330*IF($H330="Zone",Paramètres!$B$8,1)/MAX(1,$I330),0)</f>
        <v>1</v>
      </c>
      <c r="T330" s="16" t="n">
        <v>47</v>
      </c>
      <c r="U330" s="16" t="n">
        <v>10</v>
      </c>
    </row>
    <row r="331" customFormat="false" ht="15" hidden="false" customHeight="true" outlineLevel="0" collapsed="false">
      <c r="A331" s="9" t="s">
        <v>400</v>
      </c>
      <c r="B331" s="10" t="str">
        <f aca="false">INDEX(Bases!$B$5:$B$83,$T331)</f>
        <v>Tireur</v>
      </c>
      <c r="C331" s="10" t="str">
        <f aca="false">INDEX(Bases!$E$5:$E$83,$T331)</f>
        <v>Attaque (arme 1)</v>
      </c>
      <c r="D331" s="10" t="str">
        <f aca="false">INDEX(Bases!$F$5:$F$83,$T331)</f>
        <v>Attaque</v>
      </c>
      <c r="E331" s="11" t="str">
        <f aca="false">INDEX(Bases!$C$5:$C$83,$T331)</f>
        <v>Tir précis</v>
      </c>
      <c r="F331" s="10" t="str">
        <f aca="false">INDEX(Éléments!$A$5:$A$14,$U331)</f>
        <v>Neutre</v>
      </c>
      <c r="G331" s="12" t="str">
        <f aca="false">IF(OR($F331="Neutre",$C331="Passif"),$E331,INDEX(Bases!$D$5:$D$83,$T331)&amp;" "&amp;INDEX(Éléments!$D$5:$D$14,$U331))</f>
        <v>Tir précis</v>
      </c>
      <c r="H331" s="10" t="str">
        <f aca="false">INDEX(Bases!$G$5:$G$83,$T331)</f>
        <v>Mono</v>
      </c>
      <c r="I331" s="13" t="n">
        <f aca="false">INDEX(Bases!$H$5:$H$83,$T331)</f>
        <v>0</v>
      </c>
      <c r="J331" s="10" t="str">
        <f aca="false">INDEX(Bases!$I$5:$I$83,$T331)</f>
        <v>Non</v>
      </c>
      <c r="K331" s="14" t="n">
        <f aca="false">INDEX(Bases!$J$5:$J$83,$T331)</f>
        <v>0.9</v>
      </c>
      <c r="L331" s="10" t="str">
        <f aca="false">INDEX(Bases!$K$5:$K$83,$T331)</f>
        <v>Force</v>
      </c>
      <c r="M331" s="11" t="str">
        <f aca="false">INDEX(Bases!$L$5:$L$83,$T331)</f>
        <v>Ne rate jamais ; +20 % de chance de critique.</v>
      </c>
      <c r="N331" s="11" t="str">
        <f aca="false">IF($C331="Passif","—",IF($C331="Attaque (arme 1)",INDEX(Éléments!$F$5:$F$14,$U331),INDEX(Éléments!$G$5:$G$14,$U331)))</f>
        <v>Aucune altération ; ignore 10 % de la Résistance de la cible. Fiable contre tous les biomes.</v>
      </c>
      <c r="O331" s="10" t="str">
        <f aca="false">INDEX(Bases!$M$5:$M$83,$T331)</f>
        <v>Active</v>
      </c>
      <c r="P331" s="13" t="n">
        <f aca="false">INDEX(Bases!$N$5:$N$83,$T331)</f>
        <v>1</v>
      </c>
      <c r="Q331" s="15" t="n">
        <f aca="false">INDEX(Éléments!$C$5:$C$14,$U331)</f>
        <v>0</v>
      </c>
      <c r="R331" s="11" t="str">
        <f aca="false">"Niv. "&amp;$P331&amp;IF($Q331&gt;0," · étage "&amp;$Q331&amp;" terminé","")</f>
        <v>Niv. 1</v>
      </c>
      <c r="S331" s="14" t="n">
        <f aca="false">IF(ISNUMBER($I331),$K331*IF($H331="Zone",Paramètres!$B$8,1)/MAX(1,$I331),0)</f>
        <v>0.9</v>
      </c>
      <c r="T331" s="16" t="n">
        <v>48</v>
      </c>
      <c r="U331" s="16" t="n">
        <v>1</v>
      </c>
    </row>
    <row r="332" customFormat="false" ht="15" hidden="false" customHeight="true" outlineLevel="0" collapsed="false">
      <c r="A332" s="9" t="s">
        <v>401</v>
      </c>
      <c r="B332" s="10" t="str">
        <f aca="false">INDEX(Bases!$B$5:$B$83,$T332)</f>
        <v>Tireur</v>
      </c>
      <c r="C332" s="10" t="str">
        <f aca="false">INDEX(Bases!$E$5:$E$83,$T332)</f>
        <v>Attaque (arme 1)</v>
      </c>
      <c r="D332" s="10" t="str">
        <f aca="false">INDEX(Bases!$F$5:$F$83,$T332)</f>
        <v>Attaque</v>
      </c>
      <c r="E332" s="11" t="str">
        <f aca="false">INDEX(Bases!$C$5:$C$83,$T332)</f>
        <v>Tir précis</v>
      </c>
      <c r="F332" s="10" t="str">
        <f aca="false">INDEX(Éléments!$A$5:$A$14,$U332)</f>
        <v>Terre</v>
      </c>
      <c r="G332" s="12" t="str">
        <f aca="false">IF(OR($F332="Neutre",$C332="Passif"),$E332,INDEX(Bases!$D$5:$D$83,$T332)&amp;" "&amp;INDEX(Éléments!$D$5:$D$14,$U332))</f>
        <v>Tir précis de pierre</v>
      </c>
      <c r="H332" s="10" t="str">
        <f aca="false">INDEX(Bases!$G$5:$G$83,$T332)</f>
        <v>Mono</v>
      </c>
      <c r="I332" s="13" t="n">
        <f aca="false">INDEX(Bases!$H$5:$H$83,$T332)</f>
        <v>0</v>
      </c>
      <c r="J332" s="10" t="str">
        <f aca="false">INDEX(Bases!$I$5:$I$83,$T332)</f>
        <v>Non</v>
      </c>
      <c r="K332" s="14" t="n">
        <f aca="false">INDEX(Bases!$J$5:$J$83,$T332)</f>
        <v>0.9</v>
      </c>
      <c r="L332" s="10" t="str">
        <f aca="false">INDEX(Bases!$K$5:$K$83,$T332)</f>
        <v>Force</v>
      </c>
      <c r="M332" s="11" t="str">
        <f aca="false">INDEX(Bases!$L$5:$L$83,$T332)</f>
        <v>Ne rate jamais ; +20 % de chance de critique.</v>
      </c>
      <c r="N332" s="11" t="str">
        <f aca="false">IF($C332="Passif","—",IF($C332="Attaque (arme 1)",INDEX(Éléments!$F$5:$F$14,$U332),INDEX(Éléments!$G$5:$G$14,$U332)))</f>
        <v>30 % : Garde brisée (−15 % Résistance, 2 tours).</v>
      </c>
      <c r="O332" s="10" t="str">
        <f aca="false">INDEX(Bases!$M$5:$M$83,$T332)</f>
        <v>Active</v>
      </c>
      <c r="P332" s="13" t="n">
        <f aca="false">INDEX(Bases!$N$5:$N$83,$T332)</f>
        <v>1</v>
      </c>
      <c r="Q332" s="15" t="n">
        <f aca="false">INDEX(Éléments!$C$5:$C$14,$U332)</f>
        <v>20</v>
      </c>
      <c r="R332" s="11" t="str">
        <f aca="false">"Niv. "&amp;$P332&amp;IF($Q332&gt;0," · étage "&amp;$Q332&amp;" terminé","")</f>
        <v>Niv. 1 · étage 20 terminé</v>
      </c>
      <c r="S332" s="14" t="n">
        <f aca="false">IF(ISNUMBER($I332),$K332*IF($H332="Zone",Paramètres!$B$8,1)/MAX(1,$I332),0)</f>
        <v>0.9</v>
      </c>
      <c r="T332" s="16" t="n">
        <v>48</v>
      </c>
      <c r="U332" s="16" t="n">
        <v>2</v>
      </c>
    </row>
    <row r="333" customFormat="false" ht="15" hidden="false" customHeight="true" outlineLevel="0" collapsed="false">
      <c r="A333" s="9" t="s">
        <v>402</v>
      </c>
      <c r="B333" s="10" t="str">
        <f aca="false">INDEX(Bases!$B$5:$B$83,$T333)</f>
        <v>Tireur</v>
      </c>
      <c r="C333" s="10" t="str">
        <f aca="false">INDEX(Bases!$E$5:$E$83,$T333)</f>
        <v>Attaque (arme 1)</v>
      </c>
      <c r="D333" s="10" t="str">
        <f aca="false">INDEX(Bases!$F$5:$F$83,$T333)</f>
        <v>Attaque</v>
      </c>
      <c r="E333" s="11" t="str">
        <f aca="false">INDEX(Bases!$C$5:$C$83,$T333)</f>
        <v>Tir précis</v>
      </c>
      <c r="F333" s="10" t="str">
        <f aca="false">INDEX(Éléments!$A$5:$A$14,$U333)</f>
        <v>Feu</v>
      </c>
      <c r="G333" s="12" t="str">
        <f aca="false">IF(OR($F333="Neutre",$C333="Passif"),$E333,INDEX(Bases!$D$5:$D$83,$T333)&amp;" "&amp;INDEX(Éléments!$D$5:$D$14,$U333))</f>
        <v>Tir précis de feu</v>
      </c>
      <c r="H333" s="10" t="str">
        <f aca="false">INDEX(Bases!$G$5:$G$83,$T333)</f>
        <v>Mono</v>
      </c>
      <c r="I333" s="13" t="n">
        <f aca="false">INDEX(Bases!$H$5:$H$83,$T333)</f>
        <v>0</v>
      </c>
      <c r="J333" s="10" t="str">
        <f aca="false">INDEX(Bases!$I$5:$I$83,$T333)</f>
        <v>Non</v>
      </c>
      <c r="K333" s="14" t="n">
        <f aca="false">INDEX(Bases!$J$5:$J$83,$T333)</f>
        <v>0.9</v>
      </c>
      <c r="L333" s="10" t="str">
        <f aca="false">INDEX(Bases!$K$5:$K$83,$T333)</f>
        <v>Force</v>
      </c>
      <c r="M333" s="11" t="str">
        <f aca="false">INDEX(Bases!$L$5:$L$83,$T333)</f>
        <v>Ne rate jamais ; +20 % de chance de critique.</v>
      </c>
      <c r="N333" s="11" t="str">
        <f aca="false">IF($C333="Passif","—",IF($C333="Attaque (arme 1)",INDEX(Éléments!$F$5:$F$14,$U333),INDEX(Éléments!$G$5:$G$14,$U333)))</f>
        <v>35 % : Brûlure (8 % de la stat d'attaque par tour, 3 tours, non cumulable).</v>
      </c>
      <c r="O333" s="10" t="str">
        <f aca="false">INDEX(Bases!$M$5:$M$83,$T333)</f>
        <v>Active</v>
      </c>
      <c r="P333" s="13" t="n">
        <f aca="false">INDEX(Bases!$N$5:$N$83,$T333)</f>
        <v>1</v>
      </c>
      <c r="Q333" s="15" t="n">
        <f aca="false">INDEX(Éléments!$C$5:$C$14,$U333)</f>
        <v>30</v>
      </c>
      <c r="R333" s="11" t="str">
        <f aca="false">"Niv. "&amp;$P333&amp;IF($Q333&gt;0," · étage "&amp;$Q333&amp;" terminé","")</f>
        <v>Niv. 1 · étage 30 terminé</v>
      </c>
      <c r="S333" s="14" t="n">
        <f aca="false">IF(ISNUMBER($I333),$K333*IF($H333="Zone",Paramètres!$B$8,1)/MAX(1,$I333),0)</f>
        <v>0.9</v>
      </c>
      <c r="T333" s="16" t="n">
        <v>48</v>
      </c>
      <c r="U333" s="16" t="n">
        <v>3</v>
      </c>
    </row>
    <row r="334" customFormat="false" ht="15" hidden="false" customHeight="true" outlineLevel="0" collapsed="false">
      <c r="A334" s="9" t="s">
        <v>403</v>
      </c>
      <c r="B334" s="10" t="str">
        <f aca="false">INDEX(Bases!$B$5:$B$83,$T334)</f>
        <v>Tireur</v>
      </c>
      <c r="C334" s="10" t="str">
        <f aca="false">INDEX(Bases!$E$5:$E$83,$T334)</f>
        <v>Attaque (arme 1)</v>
      </c>
      <c r="D334" s="10" t="str">
        <f aca="false">INDEX(Bases!$F$5:$F$83,$T334)</f>
        <v>Attaque</v>
      </c>
      <c r="E334" s="11" t="str">
        <f aca="false">INDEX(Bases!$C$5:$C$83,$T334)</f>
        <v>Tir précis</v>
      </c>
      <c r="F334" s="10" t="str">
        <f aca="false">INDEX(Éléments!$A$5:$A$14,$U334)</f>
        <v>Vent</v>
      </c>
      <c r="G334" s="12" t="str">
        <f aca="false">IF(OR($F334="Neutre",$C334="Passif"),$E334,INDEX(Bases!$D$5:$D$83,$T334)&amp;" "&amp;INDEX(Éléments!$D$5:$D$14,$U334))</f>
        <v>Tir précis de vent</v>
      </c>
      <c r="H334" s="10" t="str">
        <f aca="false">INDEX(Bases!$G$5:$G$83,$T334)</f>
        <v>Mono</v>
      </c>
      <c r="I334" s="13" t="n">
        <f aca="false">INDEX(Bases!$H$5:$H$83,$T334)</f>
        <v>0</v>
      </c>
      <c r="J334" s="10" t="str">
        <f aca="false">INDEX(Bases!$I$5:$I$83,$T334)</f>
        <v>Non</v>
      </c>
      <c r="K334" s="14" t="n">
        <f aca="false">INDEX(Bases!$J$5:$J$83,$T334)</f>
        <v>0.9</v>
      </c>
      <c r="L334" s="10" t="str">
        <f aca="false">INDEX(Bases!$K$5:$K$83,$T334)</f>
        <v>Force</v>
      </c>
      <c r="M334" s="11" t="str">
        <f aca="false">INDEX(Bases!$L$5:$L$83,$T334)</f>
        <v>Ne rate jamais ; +20 % de chance de critique.</v>
      </c>
      <c r="N334" s="11" t="str">
        <f aca="false">IF($C334="Passif","—",IF($C334="Attaque (arme 1)",INDEX(Éléments!$F$5:$F$14,$U334),INDEX(Éléments!$G$5:$G$14,$U334)))</f>
        <v>+10 % de chance de critique ; 30 % : Désorienté (−15 % Précision, 2 tours).</v>
      </c>
      <c r="O334" s="10" t="str">
        <f aca="false">INDEX(Bases!$M$5:$M$83,$T334)</f>
        <v>Active</v>
      </c>
      <c r="P334" s="13" t="n">
        <f aca="false">INDEX(Bases!$N$5:$N$83,$T334)</f>
        <v>1</v>
      </c>
      <c r="Q334" s="15" t="n">
        <f aca="false">INDEX(Éléments!$C$5:$C$14,$U334)</f>
        <v>40</v>
      </c>
      <c r="R334" s="11" t="str">
        <f aca="false">"Niv. "&amp;$P334&amp;IF($Q334&gt;0," · étage "&amp;$Q334&amp;" terminé","")</f>
        <v>Niv. 1 · étage 40 terminé</v>
      </c>
      <c r="S334" s="14" t="n">
        <f aca="false">IF(ISNUMBER($I334),$K334*IF($H334="Zone",Paramètres!$B$8,1)/MAX(1,$I334),0)</f>
        <v>0.9</v>
      </c>
      <c r="T334" s="16" t="n">
        <v>48</v>
      </c>
      <c r="U334" s="16" t="n">
        <v>4</v>
      </c>
    </row>
    <row r="335" customFormat="false" ht="15" hidden="false" customHeight="true" outlineLevel="0" collapsed="false">
      <c r="A335" s="9" t="s">
        <v>404</v>
      </c>
      <c r="B335" s="10" t="str">
        <f aca="false">INDEX(Bases!$B$5:$B$83,$T335)</f>
        <v>Tireur</v>
      </c>
      <c r="C335" s="10" t="str">
        <f aca="false">INDEX(Bases!$E$5:$E$83,$T335)</f>
        <v>Attaque (arme 1)</v>
      </c>
      <c r="D335" s="10" t="str">
        <f aca="false">INDEX(Bases!$F$5:$F$83,$T335)</f>
        <v>Attaque</v>
      </c>
      <c r="E335" s="11" t="str">
        <f aca="false">INDEX(Bases!$C$5:$C$83,$T335)</f>
        <v>Tir précis</v>
      </c>
      <c r="F335" s="10" t="str">
        <f aca="false">INDEX(Éléments!$A$5:$A$14,$U335)</f>
        <v>Acide</v>
      </c>
      <c r="G335" s="12" t="str">
        <f aca="false">IF(OR($F335="Neutre",$C335="Passif"),$E335,INDEX(Bases!$D$5:$D$83,$T335)&amp;" "&amp;INDEX(Éléments!$D$5:$D$14,$U335))</f>
        <v>Tir précis d'acide</v>
      </c>
      <c r="H335" s="10" t="str">
        <f aca="false">INDEX(Bases!$G$5:$G$83,$T335)</f>
        <v>Mono</v>
      </c>
      <c r="I335" s="13" t="n">
        <f aca="false">INDEX(Bases!$H$5:$H$83,$T335)</f>
        <v>0</v>
      </c>
      <c r="J335" s="10" t="str">
        <f aca="false">INDEX(Bases!$I$5:$I$83,$T335)</f>
        <v>Non</v>
      </c>
      <c r="K335" s="14" t="n">
        <f aca="false">INDEX(Bases!$J$5:$J$83,$T335)</f>
        <v>0.9</v>
      </c>
      <c r="L335" s="10" t="str">
        <f aca="false">INDEX(Bases!$K$5:$K$83,$T335)</f>
        <v>Force</v>
      </c>
      <c r="M335" s="11" t="str">
        <f aca="false">INDEX(Bases!$L$5:$L$83,$T335)</f>
        <v>Ne rate jamais ; +20 % de chance de critique.</v>
      </c>
      <c r="N335" s="11" t="str">
        <f aca="false">IF($C335="Passif","—",IF($C335="Attaque (arme 1)",INDEX(Éléments!$F$5:$F$14,$U335),INDEX(Éléments!$G$5:$G$14,$U335)))</f>
        <v>50 % : 1 pile de Corrosion (−5 % Armure par pile, 4 piles max, 3 tours).</v>
      </c>
      <c r="O335" s="10" t="str">
        <f aca="false">INDEX(Bases!$M$5:$M$83,$T335)</f>
        <v>Active</v>
      </c>
      <c r="P335" s="13" t="n">
        <f aca="false">INDEX(Bases!$N$5:$N$83,$T335)</f>
        <v>1</v>
      </c>
      <c r="Q335" s="15" t="n">
        <f aca="false">INDEX(Éléments!$C$5:$C$14,$U335)</f>
        <v>50</v>
      </c>
      <c r="R335" s="11" t="str">
        <f aca="false">"Niv. "&amp;$P335&amp;IF($Q335&gt;0," · étage "&amp;$Q335&amp;" terminé","")</f>
        <v>Niv. 1 · étage 50 terminé</v>
      </c>
      <c r="S335" s="14" t="n">
        <f aca="false">IF(ISNUMBER($I335),$K335*IF($H335="Zone",Paramètres!$B$8,1)/MAX(1,$I335),0)</f>
        <v>0.9</v>
      </c>
      <c r="T335" s="16" t="n">
        <v>48</v>
      </c>
      <c r="U335" s="16" t="n">
        <v>5</v>
      </c>
    </row>
    <row r="336" customFormat="false" ht="15" hidden="false" customHeight="true" outlineLevel="0" collapsed="false">
      <c r="A336" s="9" t="s">
        <v>405</v>
      </c>
      <c r="B336" s="10" t="str">
        <f aca="false">INDEX(Bases!$B$5:$B$83,$T336)</f>
        <v>Tireur</v>
      </c>
      <c r="C336" s="10" t="str">
        <f aca="false">INDEX(Bases!$E$5:$E$83,$T336)</f>
        <v>Attaque (arme 1)</v>
      </c>
      <c r="D336" s="10" t="str">
        <f aca="false">INDEX(Bases!$F$5:$F$83,$T336)</f>
        <v>Attaque</v>
      </c>
      <c r="E336" s="11" t="str">
        <f aca="false">INDEX(Bases!$C$5:$C$83,$T336)</f>
        <v>Tir précis</v>
      </c>
      <c r="F336" s="10" t="str">
        <f aca="false">INDEX(Éléments!$A$5:$A$14,$U336)</f>
        <v>Eau</v>
      </c>
      <c r="G336" s="12" t="str">
        <f aca="false">IF(OR($F336="Neutre",$C336="Passif"),$E336,INDEX(Bases!$D$5:$D$83,$T336)&amp;" "&amp;INDEX(Éléments!$D$5:$D$14,$U336))</f>
        <v>Tir précis d'eau</v>
      </c>
      <c r="H336" s="10" t="str">
        <f aca="false">INDEX(Bases!$G$5:$G$83,$T336)</f>
        <v>Mono</v>
      </c>
      <c r="I336" s="13" t="n">
        <f aca="false">INDEX(Bases!$H$5:$H$83,$T336)</f>
        <v>0</v>
      </c>
      <c r="J336" s="10" t="str">
        <f aca="false">INDEX(Bases!$I$5:$I$83,$T336)</f>
        <v>Non</v>
      </c>
      <c r="K336" s="14" t="n">
        <f aca="false">INDEX(Bases!$J$5:$J$83,$T336)</f>
        <v>0.9</v>
      </c>
      <c r="L336" s="10" t="str">
        <f aca="false">INDEX(Bases!$K$5:$K$83,$T336)</f>
        <v>Force</v>
      </c>
      <c r="M336" s="11" t="str">
        <f aca="false">INDEX(Bases!$L$5:$L$83,$T336)</f>
        <v>Ne rate jamais ; +20 % de chance de critique.</v>
      </c>
      <c r="N336" s="11" t="str">
        <f aca="false">IF($C336="Passif","—",IF($C336="Attaque (arme 1)",INDEX(Éléments!$F$5:$F$14,$U336),INDEX(Éléments!$G$5:$G$14,$U336)))</f>
        <v>50 % : Mouillé (+25 % de dégâts d'Électricité subis, retire Brûlure, 3 tours).</v>
      </c>
      <c r="O336" s="10" t="str">
        <f aca="false">INDEX(Bases!$M$5:$M$83,$T336)</f>
        <v>Active</v>
      </c>
      <c r="P336" s="13" t="n">
        <f aca="false">INDEX(Bases!$N$5:$N$83,$T336)</f>
        <v>1</v>
      </c>
      <c r="Q336" s="15" t="n">
        <f aca="false">INDEX(Éléments!$C$5:$C$14,$U336)</f>
        <v>60</v>
      </c>
      <c r="R336" s="11" t="str">
        <f aca="false">"Niv. "&amp;$P336&amp;IF($Q336&gt;0," · étage "&amp;$Q336&amp;" terminé","")</f>
        <v>Niv. 1 · étage 60 terminé</v>
      </c>
      <c r="S336" s="14" t="n">
        <f aca="false">IF(ISNUMBER($I336),$K336*IF($H336="Zone",Paramètres!$B$8,1)/MAX(1,$I336),0)</f>
        <v>0.9</v>
      </c>
      <c r="T336" s="16" t="n">
        <v>48</v>
      </c>
      <c r="U336" s="16" t="n">
        <v>6</v>
      </c>
    </row>
    <row r="337" customFormat="false" ht="15" hidden="false" customHeight="true" outlineLevel="0" collapsed="false">
      <c r="A337" s="9" t="s">
        <v>406</v>
      </c>
      <c r="B337" s="10" t="str">
        <f aca="false">INDEX(Bases!$B$5:$B$83,$T337)</f>
        <v>Tireur</v>
      </c>
      <c r="C337" s="10" t="str">
        <f aca="false">INDEX(Bases!$E$5:$E$83,$T337)</f>
        <v>Attaque (arme 1)</v>
      </c>
      <c r="D337" s="10" t="str">
        <f aca="false">INDEX(Bases!$F$5:$F$83,$T337)</f>
        <v>Attaque</v>
      </c>
      <c r="E337" s="11" t="str">
        <f aca="false">INDEX(Bases!$C$5:$C$83,$T337)</f>
        <v>Tir précis</v>
      </c>
      <c r="F337" s="10" t="str">
        <f aca="false">INDEX(Éléments!$A$5:$A$14,$U337)</f>
        <v>Glace</v>
      </c>
      <c r="G337" s="12" t="str">
        <f aca="false">IF(OR($F337="Neutre",$C337="Passif"),$E337,INDEX(Bases!$D$5:$D$83,$T337)&amp;" "&amp;INDEX(Éléments!$D$5:$D$14,$U337))</f>
        <v>Tir précis de glace</v>
      </c>
      <c r="H337" s="10" t="str">
        <f aca="false">INDEX(Bases!$G$5:$G$83,$T337)</f>
        <v>Mono</v>
      </c>
      <c r="I337" s="13" t="n">
        <f aca="false">INDEX(Bases!$H$5:$H$83,$T337)</f>
        <v>0</v>
      </c>
      <c r="J337" s="10" t="str">
        <f aca="false">INDEX(Bases!$I$5:$I$83,$T337)</f>
        <v>Non</v>
      </c>
      <c r="K337" s="14" t="n">
        <f aca="false">INDEX(Bases!$J$5:$J$83,$T337)</f>
        <v>0.9</v>
      </c>
      <c r="L337" s="10" t="str">
        <f aca="false">INDEX(Bases!$K$5:$K$83,$T337)</f>
        <v>Force</v>
      </c>
      <c r="M337" s="11" t="str">
        <f aca="false">INDEX(Bases!$L$5:$L$83,$T337)</f>
        <v>Ne rate jamais ; +20 % de chance de critique.</v>
      </c>
      <c r="N337" s="11" t="str">
        <f aca="false">IF($C337="Passif","—",IF($C337="Attaque (arme 1)",INDEX(Éléments!$F$5:$F$14,$U337),INDEX(Éléments!$G$5:$G$14,$U337)))</f>
        <v>40 % : 1 pile de Froid (−8 % Agilité ; à 3 piles : Gel, la cible perd 1 tour).</v>
      </c>
      <c r="O337" s="10" t="str">
        <f aca="false">INDEX(Bases!$M$5:$M$83,$T337)</f>
        <v>Active</v>
      </c>
      <c r="P337" s="13" t="n">
        <f aca="false">INDEX(Bases!$N$5:$N$83,$T337)</f>
        <v>1</v>
      </c>
      <c r="Q337" s="15" t="n">
        <f aca="false">INDEX(Éléments!$C$5:$C$14,$U337)</f>
        <v>70</v>
      </c>
      <c r="R337" s="11" t="str">
        <f aca="false">"Niv. "&amp;$P337&amp;IF($Q337&gt;0," · étage "&amp;$Q337&amp;" terminé","")</f>
        <v>Niv. 1 · étage 70 terminé</v>
      </c>
      <c r="S337" s="14" t="n">
        <f aca="false">IF(ISNUMBER($I337),$K337*IF($H337="Zone",Paramètres!$B$8,1)/MAX(1,$I337),0)</f>
        <v>0.9</v>
      </c>
      <c r="T337" s="16" t="n">
        <v>48</v>
      </c>
      <c r="U337" s="16" t="n">
        <v>7</v>
      </c>
    </row>
    <row r="338" customFormat="false" ht="15" hidden="false" customHeight="true" outlineLevel="0" collapsed="false">
      <c r="A338" s="9" t="s">
        <v>407</v>
      </c>
      <c r="B338" s="10" t="str">
        <f aca="false">INDEX(Bases!$B$5:$B$83,$T338)</f>
        <v>Tireur</v>
      </c>
      <c r="C338" s="10" t="str">
        <f aca="false">INDEX(Bases!$E$5:$E$83,$T338)</f>
        <v>Attaque (arme 1)</v>
      </c>
      <c r="D338" s="10" t="str">
        <f aca="false">INDEX(Bases!$F$5:$F$83,$T338)</f>
        <v>Attaque</v>
      </c>
      <c r="E338" s="11" t="str">
        <f aca="false">INDEX(Bases!$C$5:$C$83,$T338)</f>
        <v>Tir précis</v>
      </c>
      <c r="F338" s="10" t="str">
        <f aca="false">INDEX(Éléments!$A$5:$A$14,$U338)</f>
        <v>Électricité</v>
      </c>
      <c r="G338" s="12" t="str">
        <f aca="false">IF(OR($F338="Neutre",$C338="Passif"),$E338,INDEX(Bases!$D$5:$D$83,$T338)&amp;" "&amp;INDEX(Éléments!$D$5:$D$14,$U338))</f>
        <v>Tir précis de foudre</v>
      </c>
      <c r="H338" s="10" t="str">
        <f aca="false">INDEX(Bases!$G$5:$G$83,$T338)</f>
        <v>Mono</v>
      </c>
      <c r="I338" s="13" t="n">
        <f aca="false">INDEX(Bases!$H$5:$H$83,$T338)</f>
        <v>0</v>
      </c>
      <c r="J338" s="10" t="str">
        <f aca="false">INDEX(Bases!$I$5:$I$83,$T338)</f>
        <v>Non</v>
      </c>
      <c r="K338" s="14" t="n">
        <f aca="false">INDEX(Bases!$J$5:$J$83,$T338)</f>
        <v>0.9</v>
      </c>
      <c r="L338" s="10" t="str">
        <f aca="false">INDEX(Bases!$K$5:$K$83,$T338)</f>
        <v>Force</v>
      </c>
      <c r="M338" s="11" t="str">
        <f aca="false">INDEX(Bases!$L$5:$L$83,$T338)</f>
        <v>Ne rate jamais ; +20 % de chance de critique.</v>
      </c>
      <c r="N338" s="11" t="str">
        <f aca="false">IF($C338="Passif","—",IF($C338="Attaque (arme 1)",INDEX(Éléments!$F$5:$F$14,$U338),INDEX(Éléments!$G$5:$G$14,$U338)))</f>
        <v>Rebondit sur 1 autre ennemi (40 % des dégâts) ; 10 % : Étourdissement (1 tour).</v>
      </c>
      <c r="O338" s="10" t="str">
        <f aca="false">INDEX(Bases!$M$5:$M$83,$T338)</f>
        <v>Active</v>
      </c>
      <c r="P338" s="13" t="n">
        <f aca="false">INDEX(Bases!$N$5:$N$83,$T338)</f>
        <v>1</v>
      </c>
      <c r="Q338" s="15" t="n">
        <f aca="false">INDEX(Éléments!$C$5:$C$14,$U338)</f>
        <v>80</v>
      </c>
      <c r="R338" s="11" t="str">
        <f aca="false">"Niv. "&amp;$P338&amp;IF($Q338&gt;0," · étage "&amp;$Q338&amp;" terminé","")</f>
        <v>Niv. 1 · étage 80 terminé</v>
      </c>
      <c r="S338" s="14" t="n">
        <f aca="false">IF(ISNUMBER($I338),$K338*IF($H338="Zone",Paramètres!$B$8,1)/MAX(1,$I338),0)</f>
        <v>0.9</v>
      </c>
      <c r="T338" s="16" t="n">
        <v>48</v>
      </c>
      <c r="U338" s="16" t="n">
        <v>8</v>
      </c>
    </row>
    <row r="339" customFormat="false" ht="15" hidden="false" customHeight="true" outlineLevel="0" collapsed="false">
      <c r="A339" s="9" t="s">
        <v>408</v>
      </c>
      <c r="B339" s="10" t="str">
        <f aca="false">INDEX(Bases!$B$5:$B$83,$T339)</f>
        <v>Tireur</v>
      </c>
      <c r="C339" s="10" t="str">
        <f aca="false">INDEX(Bases!$E$5:$E$83,$T339)</f>
        <v>Attaque (arme 1)</v>
      </c>
      <c r="D339" s="10" t="str">
        <f aca="false">INDEX(Bases!$F$5:$F$83,$T339)</f>
        <v>Attaque</v>
      </c>
      <c r="E339" s="11" t="str">
        <f aca="false">INDEX(Bases!$C$5:$C$83,$T339)</f>
        <v>Tir précis</v>
      </c>
      <c r="F339" s="10" t="str">
        <f aca="false">INDEX(Éléments!$A$5:$A$14,$U339)</f>
        <v>Lumière</v>
      </c>
      <c r="G339" s="12" t="str">
        <f aca="false">IF(OR($F339="Neutre",$C339="Passif"),$E339,INDEX(Bases!$D$5:$D$83,$T339)&amp;" "&amp;INDEX(Éléments!$D$5:$D$14,$U339))</f>
        <v>Tir précis de lumière</v>
      </c>
      <c r="H339" s="10" t="str">
        <f aca="false">INDEX(Bases!$G$5:$G$83,$T339)</f>
        <v>Mono</v>
      </c>
      <c r="I339" s="13" t="n">
        <f aca="false">INDEX(Bases!$H$5:$H$83,$T339)</f>
        <v>0</v>
      </c>
      <c r="J339" s="10" t="str">
        <f aca="false">INDEX(Bases!$I$5:$I$83,$T339)</f>
        <v>Non</v>
      </c>
      <c r="K339" s="14" t="n">
        <f aca="false">INDEX(Bases!$J$5:$J$83,$T339)</f>
        <v>0.9</v>
      </c>
      <c r="L339" s="10" t="str">
        <f aca="false">INDEX(Bases!$K$5:$K$83,$T339)</f>
        <v>Force</v>
      </c>
      <c r="M339" s="11" t="str">
        <f aca="false">INDEX(Bases!$L$5:$L$83,$T339)</f>
        <v>Ne rate jamais ; +20 % de chance de critique.</v>
      </c>
      <c r="N339" s="11" t="str">
        <f aca="false">IF($C339="Passif","—",IF($C339="Attaque (arme 1)",INDEX(Éléments!$F$5:$F$14,$U339),INDEX(Éléments!$G$5:$G$14,$U339)))</f>
        <v>Soigne le lanceur de 5 % des dégâts infligés ; 25 % : Éblouissement (−20 % chance de critique, 2 tours).</v>
      </c>
      <c r="O339" s="10" t="str">
        <f aca="false">INDEX(Bases!$M$5:$M$83,$T339)</f>
        <v>Active</v>
      </c>
      <c r="P339" s="13" t="n">
        <f aca="false">INDEX(Bases!$N$5:$N$83,$T339)</f>
        <v>1</v>
      </c>
      <c r="Q339" s="15" t="n">
        <f aca="false">INDEX(Éléments!$C$5:$C$14,$U339)</f>
        <v>90</v>
      </c>
      <c r="R339" s="11" t="str">
        <f aca="false">"Niv. "&amp;$P339&amp;IF($Q339&gt;0," · étage "&amp;$Q339&amp;" terminé","")</f>
        <v>Niv. 1 · étage 90 terminé</v>
      </c>
      <c r="S339" s="14" t="n">
        <f aca="false">IF(ISNUMBER($I339),$K339*IF($H339="Zone",Paramètres!$B$8,1)/MAX(1,$I339),0)</f>
        <v>0.9</v>
      </c>
      <c r="T339" s="16" t="n">
        <v>48</v>
      </c>
      <c r="U339" s="16" t="n">
        <v>9</v>
      </c>
    </row>
    <row r="340" customFormat="false" ht="15" hidden="false" customHeight="true" outlineLevel="0" collapsed="false">
      <c r="A340" s="9" t="s">
        <v>409</v>
      </c>
      <c r="B340" s="10" t="str">
        <f aca="false">INDEX(Bases!$B$5:$B$83,$T340)</f>
        <v>Tireur</v>
      </c>
      <c r="C340" s="10" t="str">
        <f aca="false">INDEX(Bases!$E$5:$E$83,$T340)</f>
        <v>Attaque (arme 1)</v>
      </c>
      <c r="D340" s="10" t="str">
        <f aca="false">INDEX(Bases!$F$5:$F$83,$T340)</f>
        <v>Attaque</v>
      </c>
      <c r="E340" s="11" t="str">
        <f aca="false">INDEX(Bases!$C$5:$C$83,$T340)</f>
        <v>Tir précis</v>
      </c>
      <c r="F340" s="10" t="str">
        <f aca="false">INDEX(Éléments!$A$5:$A$14,$U340)</f>
        <v>Ombre</v>
      </c>
      <c r="G340" s="12" t="str">
        <f aca="false">IF(OR($F340="Neutre",$C340="Passif"),$E340,INDEX(Bases!$D$5:$D$83,$T340)&amp;" "&amp;INDEX(Éléments!$D$5:$D$14,$U340))</f>
        <v>Tir précis d'ombre</v>
      </c>
      <c r="H340" s="10" t="str">
        <f aca="false">INDEX(Bases!$G$5:$G$83,$T340)</f>
        <v>Mono</v>
      </c>
      <c r="I340" s="13" t="n">
        <f aca="false">INDEX(Bases!$H$5:$H$83,$T340)</f>
        <v>0</v>
      </c>
      <c r="J340" s="10" t="str">
        <f aca="false">INDEX(Bases!$I$5:$I$83,$T340)</f>
        <v>Non</v>
      </c>
      <c r="K340" s="14" t="n">
        <f aca="false">INDEX(Bases!$J$5:$J$83,$T340)</f>
        <v>0.9</v>
      </c>
      <c r="L340" s="10" t="str">
        <f aca="false">INDEX(Bases!$K$5:$K$83,$T340)</f>
        <v>Force</v>
      </c>
      <c r="M340" s="11" t="str">
        <f aca="false">INDEX(Bases!$L$5:$L$83,$T340)</f>
        <v>Ne rate jamais ; +20 % de chance de critique.</v>
      </c>
      <c r="N340" s="11" t="str">
        <f aca="false">IF($C340="Passif","—",IF($C340="Attaque (arme 1)",INDEX(Éléments!$F$5:$F$14,$U340),INDEX(Éléments!$G$5:$G$14,$U340)))</f>
        <v>Vol de vie 5 % ; 30 % : Corruption (+10 % de dégâts subis, 2 tours).</v>
      </c>
      <c r="O340" s="10" t="str">
        <f aca="false">INDEX(Bases!$M$5:$M$83,$T340)</f>
        <v>Active</v>
      </c>
      <c r="P340" s="13" t="n">
        <f aca="false">INDEX(Bases!$N$5:$N$83,$T340)</f>
        <v>1</v>
      </c>
      <c r="Q340" s="15" t="n">
        <f aca="false">INDEX(Éléments!$C$5:$C$14,$U340)</f>
        <v>100</v>
      </c>
      <c r="R340" s="11" t="str">
        <f aca="false">"Niv. "&amp;$P340&amp;IF($Q340&gt;0," · étage "&amp;$Q340&amp;" terminé","")</f>
        <v>Niv. 1 · étage 100 terminé</v>
      </c>
      <c r="S340" s="14" t="n">
        <f aca="false">IF(ISNUMBER($I340),$K340*IF($H340="Zone",Paramètres!$B$8,1)/MAX(1,$I340),0)</f>
        <v>0.9</v>
      </c>
      <c r="T340" s="16" t="n">
        <v>48</v>
      </c>
      <c r="U340" s="16" t="n">
        <v>10</v>
      </c>
    </row>
    <row r="341" customFormat="false" ht="15" hidden="false" customHeight="true" outlineLevel="0" collapsed="false">
      <c r="A341" s="9" t="s">
        <v>410</v>
      </c>
      <c r="B341" s="10" t="str">
        <f aca="false">INDEX(Bases!$B$5:$B$83,$T341)</f>
        <v>Tireur</v>
      </c>
      <c r="C341" s="10" t="str">
        <f aca="false">INDEX(Bases!$E$5:$E$83,$T341)</f>
        <v>Attaque (arme 1)</v>
      </c>
      <c r="D341" s="10" t="str">
        <f aca="false">INDEX(Bases!$F$5:$F$83,$T341)</f>
        <v>Attaque</v>
      </c>
      <c r="E341" s="11" t="str">
        <f aca="false">INDEX(Bases!$C$5:$C$83,$T341)</f>
        <v>Tir multiple</v>
      </c>
      <c r="F341" s="10" t="str">
        <f aca="false">INDEX(Éléments!$A$5:$A$14,$U341)</f>
        <v>Neutre</v>
      </c>
      <c r="G341" s="12" t="str">
        <f aca="false">IF(OR($F341="Neutre",$C341="Passif"),$E341,INDEX(Bases!$D$5:$D$83,$T341)&amp;" "&amp;INDEX(Éléments!$D$5:$D$14,$U341))</f>
        <v>Tir multiple</v>
      </c>
      <c r="H341" s="10" t="str">
        <f aca="false">INDEX(Bases!$G$5:$G$83,$T341)</f>
        <v>Zone</v>
      </c>
      <c r="I341" s="13" t="n">
        <f aca="false">INDEX(Bases!$H$5:$H$83,$T341)</f>
        <v>2</v>
      </c>
      <c r="J341" s="10" t="str">
        <f aca="false">INDEX(Bases!$I$5:$I$83,$T341)</f>
        <v>Non</v>
      </c>
      <c r="K341" s="14" t="n">
        <f aca="false">INDEX(Bases!$J$5:$J$83,$T341)</f>
        <v>0.8</v>
      </c>
      <c r="L341" s="10" t="str">
        <f aca="false">INDEX(Bases!$K$5:$K$83,$T341)</f>
        <v>Force</v>
      </c>
      <c r="M341" s="11" t="str">
        <f aca="false">INDEX(Bases!$L$5:$L$83,$T341)</f>
        <v>Frappe tous les ennemis de la vague.</v>
      </c>
      <c r="N341" s="11" t="str">
        <f aca="false">IF($C341="Passif","—",IF($C341="Attaque (arme 1)",INDEX(Éléments!$F$5:$F$14,$U341),INDEX(Éléments!$G$5:$G$14,$U341)))</f>
        <v>Aucune altération ; ignore 10 % de la Résistance de la cible. Fiable contre tous les biomes.</v>
      </c>
      <c r="O341" s="10" t="str">
        <f aca="false">INDEX(Bases!$M$5:$M$83,$T341)</f>
        <v>Active</v>
      </c>
      <c r="P341" s="13" t="n">
        <f aca="false">INDEX(Bases!$N$5:$N$83,$T341)</f>
        <v>8</v>
      </c>
      <c r="Q341" s="15" t="n">
        <f aca="false">INDEX(Éléments!$C$5:$C$14,$U341)</f>
        <v>0</v>
      </c>
      <c r="R341" s="11" t="str">
        <f aca="false">"Niv. "&amp;$P341&amp;IF($Q341&gt;0," · étage "&amp;$Q341&amp;" terminé","")</f>
        <v>Niv. 8</v>
      </c>
      <c r="S341" s="14" t="n">
        <f aca="false">IF(ISNUMBER($I341),$K341*IF($H341="Zone",Paramètres!$B$8,1)/MAX(1,$I341),0)</f>
        <v>1.2</v>
      </c>
      <c r="T341" s="16" t="n">
        <v>49</v>
      </c>
      <c r="U341" s="16" t="n">
        <v>1</v>
      </c>
    </row>
    <row r="342" customFormat="false" ht="15" hidden="false" customHeight="true" outlineLevel="0" collapsed="false">
      <c r="A342" s="9" t="s">
        <v>411</v>
      </c>
      <c r="B342" s="10" t="str">
        <f aca="false">INDEX(Bases!$B$5:$B$83,$T342)</f>
        <v>Tireur</v>
      </c>
      <c r="C342" s="10" t="str">
        <f aca="false">INDEX(Bases!$E$5:$E$83,$T342)</f>
        <v>Attaque (arme 1)</v>
      </c>
      <c r="D342" s="10" t="str">
        <f aca="false">INDEX(Bases!$F$5:$F$83,$T342)</f>
        <v>Attaque</v>
      </c>
      <c r="E342" s="11" t="str">
        <f aca="false">INDEX(Bases!$C$5:$C$83,$T342)</f>
        <v>Tir multiple</v>
      </c>
      <c r="F342" s="10" t="str">
        <f aca="false">INDEX(Éléments!$A$5:$A$14,$U342)</f>
        <v>Terre</v>
      </c>
      <c r="G342" s="12" t="str">
        <f aca="false">IF(OR($F342="Neutre",$C342="Passif"),$E342,INDEX(Bases!$D$5:$D$83,$T342)&amp;" "&amp;INDEX(Éléments!$D$5:$D$14,$U342))</f>
        <v>Tir multiple de pierre</v>
      </c>
      <c r="H342" s="10" t="str">
        <f aca="false">INDEX(Bases!$G$5:$G$83,$T342)</f>
        <v>Zone</v>
      </c>
      <c r="I342" s="13" t="n">
        <f aca="false">INDEX(Bases!$H$5:$H$83,$T342)</f>
        <v>2</v>
      </c>
      <c r="J342" s="10" t="str">
        <f aca="false">INDEX(Bases!$I$5:$I$83,$T342)</f>
        <v>Non</v>
      </c>
      <c r="K342" s="14" t="n">
        <f aca="false">INDEX(Bases!$J$5:$J$83,$T342)</f>
        <v>0.8</v>
      </c>
      <c r="L342" s="10" t="str">
        <f aca="false">INDEX(Bases!$K$5:$K$83,$T342)</f>
        <v>Force</v>
      </c>
      <c r="M342" s="11" t="str">
        <f aca="false">INDEX(Bases!$L$5:$L$83,$T342)</f>
        <v>Frappe tous les ennemis de la vague.</v>
      </c>
      <c r="N342" s="11" t="str">
        <f aca="false">IF($C342="Passif","—",IF($C342="Attaque (arme 1)",INDEX(Éléments!$F$5:$F$14,$U342),INDEX(Éléments!$G$5:$G$14,$U342)))</f>
        <v>30 % : Garde brisée (−15 % Résistance, 2 tours).</v>
      </c>
      <c r="O342" s="10" t="str">
        <f aca="false">INDEX(Bases!$M$5:$M$83,$T342)</f>
        <v>Active</v>
      </c>
      <c r="P342" s="13" t="n">
        <f aca="false">INDEX(Bases!$N$5:$N$83,$T342)</f>
        <v>8</v>
      </c>
      <c r="Q342" s="15" t="n">
        <f aca="false">INDEX(Éléments!$C$5:$C$14,$U342)</f>
        <v>20</v>
      </c>
      <c r="R342" s="11" t="str">
        <f aca="false">"Niv. "&amp;$P342&amp;IF($Q342&gt;0," · étage "&amp;$Q342&amp;" terminé","")</f>
        <v>Niv. 8 · étage 20 terminé</v>
      </c>
      <c r="S342" s="14" t="n">
        <f aca="false">IF(ISNUMBER($I342),$K342*IF($H342="Zone",Paramètres!$B$8,1)/MAX(1,$I342),0)</f>
        <v>1.2</v>
      </c>
      <c r="T342" s="16" t="n">
        <v>49</v>
      </c>
      <c r="U342" s="16" t="n">
        <v>2</v>
      </c>
    </row>
    <row r="343" customFormat="false" ht="15" hidden="false" customHeight="true" outlineLevel="0" collapsed="false">
      <c r="A343" s="9" t="s">
        <v>412</v>
      </c>
      <c r="B343" s="10" t="str">
        <f aca="false">INDEX(Bases!$B$5:$B$83,$T343)</f>
        <v>Tireur</v>
      </c>
      <c r="C343" s="10" t="str">
        <f aca="false">INDEX(Bases!$E$5:$E$83,$T343)</f>
        <v>Attaque (arme 1)</v>
      </c>
      <c r="D343" s="10" t="str">
        <f aca="false">INDEX(Bases!$F$5:$F$83,$T343)</f>
        <v>Attaque</v>
      </c>
      <c r="E343" s="11" t="str">
        <f aca="false">INDEX(Bases!$C$5:$C$83,$T343)</f>
        <v>Tir multiple</v>
      </c>
      <c r="F343" s="10" t="str">
        <f aca="false">INDEX(Éléments!$A$5:$A$14,$U343)</f>
        <v>Feu</v>
      </c>
      <c r="G343" s="12" t="str">
        <f aca="false">IF(OR($F343="Neutre",$C343="Passif"),$E343,INDEX(Bases!$D$5:$D$83,$T343)&amp;" "&amp;INDEX(Éléments!$D$5:$D$14,$U343))</f>
        <v>Tir multiple de feu</v>
      </c>
      <c r="H343" s="10" t="str">
        <f aca="false">INDEX(Bases!$G$5:$G$83,$T343)</f>
        <v>Zone</v>
      </c>
      <c r="I343" s="13" t="n">
        <f aca="false">INDEX(Bases!$H$5:$H$83,$T343)</f>
        <v>2</v>
      </c>
      <c r="J343" s="10" t="str">
        <f aca="false">INDEX(Bases!$I$5:$I$83,$T343)</f>
        <v>Non</v>
      </c>
      <c r="K343" s="14" t="n">
        <f aca="false">INDEX(Bases!$J$5:$J$83,$T343)</f>
        <v>0.8</v>
      </c>
      <c r="L343" s="10" t="str">
        <f aca="false">INDEX(Bases!$K$5:$K$83,$T343)</f>
        <v>Force</v>
      </c>
      <c r="M343" s="11" t="str">
        <f aca="false">INDEX(Bases!$L$5:$L$83,$T343)</f>
        <v>Frappe tous les ennemis de la vague.</v>
      </c>
      <c r="N343" s="11" t="str">
        <f aca="false">IF($C343="Passif","—",IF($C343="Attaque (arme 1)",INDEX(Éléments!$F$5:$F$14,$U343),INDEX(Éléments!$G$5:$G$14,$U343)))</f>
        <v>35 % : Brûlure (8 % de la stat d'attaque par tour, 3 tours, non cumulable).</v>
      </c>
      <c r="O343" s="10" t="str">
        <f aca="false">INDEX(Bases!$M$5:$M$83,$T343)</f>
        <v>Active</v>
      </c>
      <c r="P343" s="13" t="n">
        <f aca="false">INDEX(Bases!$N$5:$N$83,$T343)</f>
        <v>8</v>
      </c>
      <c r="Q343" s="15" t="n">
        <f aca="false">INDEX(Éléments!$C$5:$C$14,$U343)</f>
        <v>30</v>
      </c>
      <c r="R343" s="11" t="str">
        <f aca="false">"Niv. "&amp;$P343&amp;IF($Q343&gt;0," · étage "&amp;$Q343&amp;" terminé","")</f>
        <v>Niv. 8 · étage 30 terminé</v>
      </c>
      <c r="S343" s="14" t="n">
        <f aca="false">IF(ISNUMBER($I343),$K343*IF($H343="Zone",Paramètres!$B$8,1)/MAX(1,$I343),0)</f>
        <v>1.2</v>
      </c>
      <c r="T343" s="16" t="n">
        <v>49</v>
      </c>
      <c r="U343" s="16" t="n">
        <v>3</v>
      </c>
    </row>
    <row r="344" customFormat="false" ht="15" hidden="false" customHeight="true" outlineLevel="0" collapsed="false">
      <c r="A344" s="9" t="s">
        <v>413</v>
      </c>
      <c r="B344" s="10" t="str">
        <f aca="false">INDEX(Bases!$B$5:$B$83,$T344)</f>
        <v>Tireur</v>
      </c>
      <c r="C344" s="10" t="str">
        <f aca="false">INDEX(Bases!$E$5:$E$83,$T344)</f>
        <v>Attaque (arme 1)</v>
      </c>
      <c r="D344" s="10" t="str">
        <f aca="false">INDEX(Bases!$F$5:$F$83,$T344)</f>
        <v>Attaque</v>
      </c>
      <c r="E344" s="11" t="str">
        <f aca="false">INDEX(Bases!$C$5:$C$83,$T344)</f>
        <v>Tir multiple</v>
      </c>
      <c r="F344" s="10" t="str">
        <f aca="false">INDEX(Éléments!$A$5:$A$14,$U344)</f>
        <v>Vent</v>
      </c>
      <c r="G344" s="12" t="str">
        <f aca="false">IF(OR($F344="Neutre",$C344="Passif"),$E344,INDEX(Bases!$D$5:$D$83,$T344)&amp;" "&amp;INDEX(Éléments!$D$5:$D$14,$U344))</f>
        <v>Tir multiple de vent</v>
      </c>
      <c r="H344" s="10" t="str">
        <f aca="false">INDEX(Bases!$G$5:$G$83,$T344)</f>
        <v>Zone</v>
      </c>
      <c r="I344" s="13" t="n">
        <f aca="false">INDEX(Bases!$H$5:$H$83,$T344)</f>
        <v>2</v>
      </c>
      <c r="J344" s="10" t="str">
        <f aca="false">INDEX(Bases!$I$5:$I$83,$T344)</f>
        <v>Non</v>
      </c>
      <c r="K344" s="14" t="n">
        <f aca="false">INDEX(Bases!$J$5:$J$83,$T344)</f>
        <v>0.8</v>
      </c>
      <c r="L344" s="10" t="str">
        <f aca="false">INDEX(Bases!$K$5:$K$83,$T344)</f>
        <v>Force</v>
      </c>
      <c r="M344" s="11" t="str">
        <f aca="false">INDEX(Bases!$L$5:$L$83,$T344)</f>
        <v>Frappe tous les ennemis de la vague.</v>
      </c>
      <c r="N344" s="11" t="str">
        <f aca="false">IF($C344="Passif","—",IF($C344="Attaque (arme 1)",INDEX(Éléments!$F$5:$F$14,$U344),INDEX(Éléments!$G$5:$G$14,$U344)))</f>
        <v>+10 % de chance de critique ; 30 % : Désorienté (−15 % Précision, 2 tours).</v>
      </c>
      <c r="O344" s="10" t="str">
        <f aca="false">INDEX(Bases!$M$5:$M$83,$T344)</f>
        <v>Active</v>
      </c>
      <c r="P344" s="13" t="n">
        <f aca="false">INDEX(Bases!$N$5:$N$83,$T344)</f>
        <v>8</v>
      </c>
      <c r="Q344" s="15" t="n">
        <f aca="false">INDEX(Éléments!$C$5:$C$14,$U344)</f>
        <v>40</v>
      </c>
      <c r="R344" s="11" t="str">
        <f aca="false">"Niv. "&amp;$P344&amp;IF($Q344&gt;0," · étage "&amp;$Q344&amp;" terminé","")</f>
        <v>Niv. 8 · étage 40 terminé</v>
      </c>
      <c r="S344" s="14" t="n">
        <f aca="false">IF(ISNUMBER($I344),$K344*IF($H344="Zone",Paramètres!$B$8,1)/MAX(1,$I344),0)</f>
        <v>1.2</v>
      </c>
      <c r="T344" s="16" t="n">
        <v>49</v>
      </c>
      <c r="U344" s="16" t="n">
        <v>4</v>
      </c>
    </row>
    <row r="345" customFormat="false" ht="15" hidden="false" customHeight="true" outlineLevel="0" collapsed="false">
      <c r="A345" s="9" t="s">
        <v>414</v>
      </c>
      <c r="B345" s="10" t="str">
        <f aca="false">INDEX(Bases!$B$5:$B$83,$T345)</f>
        <v>Tireur</v>
      </c>
      <c r="C345" s="10" t="str">
        <f aca="false">INDEX(Bases!$E$5:$E$83,$T345)</f>
        <v>Attaque (arme 1)</v>
      </c>
      <c r="D345" s="10" t="str">
        <f aca="false">INDEX(Bases!$F$5:$F$83,$T345)</f>
        <v>Attaque</v>
      </c>
      <c r="E345" s="11" t="str">
        <f aca="false">INDEX(Bases!$C$5:$C$83,$T345)</f>
        <v>Tir multiple</v>
      </c>
      <c r="F345" s="10" t="str">
        <f aca="false">INDEX(Éléments!$A$5:$A$14,$U345)</f>
        <v>Acide</v>
      </c>
      <c r="G345" s="12" t="str">
        <f aca="false">IF(OR($F345="Neutre",$C345="Passif"),$E345,INDEX(Bases!$D$5:$D$83,$T345)&amp;" "&amp;INDEX(Éléments!$D$5:$D$14,$U345))</f>
        <v>Tir multiple d'acide</v>
      </c>
      <c r="H345" s="10" t="str">
        <f aca="false">INDEX(Bases!$G$5:$G$83,$T345)</f>
        <v>Zone</v>
      </c>
      <c r="I345" s="13" t="n">
        <f aca="false">INDEX(Bases!$H$5:$H$83,$T345)</f>
        <v>2</v>
      </c>
      <c r="J345" s="10" t="str">
        <f aca="false">INDEX(Bases!$I$5:$I$83,$T345)</f>
        <v>Non</v>
      </c>
      <c r="K345" s="14" t="n">
        <f aca="false">INDEX(Bases!$J$5:$J$83,$T345)</f>
        <v>0.8</v>
      </c>
      <c r="L345" s="10" t="str">
        <f aca="false">INDEX(Bases!$K$5:$K$83,$T345)</f>
        <v>Force</v>
      </c>
      <c r="M345" s="11" t="str">
        <f aca="false">INDEX(Bases!$L$5:$L$83,$T345)</f>
        <v>Frappe tous les ennemis de la vague.</v>
      </c>
      <c r="N345" s="11" t="str">
        <f aca="false">IF($C345="Passif","—",IF($C345="Attaque (arme 1)",INDEX(Éléments!$F$5:$F$14,$U345),INDEX(Éléments!$G$5:$G$14,$U345)))</f>
        <v>50 % : 1 pile de Corrosion (−5 % Armure par pile, 4 piles max, 3 tours).</v>
      </c>
      <c r="O345" s="10" t="str">
        <f aca="false">INDEX(Bases!$M$5:$M$83,$T345)</f>
        <v>Active</v>
      </c>
      <c r="P345" s="13" t="n">
        <f aca="false">INDEX(Bases!$N$5:$N$83,$T345)</f>
        <v>8</v>
      </c>
      <c r="Q345" s="15" t="n">
        <f aca="false">INDEX(Éléments!$C$5:$C$14,$U345)</f>
        <v>50</v>
      </c>
      <c r="R345" s="11" t="str">
        <f aca="false">"Niv. "&amp;$P345&amp;IF($Q345&gt;0," · étage "&amp;$Q345&amp;" terminé","")</f>
        <v>Niv. 8 · étage 50 terminé</v>
      </c>
      <c r="S345" s="14" t="n">
        <f aca="false">IF(ISNUMBER($I345),$K345*IF($H345="Zone",Paramètres!$B$8,1)/MAX(1,$I345),0)</f>
        <v>1.2</v>
      </c>
      <c r="T345" s="16" t="n">
        <v>49</v>
      </c>
      <c r="U345" s="16" t="n">
        <v>5</v>
      </c>
    </row>
    <row r="346" customFormat="false" ht="15" hidden="false" customHeight="true" outlineLevel="0" collapsed="false">
      <c r="A346" s="9" t="s">
        <v>415</v>
      </c>
      <c r="B346" s="10" t="str">
        <f aca="false">INDEX(Bases!$B$5:$B$83,$T346)</f>
        <v>Tireur</v>
      </c>
      <c r="C346" s="10" t="str">
        <f aca="false">INDEX(Bases!$E$5:$E$83,$T346)</f>
        <v>Attaque (arme 1)</v>
      </c>
      <c r="D346" s="10" t="str">
        <f aca="false">INDEX(Bases!$F$5:$F$83,$T346)</f>
        <v>Attaque</v>
      </c>
      <c r="E346" s="11" t="str">
        <f aca="false">INDEX(Bases!$C$5:$C$83,$T346)</f>
        <v>Tir multiple</v>
      </c>
      <c r="F346" s="10" t="str">
        <f aca="false">INDEX(Éléments!$A$5:$A$14,$U346)</f>
        <v>Eau</v>
      </c>
      <c r="G346" s="12" t="str">
        <f aca="false">IF(OR($F346="Neutre",$C346="Passif"),$E346,INDEX(Bases!$D$5:$D$83,$T346)&amp;" "&amp;INDEX(Éléments!$D$5:$D$14,$U346))</f>
        <v>Tir multiple d'eau</v>
      </c>
      <c r="H346" s="10" t="str">
        <f aca="false">INDEX(Bases!$G$5:$G$83,$T346)</f>
        <v>Zone</v>
      </c>
      <c r="I346" s="13" t="n">
        <f aca="false">INDEX(Bases!$H$5:$H$83,$T346)</f>
        <v>2</v>
      </c>
      <c r="J346" s="10" t="str">
        <f aca="false">INDEX(Bases!$I$5:$I$83,$T346)</f>
        <v>Non</v>
      </c>
      <c r="K346" s="14" t="n">
        <f aca="false">INDEX(Bases!$J$5:$J$83,$T346)</f>
        <v>0.8</v>
      </c>
      <c r="L346" s="10" t="str">
        <f aca="false">INDEX(Bases!$K$5:$K$83,$T346)</f>
        <v>Force</v>
      </c>
      <c r="M346" s="11" t="str">
        <f aca="false">INDEX(Bases!$L$5:$L$83,$T346)</f>
        <v>Frappe tous les ennemis de la vague.</v>
      </c>
      <c r="N346" s="11" t="str">
        <f aca="false">IF($C346="Passif","—",IF($C346="Attaque (arme 1)",INDEX(Éléments!$F$5:$F$14,$U346),INDEX(Éléments!$G$5:$G$14,$U346)))</f>
        <v>50 % : Mouillé (+25 % de dégâts d'Électricité subis, retire Brûlure, 3 tours).</v>
      </c>
      <c r="O346" s="10" t="str">
        <f aca="false">INDEX(Bases!$M$5:$M$83,$T346)</f>
        <v>Active</v>
      </c>
      <c r="P346" s="13" t="n">
        <f aca="false">INDEX(Bases!$N$5:$N$83,$T346)</f>
        <v>8</v>
      </c>
      <c r="Q346" s="15" t="n">
        <f aca="false">INDEX(Éléments!$C$5:$C$14,$U346)</f>
        <v>60</v>
      </c>
      <c r="R346" s="11" t="str">
        <f aca="false">"Niv. "&amp;$P346&amp;IF($Q346&gt;0," · étage "&amp;$Q346&amp;" terminé","")</f>
        <v>Niv. 8 · étage 60 terminé</v>
      </c>
      <c r="S346" s="14" t="n">
        <f aca="false">IF(ISNUMBER($I346),$K346*IF($H346="Zone",Paramètres!$B$8,1)/MAX(1,$I346),0)</f>
        <v>1.2</v>
      </c>
      <c r="T346" s="16" t="n">
        <v>49</v>
      </c>
      <c r="U346" s="16" t="n">
        <v>6</v>
      </c>
    </row>
    <row r="347" customFormat="false" ht="15" hidden="false" customHeight="true" outlineLevel="0" collapsed="false">
      <c r="A347" s="9" t="s">
        <v>416</v>
      </c>
      <c r="B347" s="10" t="str">
        <f aca="false">INDEX(Bases!$B$5:$B$83,$T347)</f>
        <v>Tireur</v>
      </c>
      <c r="C347" s="10" t="str">
        <f aca="false">INDEX(Bases!$E$5:$E$83,$T347)</f>
        <v>Attaque (arme 1)</v>
      </c>
      <c r="D347" s="10" t="str">
        <f aca="false">INDEX(Bases!$F$5:$F$83,$T347)</f>
        <v>Attaque</v>
      </c>
      <c r="E347" s="11" t="str">
        <f aca="false">INDEX(Bases!$C$5:$C$83,$T347)</f>
        <v>Tir multiple</v>
      </c>
      <c r="F347" s="10" t="str">
        <f aca="false">INDEX(Éléments!$A$5:$A$14,$U347)</f>
        <v>Glace</v>
      </c>
      <c r="G347" s="12" t="str">
        <f aca="false">IF(OR($F347="Neutre",$C347="Passif"),$E347,INDEX(Bases!$D$5:$D$83,$T347)&amp;" "&amp;INDEX(Éléments!$D$5:$D$14,$U347))</f>
        <v>Tir multiple de glace</v>
      </c>
      <c r="H347" s="10" t="str">
        <f aca="false">INDEX(Bases!$G$5:$G$83,$T347)</f>
        <v>Zone</v>
      </c>
      <c r="I347" s="13" t="n">
        <f aca="false">INDEX(Bases!$H$5:$H$83,$T347)</f>
        <v>2</v>
      </c>
      <c r="J347" s="10" t="str">
        <f aca="false">INDEX(Bases!$I$5:$I$83,$T347)</f>
        <v>Non</v>
      </c>
      <c r="K347" s="14" t="n">
        <f aca="false">INDEX(Bases!$J$5:$J$83,$T347)</f>
        <v>0.8</v>
      </c>
      <c r="L347" s="10" t="str">
        <f aca="false">INDEX(Bases!$K$5:$K$83,$T347)</f>
        <v>Force</v>
      </c>
      <c r="M347" s="11" t="str">
        <f aca="false">INDEX(Bases!$L$5:$L$83,$T347)</f>
        <v>Frappe tous les ennemis de la vague.</v>
      </c>
      <c r="N347" s="11" t="str">
        <f aca="false">IF($C347="Passif","—",IF($C347="Attaque (arme 1)",INDEX(Éléments!$F$5:$F$14,$U347),INDEX(Éléments!$G$5:$G$14,$U347)))</f>
        <v>40 % : 1 pile de Froid (−8 % Agilité ; à 3 piles : Gel, la cible perd 1 tour).</v>
      </c>
      <c r="O347" s="10" t="str">
        <f aca="false">INDEX(Bases!$M$5:$M$83,$T347)</f>
        <v>Active</v>
      </c>
      <c r="P347" s="13" t="n">
        <f aca="false">INDEX(Bases!$N$5:$N$83,$T347)</f>
        <v>8</v>
      </c>
      <c r="Q347" s="15" t="n">
        <f aca="false">INDEX(Éléments!$C$5:$C$14,$U347)</f>
        <v>70</v>
      </c>
      <c r="R347" s="11" t="str">
        <f aca="false">"Niv. "&amp;$P347&amp;IF($Q347&gt;0," · étage "&amp;$Q347&amp;" terminé","")</f>
        <v>Niv. 8 · étage 70 terminé</v>
      </c>
      <c r="S347" s="14" t="n">
        <f aca="false">IF(ISNUMBER($I347),$K347*IF($H347="Zone",Paramètres!$B$8,1)/MAX(1,$I347),0)</f>
        <v>1.2</v>
      </c>
      <c r="T347" s="16" t="n">
        <v>49</v>
      </c>
      <c r="U347" s="16" t="n">
        <v>7</v>
      </c>
    </row>
    <row r="348" customFormat="false" ht="15" hidden="false" customHeight="true" outlineLevel="0" collapsed="false">
      <c r="A348" s="9" t="s">
        <v>417</v>
      </c>
      <c r="B348" s="10" t="str">
        <f aca="false">INDEX(Bases!$B$5:$B$83,$T348)</f>
        <v>Tireur</v>
      </c>
      <c r="C348" s="10" t="str">
        <f aca="false">INDEX(Bases!$E$5:$E$83,$T348)</f>
        <v>Attaque (arme 1)</v>
      </c>
      <c r="D348" s="10" t="str">
        <f aca="false">INDEX(Bases!$F$5:$F$83,$T348)</f>
        <v>Attaque</v>
      </c>
      <c r="E348" s="11" t="str">
        <f aca="false">INDEX(Bases!$C$5:$C$83,$T348)</f>
        <v>Tir multiple</v>
      </c>
      <c r="F348" s="10" t="str">
        <f aca="false">INDEX(Éléments!$A$5:$A$14,$U348)</f>
        <v>Électricité</v>
      </c>
      <c r="G348" s="12" t="str">
        <f aca="false">IF(OR($F348="Neutre",$C348="Passif"),$E348,INDEX(Bases!$D$5:$D$83,$T348)&amp;" "&amp;INDEX(Éléments!$D$5:$D$14,$U348))</f>
        <v>Tir multiple de foudre</v>
      </c>
      <c r="H348" s="10" t="str">
        <f aca="false">INDEX(Bases!$G$5:$G$83,$T348)</f>
        <v>Zone</v>
      </c>
      <c r="I348" s="13" t="n">
        <f aca="false">INDEX(Bases!$H$5:$H$83,$T348)</f>
        <v>2</v>
      </c>
      <c r="J348" s="10" t="str">
        <f aca="false">INDEX(Bases!$I$5:$I$83,$T348)</f>
        <v>Non</v>
      </c>
      <c r="K348" s="14" t="n">
        <f aca="false">INDEX(Bases!$J$5:$J$83,$T348)</f>
        <v>0.8</v>
      </c>
      <c r="L348" s="10" t="str">
        <f aca="false">INDEX(Bases!$K$5:$K$83,$T348)</f>
        <v>Force</v>
      </c>
      <c r="M348" s="11" t="str">
        <f aca="false">INDEX(Bases!$L$5:$L$83,$T348)</f>
        <v>Frappe tous les ennemis de la vague.</v>
      </c>
      <c r="N348" s="11" t="str">
        <f aca="false">IF($C348="Passif","—",IF($C348="Attaque (arme 1)",INDEX(Éléments!$F$5:$F$14,$U348),INDEX(Éléments!$G$5:$G$14,$U348)))</f>
        <v>Rebondit sur 1 autre ennemi (40 % des dégâts) ; 10 % : Étourdissement (1 tour).</v>
      </c>
      <c r="O348" s="10" t="str">
        <f aca="false">INDEX(Bases!$M$5:$M$83,$T348)</f>
        <v>Active</v>
      </c>
      <c r="P348" s="13" t="n">
        <f aca="false">INDEX(Bases!$N$5:$N$83,$T348)</f>
        <v>8</v>
      </c>
      <c r="Q348" s="15" t="n">
        <f aca="false">INDEX(Éléments!$C$5:$C$14,$U348)</f>
        <v>80</v>
      </c>
      <c r="R348" s="11" t="str">
        <f aca="false">"Niv. "&amp;$P348&amp;IF($Q348&gt;0," · étage "&amp;$Q348&amp;" terminé","")</f>
        <v>Niv. 8 · étage 80 terminé</v>
      </c>
      <c r="S348" s="14" t="n">
        <f aca="false">IF(ISNUMBER($I348),$K348*IF($H348="Zone",Paramètres!$B$8,1)/MAX(1,$I348),0)</f>
        <v>1.2</v>
      </c>
      <c r="T348" s="16" t="n">
        <v>49</v>
      </c>
      <c r="U348" s="16" t="n">
        <v>8</v>
      </c>
    </row>
    <row r="349" customFormat="false" ht="15" hidden="false" customHeight="true" outlineLevel="0" collapsed="false">
      <c r="A349" s="9" t="s">
        <v>418</v>
      </c>
      <c r="B349" s="10" t="str">
        <f aca="false">INDEX(Bases!$B$5:$B$83,$T349)</f>
        <v>Tireur</v>
      </c>
      <c r="C349" s="10" t="str">
        <f aca="false">INDEX(Bases!$E$5:$E$83,$T349)</f>
        <v>Attaque (arme 1)</v>
      </c>
      <c r="D349" s="10" t="str">
        <f aca="false">INDEX(Bases!$F$5:$F$83,$T349)</f>
        <v>Attaque</v>
      </c>
      <c r="E349" s="11" t="str">
        <f aca="false">INDEX(Bases!$C$5:$C$83,$T349)</f>
        <v>Tir multiple</v>
      </c>
      <c r="F349" s="10" t="str">
        <f aca="false">INDEX(Éléments!$A$5:$A$14,$U349)</f>
        <v>Lumière</v>
      </c>
      <c r="G349" s="12" t="str">
        <f aca="false">IF(OR($F349="Neutre",$C349="Passif"),$E349,INDEX(Bases!$D$5:$D$83,$T349)&amp;" "&amp;INDEX(Éléments!$D$5:$D$14,$U349))</f>
        <v>Tir multiple de lumière</v>
      </c>
      <c r="H349" s="10" t="str">
        <f aca="false">INDEX(Bases!$G$5:$G$83,$T349)</f>
        <v>Zone</v>
      </c>
      <c r="I349" s="13" t="n">
        <f aca="false">INDEX(Bases!$H$5:$H$83,$T349)</f>
        <v>2</v>
      </c>
      <c r="J349" s="10" t="str">
        <f aca="false">INDEX(Bases!$I$5:$I$83,$T349)</f>
        <v>Non</v>
      </c>
      <c r="K349" s="14" t="n">
        <f aca="false">INDEX(Bases!$J$5:$J$83,$T349)</f>
        <v>0.8</v>
      </c>
      <c r="L349" s="10" t="str">
        <f aca="false">INDEX(Bases!$K$5:$K$83,$T349)</f>
        <v>Force</v>
      </c>
      <c r="M349" s="11" t="str">
        <f aca="false">INDEX(Bases!$L$5:$L$83,$T349)</f>
        <v>Frappe tous les ennemis de la vague.</v>
      </c>
      <c r="N349" s="11" t="str">
        <f aca="false">IF($C349="Passif","—",IF($C349="Attaque (arme 1)",INDEX(Éléments!$F$5:$F$14,$U349),INDEX(Éléments!$G$5:$G$14,$U349)))</f>
        <v>Soigne le lanceur de 5 % des dégâts infligés ; 25 % : Éblouissement (−20 % chance de critique, 2 tours).</v>
      </c>
      <c r="O349" s="10" t="str">
        <f aca="false">INDEX(Bases!$M$5:$M$83,$T349)</f>
        <v>Active</v>
      </c>
      <c r="P349" s="13" t="n">
        <f aca="false">INDEX(Bases!$N$5:$N$83,$T349)</f>
        <v>8</v>
      </c>
      <c r="Q349" s="15" t="n">
        <f aca="false">INDEX(Éléments!$C$5:$C$14,$U349)</f>
        <v>90</v>
      </c>
      <c r="R349" s="11" t="str">
        <f aca="false">"Niv. "&amp;$P349&amp;IF($Q349&gt;0," · étage "&amp;$Q349&amp;" terminé","")</f>
        <v>Niv. 8 · étage 90 terminé</v>
      </c>
      <c r="S349" s="14" t="n">
        <f aca="false">IF(ISNUMBER($I349),$K349*IF($H349="Zone",Paramètres!$B$8,1)/MAX(1,$I349),0)</f>
        <v>1.2</v>
      </c>
      <c r="T349" s="16" t="n">
        <v>49</v>
      </c>
      <c r="U349" s="16" t="n">
        <v>9</v>
      </c>
    </row>
    <row r="350" customFormat="false" ht="15" hidden="false" customHeight="true" outlineLevel="0" collapsed="false">
      <c r="A350" s="9" t="s">
        <v>419</v>
      </c>
      <c r="B350" s="10" t="str">
        <f aca="false">INDEX(Bases!$B$5:$B$83,$T350)</f>
        <v>Tireur</v>
      </c>
      <c r="C350" s="10" t="str">
        <f aca="false">INDEX(Bases!$E$5:$E$83,$T350)</f>
        <v>Attaque (arme 1)</v>
      </c>
      <c r="D350" s="10" t="str">
        <f aca="false">INDEX(Bases!$F$5:$F$83,$T350)</f>
        <v>Attaque</v>
      </c>
      <c r="E350" s="11" t="str">
        <f aca="false">INDEX(Bases!$C$5:$C$83,$T350)</f>
        <v>Tir multiple</v>
      </c>
      <c r="F350" s="10" t="str">
        <f aca="false">INDEX(Éléments!$A$5:$A$14,$U350)</f>
        <v>Ombre</v>
      </c>
      <c r="G350" s="12" t="str">
        <f aca="false">IF(OR($F350="Neutre",$C350="Passif"),$E350,INDEX(Bases!$D$5:$D$83,$T350)&amp;" "&amp;INDEX(Éléments!$D$5:$D$14,$U350))</f>
        <v>Tir multiple d'ombre</v>
      </c>
      <c r="H350" s="10" t="str">
        <f aca="false">INDEX(Bases!$G$5:$G$83,$T350)</f>
        <v>Zone</v>
      </c>
      <c r="I350" s="13" t="n">
        <f aca="false">INDEX(Bases!$H$5:$H$83,$T350)</f>
        <v>2</v>
      </c>
      <c r="J350" s="10" t="str">
        <f aca="false">INDEX(Bases!$I$5:$I$83,$T350)</f>
        <v>Non</v>
      </c>
      <c r="K350" s="14" t="n">
        <f aca="false">INDEX(Bases!$J$5:$J$83,$T350)</f>
        <v>0.8</v>
      </c>
      <c r="L350" s="10" t="str">
        <f aca="false">INDEX(Bases!$K$5:$K$83,$T350)</f>
        <v>Force</v>
      </c>
      <c r="M350" s="11" t="str">
        <f aca="false">INDEX(Bases!$L$5:$L$83,$T350)</f>
        <v>Frappe tous les ennemis de la vague.</v>
      </c>
      <c r="N350" s="11" t="str">
        <f aca="false">IF($C350="Passif","—",IF($C350="Attaque (arme 1)",INDEX(Éléments!$F$5:$F$14,$U350),INDEX(Éléments!$G$5:$G$14,$U350)))</f>
        <v>Vol de vie 5 % ; 30 % : Corruption (+10 % de dégâts subis, 2 tours).</v>
      </c>
      <c r="O350" s="10" t="str">
        <f aca="false">INDEX(Bases!$M$5:$M$83,$T350)</f>
        <v>Active</v>
      </c>
      <c r="P350" s="13" t="n">
        <f aca="false">INDEX(Bases!$N$5:$N$83,$T350)</f>
        <v>8</v>
      </c>
      <c r="Q350" s="15" t="n">
        <f aca="false">INDEX(Éléments!$C$5:$C$14,$U350)</f>
        <v>100</v>
      </c>
      <c r="R350" s="11" t="str">
        <f aca="false">"Niv. "&amp;$P350&amp;IF($Q350&gt;0," · étage "&amp;$Q350&amp;" terminé","")</f>
        <v>Niv. 8 · étage 100 terminé</v>
      </c>
      <c r="S350" s="14" t="n">
        <f aca="false">IF(ISNUMBER($I350),$K350*IF($H350="Zone",Paramètres!$B$8,1)/MAX(1,$I350),0)</f>
        <v>1.2</v>
      </c>
      <c r="T350" s="16" t="n">
        <v>49</v>
      </c>
      <c r="U350" s="16" t="n">
        <v>10</v>
      </c>
    </row>
    <row r="351" customFormat="false" ht="15" hidden="false" customHeight="true" outlineLevel="0" collapsed="false">
      <c r="A351" s="9" t="s">
        <v>420</v>
      </c>
      <c r="B351" s="10" t="str">
        <f aca="false">INDEX(Bases!$B$5:$B$83,$T351)</f>
        <v>Tireur</v>
      </c>
      <c r="C351" s="10" t="str">
        <f aca="false">INDEX(Bases!$E$5:$E$83,$T351)</f>
        <v>Attaque (arme 1)</v>
      </c>
      <c r="D351" s="10" t="str">
        <f aca="false">INDEX(Bases!$F$5:$F$83,$T351)</f>
        <v>Attaque</v>
      </c>
      <c r="E351" s="11" t="str">
        <f aca="false">INDEX(Bases!$C$5:$C$83,$T351)</f>
        <v>Double tir</v>
      </c>
      <c r="F351" s="10" t="str">
        <f aca="false">INDEX(Éléments!$A$5:$A$14,$U351)</f>
        <v>Neutre</v>
      </c>
      <c r="G351" s="12" t="str">
        <f aca="false">IF(OR($F351="Neutre",$C351="Passif"),$E351,INDEX(Bases!$D$5:$D$83,$T351)&amp;" "&amp;INDEX(Éléments!$D$5:$D$14,$U351))</f>
        <v>Double tir</v>
      </c>
      <c r="H351" s="10" t="str">
        <f aca="false">INDEX(Bases!$G$5:$G$83,$T351)</f>
        <v>Mono</v>
      </c>
      <c r="I351" s="13" t="n">
        <f aca="false">INDEX(Bases!$H$5:$H$83,$T351)</f>
        <v>1</v>
      </c>
      <c r="J351" s="10" t="str">
        <f aca="false">INDEX(Bases!$I$5:$I$83,$T351)</f>
        <v>Non</v>
      </c>
      <c r="K351" s="14" t="n">
        <f aca="false">INDEX(Bases!$J$5:$J$83,$T351)</f>
        <v>0.9</v>
      </c>
      <c r="L351" s="10" t="str">
        <f aca="false">INDEX(Bases!$K$5:$K$83,$T351)</f>
        <v>Force</v>
      </c>
      <c r="M351" s="11" t="str">
        <f aca="false">INDEX(Bases!$L$5:$L$83,$T351)</f>
        <v>Deux flèches (2 × 45 %) : deux chances d'appliquer l'effet élémentaire.</v>
      </c>
      <c r="N351" s="11" t="str">
        <f aca="false">IF($C351="Passif","—",IF($C351="Attaque (arme 1)",INDEX(Éléments!$F$5:$F$14,$U351),INDEX(Éléments!$G$5:$G$14,$U351)))</f>
        <v>Aucune altération ; ignore 10 % de la Résistance de la cible. Fiable contre tous les biomes.</v>
      </c>
      <c r="O351" s="10" t="str">
        <f aca="false">INDEX(Bases!$M$5:$M$83,$T351)</f>
        <v>Active</v>
      </c>
      <c r="P351" s="13" t="n">
        <f aca="false">INDEX(Bases!$N$5:$N$83,$T351)</f>
        <v>12</v>
      </c>
      <c r="Q351" s="15" t="n">
        <f aca="false">INDEX(Éléments!$C$5:$C$14,$U351)</f>
        <v>0</v>
      </c>
      <c r="R351" s="11" t="str">
        <f aca="false">"Niv. "&amp;$P351&amp;IF($Q351&gt;0," · étage "&amp;$Q351&amp;" terminé","")</f>
        <v>Niv. 12</v>
      </c>
      <c r="S351" s="14" t="n">
        <f aca="false">IF(ISNUMBER($I351),$K351*IF($H351="Zone",Paramètres!$B$8,1)/MAX(1,$I351),0)</f>
        <v>0.9</v>
      </c>
      <c r="T351" s="16" t="n">
        <v>50</v>
      </c>
      <c r="U351" s="16" t="n">
        <v>1</v>
      </c>
    </row>
    <row r="352" customFormat="false" ht="15" hidden="false" customHeight="true" outlineLevel="0" collapsed="false">
      <c r="A352" s="9" t="s">
        <v>421</v>
      </c>
      <c r="B352" s="10" t="str">
        <f aca="false">INDEX(Bases!$B$5:$B$83,$T352)</f>
        <v>Tireur</v>
      </c>
      <c r="C352" s="10" t="str">
        <f aca="false">INDEX(Bases!$E$5:$E$83,$T352)</f>
        <v>Attaque (arme 1)</v>
      </c>
      <c r="D352" s="10" t="str">
        <f aca="false">INDEX(Bases!$F$5:$F$83,$T352)</f>
        <v>Attaque</v>
      </c>
      <c r="E352" s="11" t="str">
        <f aca="false">INDEX(Bases!$C$5:$C$83,$T352)</f>
        <v>Double tir</v>
      </c>
      <c r="F352" s="10" t="str">
        <f aca="false">INDEX(Éléments!$A$5:$A$14,$U352)</f>
        <v>Terre</v>
      </c>
      <c r="G352" s="12" t="str">
        <f aca="false">IF(OR($F352="Neutre",$C352="Passif"),$E352,INDEX(Bases!$D$5:$D$83,$T352)&amp;" "&amp;INDEX(Éléments!$D$5:$D$14,$U352))</f>
        <v>Double tir de pierre</v>
      </c>
      <c r="H352" s="10" t="str">
        <f aca="false">INDEX(Bases!$G$5:$G$83,$T352)</f>
        <v>Mono</v>
      </c>
      <c r="I352" s="13" t="n">
        <f aca="false">INDEX(Bases!$H$5:$H$83,$T352)</f>
        <v>1</v>
      </c>
      <c r="J352" s="10" t="str">
        <f aca="false">INDEX(Bases!$I$5:$I$83,$T352)</f>
        <v>Non</v>
      </c>
      <c r="K352" s="14" t="n">
        <f aca="false">INDEX(Bases!$J$5:$J$83,$T352)</f>
        <v>0.9</v>
      </c>
      <c r="L352" s="10" t="str">
        <f aca="false">INDEX(Bases!$K$5:$K$83,$T352)</f>
        <v>Force</v>
      </c>
      <c r="M352" s="11" t="str">
        <f aca="false">INDEX(Bases!$L$5:$L$83,$T352)</f>
        <v>Deux flèches (2 × 45 %) : deux chances d'appliquer l'effet élémentaire.</v>
      </c>
      <c r="N352" s="11" t="str">
        <f aca="false">IF($C352="Passif","—",IF($C352="Attaque (arme 1)",INDEX(Éléments!$F$5:$F$14,$U352),INDEX(Éléments!$G$5:$G$14,$U352)))</f>
        <v>30 % : Garde brisée (−15 % Résistance, 2 tours).</v>
      </c>
      <c r="O352" s="10" t="str">
        <f aca="false">INDEX(Bases!$M$5:$M$83,$T352)</f>
        <v>Active</v>
      </c>
      <c r="P352" s="13" t="n">
        <f aca="false">INDEX(Bases!$N$5:$N$83,$T352)</f>
        <v>12</v>
      </c>
      <c r="Q352" s="15" t="n">
        <f aca="false">INDEX(Éléments!$C$5:$C$14,$U352)</f>
        <v>20</v>
      </c>
      <c r="R352" s="11" t="str">
        <f aca="false">"Niv. "&amp;$P352&amp;IF($Q352&gt;0," · étage "&amp;$Q352&amp;" terminé","")</f>
        <v>Niv. 12 · étage 20 terminé</v>
      </c>
      <c r="S352" s="14" t="n">
        <f aca="false">IF(ISNUMBER($I352),$K352*IF($H352="Zone",Paramètres!$B$8,1)/MAX(1,$I352),0)</f>
        <v>0.9</v>
      </c>
      <c r="T352" s="16" t="n">
        <v>50</v>
      </c>
      <c r="U352" s="16" t="n">
        <v>2</v>
      </c>
    </row>
    <row r="353" customFormat="false" ht="15" hidden="false" customHeight="true" outlineLevel="0" collapsed="false">
      <c r="A353" s="9" t="s">
        <v>422</v>
      </c>
      <c r="B353" s="10" t="str">
        <f aca="false">INDEX(Bases!$B$5:$B$83,$T353)</f>
        <v>Tireur</v>
      </c>
      <c r="C353" s="10" t="str">
        <f aca="false">INDEX(Bases!$E$5:$E$83,$T353)</f>
        <v>Attaque (arme 1)</v>
      </c>
      <c r="D353" s="10" t="str">
        <f aca="false">INDEX(Bases!$F$5:$F$83,$T353)</f>
        <v>Attaque</v>
      </c>
      <c r="E353" s="11" t="str">
        <f aca="false">INDEX(Bases!$C$5:$C$83,$T353)</f>
        <v>Double tir</v>
      </c>
      <c r="F353" s="10" t="str">
        <f aca="false">INDEX(Éléments!$A$5:$A$14,$U353)</f>
        <v>Feu</v>
      </c>
      <c r="G353" s="12" t="str">
        <f aca="false">IF(OR($F353="Neutre",$C353="Passif"),$E353,INDEX(Bases!$D$5:$D$83,$T353)&amp;" "&amp;INDEX(Éléments!$D$5:$D$14,$U353))</f>
        <v>Double tir de feu</v>
      </c>
      <c r="H353" s="10" t="str">
        <f aca="false">INDEX(Bases!$G$5:$G$83,$T353)</f>
        <v>Mono</v>
      </c>
      <c r="I353" s="13" t="n">
        <f aca="false">INDEX(Bases!$H$5:$H$83,$T353)</f>
        <v>1</v>
      </c>
      <c r="J353" s="10" t="str">
        <f aca="false">INDEX(Bases!$I$5:$I$83,$T353)</f>
        <v>Non</v>
      </c>
      <c r="K353" s="14" t="n">
        <f aca="false">INDEX(Bases!$J$5:$J$83,$T353)</f>
        <v>0.9</v>
      </c>
      <c r="L353" s="10" t="str">
        <f aca="false">INDEX(Bases!$K$5:$K$83,$T353)</f>
        <v>Force</v>
      </c>
      <c r="M353" s="11" t="str">
        <f aca="false">INDEX(Bases!$L$5:$L$83,$T353)</f>
        <v>Deux flèches (2 × 45 %) : deux chances d'appliquer l'effet élémentaire.</v>
      </c>
      <c r="N353" s="11" t="str">
        <f aca="false">IF($C353="Passif","—",IF($C353="Attaque (arme 1)",INDEX(Éléments!$F$5:$F$14,$U353),INDEX(Éléments!$G$5:$G$14,$U353)))</f>
        <v>35 % : Brûlure (8 % de la stat d'attaque par tour, 3 tours, non cumulable).</v>
      </c>
      <c r="O353" s="10" t="str">
        <f aca="false">INDEX(Bases!$M$5:$M$83,$T353)</f>
        <v>Active</v>
      </c>
      <c r="P353" s="13" t="n">
        <f aca="false">INDEX(Bases!$N$5:$N$83,$T353)</f>
        <v>12</v>
      </c>
      <c r="Q353" s="15" t="n">
        <f aca="false">INDEX(Éléments!$C$5:$C$14,$U353)</f>
        <v>30</v>
      </c>
      <c r="R353" s="11" t="str">
        <f aca="false">"Niv. "&amp;$P353&amp;IF($Q353&gt;0," · étage "&amp;$Q353&amp;" terminé","")</f>
        <v>Niv. 12 · étage 30 terminé</v>
      </c>
      <c r="S353" s="14" t="n">
        <f aca="false">IF(ISNUMBER($I353),$K353*IF($H353="Zone",Paramètres!$B$8,1)/MAX(1,$I353),0)</f>
        <v>0.9</v>
      </c>
      <c r="T353" s="16" t="n">
        <v>50</v>
      </c>
      <c r="U353" s="16" t="n">
        <v>3</v>
      </c>
    </row>
    <row r="354" customFormat="false" ht="15" hidden="false" customHeight="true" outlineLevel="0" collapsed="false">
      <c r="A354" s="9" t="s">
        <v>423</v>
      </c>
      <c r="B354" s="10" t="str">
        <f aca="false">INDEX(Bases!$B$5:$B$83,$T354)</f>
        <v>Tireur</v>
      </c>
      <c r="C354" s="10" t="str">
        <f aca="false">INDEX(Bases!$E$5:$E$83,$T354)</f>
        <v>Attaque (arme 1)</v>
      </c>
      <c r="D354" s="10" t="str">
        <f aca="false">INDEX(Bases!$F$5:$F$83,$T354)</f>
        <v>Attaque</v>
      </c>
      <c r="E354" s="11" t="str">
        <f aca="false">INDEX(Bases!$C$5:$C$83,$T354)</f>
        <v>Double tir</v>
      </c>
      <c r="F354" s="10" t="str">
        <f aca="false">INDEX(Éléments!$A$5:$A$14,$U354)</f>
        <v>Vent</v>
      </c>
      <c r="G354" s="12" t="str">
        <f aca="false">IF(OR($F354="Neutre",$C354="Passif"),$E354,INDEX(Bases!$D$5:$D$83,$T354)&amp;" "&amp;INDEX(Éléments!$D$5:$D$14,$U354))</f>
        <v>Double tir de vent</v>
      </c>
      <c r="H354" s="10" t="str">
        <f aca="false">INDEX(Bases!$G$5:$G$83,$T354)</f>
        <v>Mono</v>
      </c>
      <c r="I354" s="13" t="n">
        <f aca="false">INDEX(Bases!$H$5:$H$83,$T354)</f>
        <v>1</v>
      </c>
      <c r="J354" s="10" t="str">
        <f aca="false">INDEX(Bases!$I$5:$I$83,$T354)</f>
        <v>Non</v>
      </c>
      <c r="K354" s="14" t="n">
        <f aca="false">INDEX(Bases!$J$5:$J$83,$T354)</f>
        <v>0.9</v>
      </c>
      <c r="L354" s="10" t="str">
        <f aca="false">INDEX(Bases!$K$5:$K$83,$T354)</f>
        <v>Force</v>
      </c>
      <c r="M354" s="11" t="str">
        <f aca="false">INDEX(Bases!$L$5:$L$83,$T354)</f>
        <v>Deux flèches (2 × 45 %) : deux chances d'appliquer l'effet élémentaire.</v>
      </c>
      <c r="N354" s="11" t="str">
        <f aca="false">IF($C354="Passif","—",IF($C354="Attaque (arme 1)",INDEX(Éléments!$F$5:$F$14,$U354),INDEX(Éléments!$G$5:$G$14,$U354)))</f>
        <v>+10 % de chance de critique ; 30 % : Désorienté (−15 % Précision, 2 tours).</v>
      </c>
      <c r="O354" s="10" t="str">
        <f aca="false">INDEX(Bases!$M$5:$M$83,$T354)</f>
        <v>Active</v>
      </c>
      <c r="P354" s="13" t="n">
        <f aca="false">INDEX(Bases!$N$5:$N$83,$T354)</f>
        <v>12</v>
      </c>
      <c r="Q354" s="15" t="n">
        <f aca="false">INDEX(Éléments!$C$5:$C$14,$U354)</f>
        <v>40</v>
      </c>
      <c r="R354" s="11" t="str">
        <f aca="false">"Niv. "&amp;$P354&amp;IF($Q354&gt;0," · étage "&amp;$Q354&amp;" terminé","")</f>
        <v>Niv. 12 · étage 40 terminé</v>
      </c>
      <c r="S354" s="14" t="n">
        <f aca="false">IF(ISNUMBER($I354),$K354*IF($H354="Zone",Paramètres!$B$8,1)/MAX(1,$I354),0)</f>
        <v>0.9</v>
      </c>
      <c r="T354" s="16" t="n">
        <v>50</v>
      </c>
      <c r="U354" s="16" t="n">
        <v>4</v>
      </c>
    </row>
    <row r="355" customFormat="false" ht="15" hidden="false" customHeight="true" outlineLevel="0" collapsed="false">
      <c r="A355" s="9" t="s">
        <v>424</v>
      </c>
      <c r="B355" s="10" t="str">
        <f aca="false">INDEX(Bases!$B$5:$B$83,$T355)</f>
        <v>Tireur</v>
      </c>
      <c r="C355" s="10" t="str">
        <f aca="false">INDEX(Bases!$E$5:$E$83,$T355)</f>
        <v>Attaque (arme 1)</v>
      </c>
      <c r="D355" s="10" t="str">
        <f aca="false">INDEX(Bases!$F$5:$F$83,$T355)</f>
        <v>Attaque</v>
      </c>
      <c r="E355" s="11" t="str">
        <f aca="false">INDEX(Bases!$C$5:$C$83,$T355)</f>
        <v>Double tir</v>
      </c>
      <c r="F355" s="10" t="str">
        <f aca="false">INDEX(Éléments!$A$5:$A$14,$U355)</f>
        <v>Acide</v>
      </c>
      <c r="G355" s="12" t="str">
        <f aca="false">IF(OR($F355="Neutre",$C355="Passif"),$E355,INDEX(Bases!$D$5:$D$83,$T355)&amp;" "&amp;INDEX(Éléments!$D$5:$D$14,$U355))</f>
        <v>Double tir d'acide</v>
      </c>
      <c r="H355" s="10" t="str">
        <f aca="false">INDEX(Bases!$G$5:$G$83,$T355)</f>
        <v>Mono</v>
      </c>
      <c r="I355" s="13" t="n">
        <f aca="false">INDEX(Bases!$H$5:$H$83,$T355)</f>
        <v>1</v>
      </c>
      <c r="J355" s="10" t="str">
        <f aca="false">INDEX(Bases!$I$5:$I$83,$T355)</f>
        <v>Non</v>
      </c>
      <c r="K355" s="14" t="n">
        <f aca="false">INDEX(Bases!$J$5:$J$83,$T355)</f>
        <v>0.9</v>
      </c>
      <c r="L355" s="10" t="str">
        <f aca="false">INDEX(Bases!$K$5:$K$83,$T355)</f>
        <v>Force</v>
      </c>
      <c r="M355" s="11" t="str">
        <f aca="false">INDEX(Bases!$L$5:$L$83,$T355)</f>
        <v>Deux flèches (2 × 45 %) : deux chances d'appliquer l'effet élémentaire.</v>
      </c>
      <c r="N355" s="11" t="str">
        <f aca="false">IF($C355="Passif","—",IF($C355="Attaque (arme 1)",INDEX(Éléments!$F$5:$F$14,$U355),INDEX(Éléments!$G$5:$G$14,$U355)))</f>
        <v>50 % : 1 pile de Corrosion (−5 % Armure par pile, 4 piles max, 3 tours).</v>
      </c>
      <c r="O355" s="10" t="str">
        <f aca="false">INDEX(Bases!$M$5:$M$83,$T355)</f>
        <v>Active</v>
      </c>
      <c r="P355" s="13" t="n">
        <f aca="false">INDEX(Bases!$N$5:$N$83,$T355)</f>
        <v>12</v>
      </c>
      <c r="Q355" s="15" t="n">
        <f aca="false">INDEX(Éléments!$C$5:$C$14,$U355)</f>
        <v>50</v>
      </c>
      <c r="R355" s="11" t="str">
        <f aca="false">"Niv. "&amp;$P355&amp;IF($Q355&gt;0," · étage "&amp;$Q355&amp;" terminé","")</f>
        <v>Niv. 12 · étage 50 terminé</v>
      </c>
      <c r="S355" s="14" t="n">
        <f aca="false">IF(ISNUMBER($I355),$K355*IF($H355="Zone",Paramètres!$B$8,1)/MAX(1,$I355),0)</f>
        <v>0.9</v>
      </c>
      <c r="T355" s="16" t="n">
        <v>50</v>
      </c>
      <c r="U355" s="16" t="n">
        <v>5</v>
      </c>
    </row>
    <row r="356" customFormat="false" ht="15" hidden="false" customHeight="true" outlineLevel="0" collapsed="false">
      <c r="A356" s="9" t="s">
        <v>425</v>
      </c>
      <c r="B356" s="10" t="str">
        <f aca="false">INDEX(Bases!$B$5:$B$83,$T356)</f>
        <v>Tireur</v>
      </c>
      <c r="C356" s="10" t="str">
        <f aca="false">INDEX(Bases!$E$5:$E$83,$T356)</f>
        <v>Attaque (arme 1)</v>
      </c>
      <c r="D356" s="10" t="str">
        <f aca="false">INDEX(Bases!$F$5:$F$83,$T356)</f>
        <v>Attaque</v>
      </c>
      <c r="E356" s="11" t="str">
        <f aca="false">INDEX(Bases!$C$5:$C$83,$T356)</f>
        <v>Double tir</v>
      </c>
      <c r="F356" s="10" t="str">
        <f aca="false">INDEX(Éléments!$A$5:$A$14,$U356)</f>
        <v>Eau</v>
      </c>
      <c r="G356" s="12" t="str">
        <f aca="false">IF(OR($F356="Neutre",$C356="Passif"),$E356,INDEX(Bases!$D$5:$D$83,$T356)&amp;" "&amp;INDEX(Éléments!$D$5:$D$14,$U356))</f>
        <v>Double tir d'eau</v>
      </c>
      <c r="H356" s="10" t="str">
        <f aca="false">INDEX(Bases!$G$5:$G$83,$T356)</f>
        <v>Mono</v>
      </c>
      <c r="I356" s="13" t="n">
        <f aca="false">INDEX(Bases!$H$5:$H$83,$T356)</f>
        <v>1</v>
      </c>
      <c r="J356" s="10" t="str">
        <f aca="false">INDEX(Bases!$I$5:$I$83,$T356)</f>
        <v>Non</v>
      </c>
      <c r="K356" s="14" t="n">
        <f aca="false">INDEX(Bases!$J$5:$J$83,$T356)</f>
        <v>0.9</v>
      </c>
      <c r="L356" s="10" t="str">
        <f aca="false">INDEX(Bases!$K$5:$K$83,$T356)</f>
        <v>Force</v>
      </c>
      <c r="M356" s="11" t="str">
        <f aca="false">INDEX(Bases!$L$5:$L$83,$T356)</f>
        <v>Deux flèches (2 × 45 %) : deux chances d'appliquer l'effet élémentaire.</v>
      </c>
      <c r="N356" s="11" t="str">
        <f aca="false">IF($C356="Passif","—",IF($C356="Attaque (arme 1)",INDEX(Éléments!$F$5:$F$14,$U356),INDEX(Éléments!$G$5:$G$14,$U356)))</f>
        <v>50 % : Mouillé (+25 % de dégâts d'Électricité subis, retire Brûlure, 3 tours).</v>
      </c>
      <c r="O356" s="10" t="str">
        <f aca="false">INDEX(Bases!$M$5:$M$83,$T356)</f>
        <v>Active</v>
      </c>
      <c r="P356" s="13" t="n">
        <f aca="false">INDEX(Bases!$N$5:$N$83,$T356)</f>
        <v>12</v>
      </c>
      <c r="Q356" s="15" t="n">
        <f aca="false">INDEX(Éléments!$C$5:$C$14,$U356)</f>
        <v>60</v>
      </c>
      <c r="R356" s="11" t="str">
        <f aca="false">"Niv. "&amp;$P356&amp;IF($Q356&gt;0," · étage "&amp;$Q356&amp;" terminé","")</f>
        <v>Niv. 12 · étage 60 terminé</v>
      </c>
      <c r="S356" s="14" t="n">
        <f aca="false">IF(ISNUMBER($I356),$K356*IF($H356="Zone",Paramètres!$B$8,1)/MAX(1,$I356),0)</f>
        <v>0.9</v>
      </c>
      <c r="T356" s="16" t="n">
        <v>50</v>
      </c>
      <c r="U356" s="16" t="n">
        <v>6</v>
      </c>
    </row>
    <row r="357" customFormat="false" ht="15" hidden="false" customHeight="true" outlineLevel="0" collapsed="false">
      <c r="A357" s="9" t="s">
        <v>426</v>
      </c>
      <c r="B357" s="10" t="str">
        <f aca="false">INDEX(Bases!$B$5:$B$83,$T357)</f>
        <v>Tireur</v>
      </c>
      <c r="C357" s="10" t="str">
        <f aca="false">INDEX(Bases!$E$5:$E$83,$T357)</f>
        <v>Attaque (arme 1)</v>
      </c>
      <c r="D357" s="10" t="str">
        <f aca="false">INDEX(Bases!$F$5:$F$83,$T357)</f>
        <v>Attaque</v>
      </c>
      <c r="E357" s="11" t="str">
        <f aca="false">INDEX(Bases!$C$5:$C$83,$T357)</f>
        <v>Double tir</v>
      </c>
      <c r="F357" s="10" t="str">
        <f aca="false">INDEX(Éléments!$A$5:$A$14,$U357)</f>
        <v>Glace</v>
      </c>
      <c r="G357" s="12" t="str">
        <f aca="false">IF(OR($F357="Neutre",$C357="Passif"),$E357,INDEX(Bases!$D$5:$D$83,$T357)&amp;" "&amp;INDEX(Éléments!$D$5:$D$14,$U357))</f>
        <v>Double tir de glace</v>
      </c>
      <c r="H357" s="10" t="str">
        <f aca="false">INDEX(Bases!$G$5:$G$83,$T357)</f>
        <v>Mono</v>
      </c>
      <c r="I357" s="13" t="n">
        <f aca="false">INDEX(Bases!$H$5:$H$83,$T357)</f>
        <v>1</v>
      </c>
      <c r="J357" s="10" t="str">
        <f aca="false">INDEX(Bases!$I$5:$I$83,$T357)</f>
        <v>Non</v>
      </c>
      <c r="K357" s="14" t="n">
        <f aca="false">INDEX(Bases!$J$5:$J$83,$T357)</f>
        <v>0.9</v>
      </c>
      <c r="L357" s="10" t="str">
        <f aca="false">INDEX(Bases!$K$5:$K$83,$T357)</f>
        <v>Force</v>
      </c>
      <c r="M357" s="11" t="str">
        <f aca="false">INDEX(Bases!$L$5:$L$83,$T357)</f>
        <v>Deux flèches (2 × 45 %) : deux chances d'appliquer l'effet élémentaire.</v>
      </c>
      <c r="N357" s="11" t="str">
        <f aca="false">IF($C357="Passif","—",IF($C357="Attaque (arme 1)",INDEX(Éléments!$F$5:$F$14,$U357),INDEX(Éléments!$G$5:$G$14,$U357)))</f>
        <v>40 % : 1 pile de Froid (−8 % Agilité ; à 3 piles : Gel, la cible perd 1 tour).</v>
      </c>
      <c r="O357" s="10" t="str">
        <f aca="false">INDEX(Bases!$M$5:$M$83,$T357)</f>
        <v>Active</v>
      </c>
      <c r="P357" s="13" t="n">
        <f aca="false">INDEX(Bases!$N$5:$N$83,$T357)</f>
        <v>12</v>
      </c>
      <c r="Q357" s="15" t="n">
        <f aca="false">INDEX(Éléments!$C$5:$C$14,$U357)</f>
        <v>70</v>
      </c>
      <c r="R357" s="11" t="str">
        <f aca="false">"Niv. "&amp;$P357&amp;IF($Q357&gt;0," · étage "&amp;$Q357&amp;" terminé","")</f>
        <v>Niv. 12 · étage 70 terminé</v>
      </c>
      <c r="S357" s="14" t="n">
        <f aca="false">IF(ISNUMBER($I357),$K357*IF($H357="Zone",Paramètres!$B$8,1)/MAX(1,$I357),0)</f>
        <v>0.9</v>
      </c>
      <c r="T357" s="16" t="n">
        <v>50</v>
      </c>
      <c r="U357" s="16" t="n">
        <v>7</v>
      </c>
    </row>
    <row r="358" customFormat="false" ht="15" hidden="false" customHeight="true" outlineLevel="0" collapsed="false">
      <c r="A358" s="9" t="s">
        <v>427</v>
      </c>
      <c r="B358" s="10" t="str">
        <f aca="false">INDEX(Bases!$B$5:$B$83,$T358)</f>
        <v>Tireur</v>
      </c>
      <c r="C358" s="10" t="str">
        <f aca="false">INDEX(Bases!$E$5:$E$83,$T358)</f>
        <v>Attaque (arme 1)</v>
      </c>
      <c r="D358" s="10" t="str">
        <f aca="false">INDEX(Bases!$F$5:$F$83,$T358)</f>
        <v>Attaque</v>
      </c>
      <c r="E358" s="11" t="str">
        <f aca="false">INDEX(Bases!$C$5:$C$83,$T358)</f>
        <v>Double tir</v>
      </c>
      <c r="F358" s="10" t="str">
        <f aca="false">INDEX(Éléments!$A$5:$A$14,$U358)</f>
        <v>Électricité</v>
      </c>
      <c r="G358" s="12" t="str">
        <f aca="false">IF(OR($F358="Neutre",$C358="Passif"),$E358,INDEX(Bases!$D$5:$D$83,$T358)&amp;" "&amp;INDEX(Éléments!$D$5:$D$14,$U358))</f>
        <v>Double tir de foudre</v>
      </c>
      <c r="H358" s="10" t="str">
        <f aca="false">INDEX(Bases!$G$5:$G$83,$T358)</f>
        <v>Mono</v>
      </c>
      <c r="I358" s="13" t="n">
        <f aca="false">INDEX(Bases!$H$5:$H$83,$T358)</f>
        <v>1</v>
      </c>
      <c r="J358" s="10" t="str">
        <f aca="false">INDEX(Bases!$I$5:$I$83,$T358)</f>
        <v>Non</v>
      </c>
      <c r="K358" s="14" t="n">
        <f aca="false">INDEX(Bases!$J$5:$J$83,$T358)</f>
        <v>0.9</v>
      </c>
      <c r="L358" s="10" t="str">
        <f aca="false">INDEX(Bases!$K$5:$K$83,$T358)</f>
        <v>Force</v>
      </c>
      <c r="M358" s="11" t="str">
        <f aca="false">INDEX(Bases!$L$5:$L$83,$T358)</f>
        <v>Deux flèches (2 × 45 %) : deux chances d'appliquer l'effet élémentaire.</v>
      </c>
      <c r="N358" s="11" t="str">
        <f aca="false">IF($C358="Passif","—",IF($C358="Attaque (arme 1)",INDEX(Éléments!$F$5:$F$14,$U358),INDEX(Éléments!$G$5:$G$14,$U358)))</f>
        <v>Rebondit sur 1 autre ennemi (40 % des dégâts) ; 10 % : Étourdissement (1 tour).</v>
      </c>
      <c r="O358" s="10" t="str">
        <f aca="false">INDEX(Bases!$M$5:$M$83,$T358)</f>
        <v>Active</v>
      </c>
      <c r="P358" s="13" t="n">
        <f aca="false">INDEX(Bases!$N$5:$N$83,$T358)</f>
        <v>12</v>
      </c>
      <c r="Q358" s="15" t="n">
        <f aca="false">INDEX(Éléments!$C$5:$C$14,$U358)</f>
        <v>80</v>
      </c>
      <c r="R358" s="11" t="str">
        <f aca="false">"Niv. "&amp;$P358&amp;IF($Q358&gt;0," · étage "&amp;$Q358&amp;" terminé","")</f>
        <v>Niv. 12 · étage 80 terminé</v>
      </c>
      <c r="S358" s="14" t="n">
        <f aca="false">IF(ISNUMBER($I358),$K358*IF($H358="Zone",Paramètres!$B$8,1)/MAX(1,$I358),0)</f>
        <v>0.9</v>
      </c>
      <c r="T358" s="16" t="n">
        <v>50</v>
      </c>
      <c r="U358" s="16" t="n">
        <v>8</v>
      </c>
    </row>
    <row r="359" customFormat="false" ht="15" hidden="false" customHeight="true" outlineLevel="0" collapsed="false">
      <c r="A359" s="9" t="s">
        <v>428</v>
      </c>
      <c r="B359" s="10" t="str">
        <f aca="false">INDEX(Bases!$B$5:$B$83,$T359)</f>
        <v>Tireur</v>
      </c>
      <c r="C359" s="10" t="str">
        <f aca="false">INDEX(Bases!$E$5:$E$83,$T359)</f>
        <v>Attaque (arme 1)</v>
      </c>
      <c r="D359" s="10" t="str">
        <f aca="false">INDEX(Bases!$F$5:$F$83,$T359)</f>
        <v>Attaque</v>
      </c>
      <c r="E359" s="11" t="str">
        <f aca="false">INDEX(Bases!$C$5:$C$83,$T359)</f>
        <v>Double tir</v>
      </c>
      <c r="F359" s="10" t="str">
        <f aca="false">INDEX(Éléments!$A$5:$A$14,$U359)</f>
        <v>Lumière</v>
      </c>
      <c r="G359" s="12" t="str">
        <f aca="false">IF(OR($F359="Neutre",$C359="Passif"),$E359,INDEX(Bases!$D$5:$D$83,$T359)&amp;" "&amp;INDEX(Éléments!$D$5:$D$14,$U359))</f>
        <v>Double tir de lumière</v>
      </c>
      <c r="H359" s="10" t="str">
        <f aca="false">INDEX(Bases!$G$5:$G$83,$T359)</f>
        <v>Mono</v>
      </c>
      <c r="I359" s="13" t="n">
        <f aca="false">INDEX(Bases!$H$5:$H$83,$T359)</f>
        <v>1</v>
      </c>
      <c r="J359" s="10" t="str">
        <f aca="false">INDEX(Bases!$I$5:$I$83,$T359)</f>
        <v>Non</v>
      </c>
      <c r="K359" s="14" t="n">
        <f aca="false">INDEX(Bases!$J$5:$J$83,$T359)</f>
        <v>0.9</v>
      </c>
      <c r="L359" s="10" t="str">
        <f aca="false">INDEX(Bases!$K$5:$K$83,$T359)</f>
        <v>Force</v>
      </c>
      <c r="M359" s="11" t="str">
        <f aca="false">INDEX(Bases!$L$5:$L$83,$T359)</f>
        <v>Deux flèches (2 × 45 %) : deux chances d'appliquer l'effet élémentaire.</v>
      </c>
      <c r="N359" s="11" t="str">
        <f aca="false">IF($C359="Passif","—",IF($C359="Attaque (arme 1)",INDEX(Éléments!$F$5:$F$14,$U359),INDEX(Éléments!$G$5:$G$14,$U359)))</f>
        <v>Soigne le lanceur de 5 % des dégâts infligés ; 25 % : Éblouissement (−20 % chance de critique, 2 tours).</v>
      </c>
      <c r="O359" s="10" t="str">
        <f aca="false">INDEX(Bases!$M$5:$M$83,$T359)</f>
        <v>Active</v>
      </c>
      <c r="P359" s="13" t="n">
        <f aca="false">INDEX(Bases!$N$5:$N$83,$T359)</f>
        <v>12</v>
      </c>
      <c r="Q359" s="15" t="n">
        <f aca="false">INDEX(Éléments!$C$5:$C$14,$U359)</f>
        <v>90</v>
      </c>
      <c r="R359" s="11" t="str">
        <f aca="false">"Niv. "&amp;$P359&amp;IF($Q359&gt;0," · étage "&amp;$Q359&amp;" terminé","")</f>
        <v>Niv. 12 · étage 90 terminé</v>
      </c>
      <c r="S359" s="14" t="n">
        <f aca="false">IF(ISNUMBER($I359),$K359*IF($H359="Zone",Paramètres!$B$8,1)/MAX(1,$I359),0)</f>
        <v>0.9</v>
      </c>
      <c r="T359" s="16" t="n">
        <v>50</v>
      </c>
      <c r="U359" s="16" t="n">
        <v>9</v>
      </c>
    </row>
    <row r="360" customFormat="false" ht="15" hidden="false" customHeight="true" outlineLevel="0" collapsed="false">
      <c r="A360" s="9" t="s">
        <v>429</v>
      </c>
      <c r="B360" s="10" t="str">
        <f aca="false">INDEX(Bases!$B$5:$B$83,$T360)</f>
        <v>Tireur</v>
      </c>
      <c r="C360" s="10" t="str">
        <f aca="false">INDEX(Bases!$E$5:$E$83,$T360)</f>
        <v>Attaque (arme 1)</v>
      </c>
      <c r="D360" s="10" t="str">
        <f aca="false">INDEX(Bases!$F$5:$F$83,$T360)</f>
        <v>Attaque</v>
      </c>
      <c r="E360" s="11" t="str">
        <f aca="false">INDEX(Bases!$C$5:$C$83,$T360)</f>
        <v>Double tir</v>
      </c>
      <c r="F360" s="10" t="str">
        <f aca="false">INDEX(Éléments!$A$5:$A$14,$U360)</f>
        <v>Ombre</v>
      </c>
      <c r="G360" s="12" t="str">
        <f aca="false">IF(OR($F360="Neutre",$C360="Passif"),$E360,INDEX(Bases!$D$5:$D$83,$T360)&amp;" "&amp;INDEX(Éléments!$D$5:$D$14,$U360))</f>
        <v>Double tir d'ombre</v>
      </c>
      <c r="H360" s="10" t="str">
        <f aca="false">INDEX(Bases!$G$5:$G$83,$T360)</f>
        <v>Mono</v>
      </c>
      <c r="I360" s="13" t="n">
        <f aca="false">INDEX(Bases!$H$5:$H$83,$T360)</f>
        <v>1</v>
      </c>
      <c r="J360" s="10" t="str">
        <f aca="false">INDEX(Bases!$I$5:$I$83,$T360)</f>
        <v>Non</v>
      </c>
      <c r="K360" s="14" t="n">
        <f aca="false">INDEX(Bases!$J$5:$J$83,$T360)</f>
        <v>0.9</v>
      </c>
      <c r="L360" s="10" t="str">
        <f aca="false">INDEX(Bases!$K$5:$K$83,$T360)</f>
        <v>Force</v>
      </c>
      <c r="M360" s="11" t="str">
        <f aca="false">INDEX(Bases!$L$5:$L$83,$T360)</f>
        <v>Deux flèches (2 × 45 %) : deux chances d'appliquer l'effet élémentaire.</v>
      </c>
      <c r="N360" s="11" t="str">
        <f aca="false">IF($C360="Passif","—",IF($C360="Attaque (arme 1)",INDEX(Éléments!$F$5:$F$14,$U360),INDEX(Éléments!$G$5:$G$14,$U360)))</f>
        <v>Vol de vie 5 % ; 30 % : Corruption (+10 % de dégâts subis, 2 tours).</v>
      </c>
      <c r="O360" s="10" t="str">
        <f aca="false">INDEX(Bases!$M$5:$M$83,$T360)</f>
        <v>Active</v>
      </c>
      <c r="P360" s="13" t="n">
        <f aca="false">INDEX(Bases!$N$5:$N$83,$T360)</f>
        <v>12</v>
      </c>
      <c r="Q360" s="15" t="n">
        <f aca="false">INDEX(Éléments!$C$5:$C$14,$U360)</f>
        <v>100</v>
      </c>
      <c r="R360" s="11" t="str">
        <f aca="false">"Niv. "&amp;$P360&amp;IF($Q360&gt;0," · étage "&amp;$Q360&amp;" terminé","")</f>
        <v>Niv. 12 · étage 100 terminé</v>
      </c>
      <c r="S360" s="14" t="n">
        <f aca="false">IF(ISNUMBER($I360),$K360*IF($H360="Zone",Paramètres!$B$8,1)/MAX(1,$I360),0)</f>
        <v>0.9</v>
      </c>
      <c r="T360" s="16" t="n">
        <v>50</v>
      </c>
      <c r="U360" s="16" t="n">
        <v>10</v>
      </c>
    </row>
    <row r="361" customFormat="false" ht="15" hidden="false" customHeight="true" outlineLevel="0" collapsed="false">
      <c r="A361" s="9" t="s">
        <v>430</v>
      </c>
      <c r="B361" s="10" t="str">
        <f aca="false">INDEX(Bases!$B$5:$B$83,$T361)</f>
        <v>Tireur</v>
      </c>
      <c r="C361" s="10" t="str">
        <f aca="false">INDEX(Bases!$E$5:$E$83,$T361)</f>
        <v>Attaque (arme 1)</v>
      </c>
      <c r="D361" s="10" t="str">
        <f aca="false">INDEX(Bases!$F$5:$F$83,$T361)</f>
        <v>Attaque</v>
      </c>
      <c r="E361" s="11" t="str">
        <f aca="false">INDEX(Bases!$C$5:$C$83,$T361)</f>
        <v>Tir perçant</v>
      </c>
      <c r="F361" s="10" t="str">
        <f aca="false">INDEX(Éléments!$A$5:$A$14,$U361)</f>
        <v>Neutre</v>
      </c>
      <c r="G361" s="12" t="str">
        <f aca="false">IF(OR($F361="Neutre",$C361="Passif"),$E361,INDEX(Bases!$D$5:$D$83,$T361)&amp;" "&amp;INDEX(Éléments!$D$5:$D$14,$U361))</f>
        <v>Tir perçant</v>
      </c>
      <c r="H361" s="10" t="str">
        <f aca="false">INDEX(Bases!$G$5:$G$83,$T361)</f>
        <v>Mono</v>
      </c>
      <c r="I361" s="13" t="n">
        <f aca="false">INDEX(Bases!$H$5:$H$83,$T361)</f>
        <v>2</v>
      </c>
      <c r="J361" s="10" t="str">
        <f aca="false">INDEX(Bases!$I$5:$I$83,$T361)</f>
        <v>Non</v>
      </c>
      <c r="K361" s="14" t="n">
        <f aca="false">INDEX(Bases!$J$5:$J$83,$T361)</f>
        <v>1.5</v>
      </c>
      <c r="L361" s="10" t="str">
        <f aca="false">INDEX(Bases!$K$5:$K$83,$T361)</f>
        <v>Force</v>
      </c>
      <c r="M361" s="11" t="str">
        <f aca="false">INDEX(Bases!$L$5:$L$83,$T361)</f>
        <v>Ignore 30 % de l'Armure ; traverse et touche un 2e ennemi à 50 %.</v>
      </c>
      <c r="N361" s="11" t="str">
        <f aca="false">IF($C361="Passif","—",IF($C361="Attaque (arme 1)",INDEX(Éléments!$F$5:$F$14,$U361),INDEX(Éléments!$G$5:$G$14,$U361)))</f>
        <v>Aucune altération ; ignore 10 % de la Résistance de la cible. Fiable contre tous les biomes.</v>
      </c>
      <c r="O361" s="10" t="str">
        <f aca="false">INDEX(Bases!$M$5:$M$83,$T361)</f>
        <v>Active</v>
      </c>
      <c r="P361" s="13" t="n">
        <f aca="false">INDEX(Bases!$N$5:$N$83,$T361)</f>
        <v>18</v>
      </c>
      <c r="Q361" s="15" t="n">
        <f aca="false">INDEX(Éléments!$C$5:$C$14,$U361)</f>
        <v>0</v>
      </c>
      <c r="R361" s="11" t="str">
        <f aca="false">"Niv. "&amp;$P361&amp;IF($Q361&gt;0," · étage "&amp;$Q361&amp;" terminé","")</f>
        <v>Niv. 18</v>
      </c>
      <c r="S361" s="14" t="n">
        <f aca="false">IF(ISNUMBER($I361),$K361*IF($H361="Zone",Paramètres!$B$8,1)/MAX(1,$I361),0)</f>
        <v>0.75</v>
      </c>
      <c r="T361" s="16" t="n">
        <v>51</v>
      </c>
      <c r="U361" s="16" t="n">
        <v>1</v>
      </c>
    </row>
    <row r="362" customFormat="false" ht="15" hidden="false" customHeight="true" outlineLevel="0" collapsed="false">
      <c r="A362" s="9" t="s">
        <v>431</v>
      </c>
      <c r="B362" s="10" t="str">
        <f aca="false">INDEX(Bases!$B$5:$B$83,$T362)</f>
        <v>Tireur</v>
      </c>
      <c r="C362" s="10" t="str">
        <f aca="false">INDEX(Bases!$E$5:$E$83,$T362)</f>
        <v>Attaque (arme 1)</v>
      </c>
      <c r="D362" s="10" t="str">
        <f aca="false">INDEX(Bases!$F$5:$F$83,$T362)</f>
        <v>Attaque</v>
      </c>
      <c r="E362" s="11" t="str">
        <f aca="false">INDEX(Bases!$C$5:$C$83,$T362)</f>
        <v>Tir perçant</v>
      </c>
      <c r="F362" s="10" t="str">
        <f aca="false">INDEX(Éléments!$A$5:$A$14,$U362)</f>
        <v>Terre</v>
      </c>
      <c r="G362" s="12" t="str">
        <f aca="false">IF(OR($F362="Neutre",$C362="Passif"),$E362,INDEX(Bases!$D$5:$D$83,$T362)&amp;" "&amp;INDEX(Éléments!$D$5:$D$14,$U362))</f>
        <v>Tir perçant de pierre</v>
      </c>
      <c r="H362" s="10" t="str">
        <f aca="false">INDEX(Bases!$G$5:$G$83,$T362)</f>
        <v>Mono</v>
      </c>
      <c r="I362" s="13" t="n">
        <f aca="false">INDEX(Bases!$H$5:$H$83,$T362)</f>
        <v>2</v>
      </c>
      <c r="J362" s="10" t="str">
        <f aca="false">INDEX(Bases!$I$5:$I$83,$T362)</f>
        <v>Non</v>
      </c>
      <c r="K362" s="14" t="n">
        <f aca="false">INDEX(Bases!$J$5:$J$83,$T362)</f>
        <v>1.5</v>
      </c>
      <c r="L362" s="10" t="str">
        <f aca="false">INDEX(Bases!$K$5:$K$83,$T362)</f>
        <v>Force</v>
      </c>
      <c r="M362" s="11" t="str">
        <f aca="false">INDEX(Bases!$L$5:$L$83,$T362)</f>
        <v>Ignore 30 % de l'Armure ; traverse et touche un 2e ennemi à 50 %.</v>
      </c>
      <c r="N362" s="11" t="str">
        <f aca="false">IF($C362="Passif","—",IF($C362="Attaque (arme 1)",INDEX(Éléments!$F$5:$F$14,$U362),INDEX(Éléments!$G$5:$G$14,$U362)))</f>
        <v>30 % : Garde brisée (−15 % Résistance, 2 tours).</v>
      </c>
      <c r="O362" s="10" t="str">
        <f aca="false">INDEX(Bases!$M$5:$M$83,$T362)</f>
        <v>Active</v>
      </c>
      <c r="P362" s="13" t="n">
        <f aca="false">INDEX(Bases!$N$5:$N$83,$T362)</f>
        <v>18</v>
      </c>
      <c r="Q362" s="15" t="n">
        <f aca="false">INDEX(Éléments!$C$5:$C$14,$U362)</f>
        <v>20</v>
      </c>
      <c r="R362" s="11" t="str">
        <f aca="false">"Niv. "&amp;$P362&amp;IF($Q362&gt;0," · étage "&amp;$Q362&amp;" terminé","")</f>
        <v>Niv. 18 · étage 20 terminé</v>
      </c>
      <c r="S362" s="14" t="n">
        <f aca="false">IF(ISNUMBER($I362),$K362*IF($H362="Zone",Paramètres!$B$8,1)/MAX(1,$I362),0)</f>
        <v>0.75</v>
      </c>
      <c r="T362" s="16" t="n">
        <v>51</v>
      </c>
      <c r="U362" s="16" t="n">
        <v>2</v>
      </c>
    </row>
    <row r="363" customFormat="false" ht="15" hidden="false" customHeight="true" outlineLevel="0" collapsed="false">
      <c r="A363" s="9" t="s">
        <v>432</v>
      </c>
      <c r="B363" s="10" t="str">
        <f aca="false">INDEX(Bases!$B$5:$B$83,$T363)</f>
        <v>Tireur</v>
      </c>
      <c r="C363" s="10" t="str">
        <f aca="false">INDEX(Bases!$E$5:$E$83,$T363)</f>
        <v>Attaque (arme 1)</v>
      </c>
      <c r="D363" s="10" t="str">
        <f aca="false">INDEX(Bases!$F$5:$F$83,$T363)</f>
        <v>Attaque</v>
      </c>
      <c r="E363" s="11" t="str">
        <f aca="false">INDEX(Bases!$C$5:$C$83,$T363)</f>
        <v>Tir perçant</v>
      </c>
      <c r="F363" s="10" t="str">
        <f aca="false">INDEX(Éléments!$A$5:$A$14,$U363)</f>
        <v>Feu</v>
      </c>
      <c r="G363" s="12" t="str">
        <f aca="false">IF(OR($F363="Neutre",$C363="Passif"),$E363,INDEX(Bases!$D$5:$D$83,$T363)&amp;" "&amp;INDEX(Éléments!$D$5:$D$14,$U363))</f>
        <v>Tir perçant de feu</v>
      </c>
      <c r="H363" s="10" t="str">
        <f aca="false">INDEX(Bases!$G$5:$G$83,$T363)</f>
        <v>Mono</v>
      </c>
      <c r="I363" s="13" t="n">
        <f aca="false">INDEX(Bases!$H$5:$H$83,$T363)</f>
        <v>2</v>
      </c>
      <c r="J363" s="10" t="str">
        <f aca="false">INDEX(Bases!$I$5:$I$83,$T363)</f>
        <v>Non</v>
      </c>
      <c r="K363" s="14" t="n">
        <f aca="false">INDEX(Bases!$J$5:$J$83,$T363)</f>
        <v>1.5</v>
      </c>
      <c r="L363" s="10" t="str">
        <f aca="false">INDEX(Bases!$K$5:$K$83,$T363)</f>
        <v>Force</v>
      </c>
      <c r="M363" s="11" t="str">
        <f aca="false">INDEX(Bases!$L$5:$L$83,$T363)</f>
        <v>Ignore 30 % de l'Armure ; traverse et touche un 2e ennemi à 50 %.</v>
      </c>
      <c r="N363" s="11" t="str">
        <f aca="false">IF($C363="Passif","—",IF($C363="Attaque (arme 1)",INDEX(Éléments!$F$5:$F$14,$U363),INDEX(Éléments!$G$5:$G$14,$U363)))</f>
        <v>35 % : Brûlure (8 % de la stat d'attaque par tour, 3 tours, non cumulable).</v>
      </c>
      <c r="O363" s="10" t="str">
        <f aca="false">INDEX(Bases!$M$5:$M$83,$T363)</f>
        <v>Active</v>
      </c>
      <c r="P363" s="13" t="n">
        <f aca="false">INDEX(Bases!$N$5:$N$83,$T363)</f>
        <v>18</v>
      </c>
      <c r="Q363" s="15" t="n">
        <f aca="false">INDEX(Éléments!$C$5:$C$14,$U363)</f>
        <v>30</v>
      </c>
      <c r="R363" s="11" t="str">
        <f aca="false">"Niv. "&amp;$P363&amp;IF($Q363&gt;0," · étage "&amp;$Q363&amp;" terminé","")</f>
        <v>Niv. 18 · étage 30 terminé</v>
      </c>
      <c r="S363" s="14" t="n">
        <f aca="false">IF(ISNUMBER($I363),$K363*IF($H363="Zone",Paramètres!$B$8,1)/MAX(1,$I363),0)</f>
        <v>0.75</v>
      </c>
      <c r="T363" s="16" t="n">
        <v>51</v>
      </c>
      <c r="U363" s="16" t="n">
        <v>3</v>
      </c>
    </row>
    <row r="364" customFormat="false" ht="15" hidden="false" customHeight="true" outlineLevel="0" collapsed="false">
      <c r="A364" s="9" t="s">
        <v>433</v>
      </c>
      <c r="B364" s="10" t="str">
        <f aca="false">INDEX(Bases!$B$5:$B$83,$T364)</f>
        <v>Tireur</v>
      </c>
      <c r="C364" s="10" t="str">
        <f aca="false">INDEX(Bases!$E$5:$E$83,$T364)</f>
        <v>Attaque (arme 1)</v>
      </c>
      <c r="D364" s="10" t="str">
        <f aca="false">INDEX(Bases!$F$5:$F$83,$T364)</f>
        <v>Attaque</v>
      </c>
      <c r="E364" s="11" t="str">
        <f aca="false">INDEX(Bases!$C$5:$C$83,$T364)</f>
        <v>Tir perçant</v>
      </c>
      <c r="F364" s="10" t="str">
        <f aca="false">INDEX(Éléments!$A$5:$A$14,$U364)</f>
        <v>Vent</v>
      </c>
      <c r="G364" s="12" t="str">
        <f aca="false">IF(OR($F364="Neutre",$C364="Passif"),$E364,INDEX(Bases!$D$5:$D$83,$T364)&amp;" "&amp;INDEX(Éléments!$D$5:$D$14,$U364))</f>
        <v>Tir perçant de vent</v>
      </c>
      <c r="H364" s="10" t="str">
        <f aca="false">INDEX(Bases!$G$5:$G$83,$T364)</f>
        <v>Mono</v>
      </c>
      <c r="I364" s="13" t="n">
        <f aca="false">INDEX(Bases!$H$5:$H$83,$T364)</f>
        <v>2</v>
      </c>
      <c r="J364" s="10" t="str">
        <f aca="false">INDEX(Bases!$I$5:$I$83,$T364)</f>
        <v>Non</v>
      </c>
      <c r="K364" s="14" t="n">
        <f aca="false">INDEX(Bases!$J$5:$J$83,$T364)</f>
        <v>1.5</v>
      </c>
      <c r="L364" s="10" t="str">
        <f aca="false">INDEX(Bases!$K$5:$K$83,$T364)</f>
        <v>Force</v>
      </c>
      <c r="M364" s="11" t="str">
        <f aca="false">INDEX(Bases!$L$5:$L$83,$T364)</f>
        <v>Ignore 30 % de l'Armure ; traverse et touche un 2e ennemi à 50 %.</v>
      </c>
      <c r="N364" s="11" t="str">
        <f aca="false">IF($C364="Passif","—",IF($C364="Attaque (arme 1)",INDEX(Éléments!$F$5:$F$14,$U364),INDEX(Éléments!$G$5:$G$14,$U364)))</f>
        <v>+10 % de chance de critique ; 30 % : Désorienté (−15 % Précision, 2 tours).</v>
      </c>
      <c r="O364" s="10" t="str">
        <f aca="false">INDEX(Bases!$M$5:$M$83,$T364)</f>
        <v>Active</v>
      </c>
      <c r="P364" s="13" t="n">
        <f aca="false">INDEX(Bases!$N$5:$N$83,$T364)</f>
        <v>18</v>
      </c>
      <c r="Q364" s="15" t="n">
        <f aca="false">INDEX(Éléments!$C$5:$C$14,$U364)</f>
        <v>40</v>
      </c>
      <c r="R364" s="11" t="str">
        <f aca="false">"Niv. "&amp;$P364&amp;IF($Q364&gt;0," · étage "&amp;$Q364&amp;" terminé","")</f>
        <v>Niv. 18 · étage 40 terminé</v>
      </c>
      <c r="S364" s="14" t="n">
        <f aca="false">IF(ISNUMBER($I364),$K364*IF($H364="Zone",Paramètres!$B$8,1)/MAX(1,$I364),0)</f>
        <v>0.75</v>
      </c>
      <c r="T364" s="16" t="n">
        <v>51</v>
      </c>
      <c r="U364" s="16" t="n">
        <v>4</v>
      </c>
    </row>
    <row r="365" customFormat="false" ht="15" hidden="false" customHeight="true" outlineLevel="0" collapsed="false">
      <c r="A365" s="9" t="s">
        <v>434</v>
      </c>
      <c r="B365" s="10" t="str">
        <f aca="false">INDEX(Bases!$B$5:$B$83,$T365)</f>
        <v>Tireur</v>
      </c>
      <c r="C365" s="10" t="str">
        <f aca="false">INDEX(Bases!$E$5:$E$83,$T365)</f>
        <v>Attaque (arme 1)</v>
      </c>
      <c r="D365" s="10" t="str">
        <f aca="false">INDEX(Bases!$F$5:$F$83,$T365)</f>
        <v>Attaque</v>
      </c>
      <c r="E365" s="11" t="str">
        <f aca="false">INDEX(Bases!$C$5:$C$83,$T365)</f>
        <v>Tir perçant</v>
      </c>
      <c r="F365" s="10" t="str">
        <f aca="false">INDEX(Éléments!$A$5:$A$14,$U365)</f>
        <v>Acide</v>
      </c>
      <c r="G365" s="12" t="str">
        <f aca="false">IF(OR($F365="Neutre",$C365="Passif"),$E365,INDEX(Bases!$D$5:$D$83,$T365)&amp;" "&amp;INDEX(Éléments!$D$5:$D$14,$U365))</f>
        <v>Tir perçant d'acide</v>
      </c>
      <c r="H365" s="10" t="str">
        <f aca="false">INDEX(Bases!$G$5:$G$83,$T365)</f>
        <v>Mono</v>
      </c>
      <c r="I365" s="13" t="n">
        <f aca="false">INDEX(Bases!$H$5:$H$83,$T365)</f>
        <v>2</v>
      </c>
      <c r="J365" s="10" t="str">
        <f aca="false">INDEX(Bases!$I$5:$I$83,$T365)</f>
        <v>Non</v>
      </c>
      <c r="K365" s="14" t="n">
        <f aca="false">INDEX(Bases!$J$5:$J$83,$T365)</f>
        <v>1.5</v>
      </c>
      <c r="L365" s="10" t="str">
        <f aca="false">INDEX(Bases!$K$5:$K$83,$T365)</f>
        <v>Force</v>
      </c>
      <c r="M365" s="11" t="str">
        <f aca="false">INDEX(Bases!$L$5:$L$83,$T365)</f>
        <v>Ignore 30 % de l'Armure ; traverse et touche un 2e ennemi à 50 %.</v>
      </c>
      <c r="N365" s="11" t="str">
        <f aca="false">IF($C365="Passif","—",IF($C365="Attaque (arme 1)",INDEX(Éléments!$F$5:$F$14,$U365),INDEX(Éléments!$G$5:$G$14,$U365)))</f>
        <v>50 % : 1 pile de Corrosion (−5 % Armure par pile, 4 piles max, 3 tours).</v>
      </c>
      <c r="O365" s="10" t="str">
        <f aca="false">INDEX(Bases!$M$5:$M$83,$T365)</f>
        <v>Active</v>
      </c>
      <c r="P365" s="13" t="n">
        <f aca="false">INDEX(Bases!$N$5:$N$83,$T365)</f>
        <v>18</v>
      </c>
      <c r="Q365" s="15" t="n">
        <f aca="false">INDEX(Éléments!$C$5:$C$14,$U365)</f>
        <v>50</v>
      </c>
      <c r="R365" s="11" t="str">
        <f aca="false">"Niv. "&amp;$P365&amp;IF($Q365&gt;0," · étage "&amp;$Q365&amp;" terminé","")</f>
        <v>Niv. 18 · étage 50 terminé</v>
      </c>
      <c r="S365" s="14" t="n">
        <f aca="false">IF(ISNUMBER($I365),$K365*IF($H365="Zone",Paramètres!$B$8,1)/MAX(1,$I365),0)</f>
        <v>0.75</v>
      </c>
      <c r="T365" s="16" t="n">
        <v>51</v>
      </c>
      <c r="U365" s="16" t="n">
        <v>5</v>
      </c>
    </row>
    <row r="366" customFormat="false" ht="15" hidden="false" customHeight="true" outlineLevel="0" collapsed="false">
      <c r="A366" s="9" t="s">
        <v>435</v>
      </c>
      <c r="B366" s="10" t="str">
        <f aca="false">INDEX(Bases!$B$5:$B$83,$T366)</f>
        <v>Tireur</v>
      </c>
      <c r="C366" s="10" t="str">
        <f aca="false">INDEX(Bases!$E$5:$E$83,$T366)</f>
        <v>Attaque (arme 1)</v>
      </c>
      <c r="D366" s="10" t="str">
        <f aca="false">INDEX(Bases!$F$5:$F$83,$T366)</f>
        <v>Attaque</v>
      </c>
      <c r="E366" s="11" t="str">
        <f aca="false">INDEX(Bases!$C$5:$C$83,$T366)</f>
        <v>Tir perçant</v>
      </c>
      <c r="F366" s="10" t="str">
        <f aca="false">INDEX(Éléments!$A$5:$A$14,$U366)</f>
        <v>Eau</v>
      </c>
      <c r="G366" s="12" t="str">
        <f aca="false">IF(OR($F366="Neutre",$C366="Passif"),$E366,INDEX(Bases!$D$5:$D$83,$T366)&amp;" "&amp;INDEX(Éléments!$D$5:$D$14,$U366))</f>
        <v>Tir perçant d'eau</v>
      </c>
      <c r="H366" s="10" t="str">
        <f aca="false">INDEX(Bases!$G$5:$G$83,$T366)</f>
        <v>Mono</v>
      </c>
      <c r="I366" s="13" t="n">
        <f aca="false">INDEX(Bases!$H$5:$H$83,$T366)</f>
        <v>2</v>
      </c>
      <c r="J366" s="10" t="str">
        <f aca="false">INDEX(Bases!$I$5:$I$83,$T366)</f>
        <v>Non</v>
      </c>
      <c r="K366" s="14" t="n">
        <f aca="false">INDEX(Bases!$J$5:$J$83,$T366)</f>
        <v>1.5</v>
      </c>
      <c r="L366" s="10" t="str">
        <f aca="false">INDEX(Bases!$K$5:$K$83,$T366)</f>
        <v>Force</v>
      </c>
      <c r="M366" s="11" t="str">
        <f aca="false">INDEX(Bases!$L$5:$L$83,$T366)</f>
        <v>Ignore 30 % de l'Armure ; traverse et touche un 2e ennemi à 50 %.</v>
      </c>
      <c r="N366" s="11" t="str">
        <f aca="false">IF($C366="Passif","—",IF($C366="Attaque (arme 1)",INDEX(Éléments!$F$5:$F$14,$U366),INDEX(Éléments!$G$5:$G$14,$U366)))</f>
        <v>50 % : Mouillé (+25 % de dégâts d'Électricité subis, retire Brûlure, 3 tours).</v>
      </c>
      <c r="O366" s="10" t="str">
        <f aca="false">INDEX(Bases!$M$5:$M$83,$T366)</f>
        <v>Active</v>
      </c>
      <c r="P366" s="13" t="n">
        <f aca="false">INDEX(Bases!$N$5:$N$83,$T366)</f>
        <v>18</v>
      </c>
      <c r="Q366" s="15" t="n">
        <f aca="false">INDEX(Éléments!$C$5:$C$14,$U366)</f>
        <v>60</v>
      </c>
      <c r="R366" s="11" t="str">
        <f aca="false">"Niv. "&amp;$P366&amp;IF($Q366&gt;0," · étage "&amp;$Q366&amp;" terminé","")</f>
        <v>Niv. 18 · étage 60 terminé</v>
      </c>
      <c r="S366" s="14" t="n">
        <f aca="false">IF(ISNUMBER($I366),$K366*IF($H366="Zone",Paramètres!$B$8,1)/MAX(1,$I366),0)</f>
        <v>0.75</v>
      </c>
      <c r="T366" s="16" t="n">
        <v>51</v>
      </c>
      <c r="U366" s="16" t="n">
        <v>6</v>
      </c>
    </row>
    <row r="367" customFormat="false" ht="15" hidden="false" customHeight="true" outlineLevel="0" collapsed="false">
      <c r="A367" s="9" t="s">
        <v>436</v>
      </c>
      <c r="B367" s="10" t="str">
        <f aca="false">INDEX(Bases!$B$5:$B$83,$T367)</f>
        <v>Tireur</v>
      </c>
      <c r="C367" s="10" t="str">
        <f aca="false">INDEX(Bases!$E$5:$E$83,$T367)</f>
        <v>Attaque (arme 1)</v>
      </c>
      <c r="D367" s="10" t="str">
        <f aca="false">INDEX(Bases!$F$5:$F$83,$T367)</f>
        <v>Attaque</v>
      </c>
      <c r="E367" s="11" t="str">
        <f aca="false">INDEX(Bases!$C$5:$C$83,$T367)</f>
        <v>Tir perçant</v>
      </c>
      <c r="F367" s="10" t="str">
        <f aca="false">INDEX(Éléments!$A$5:$A$14,$U367)</f>
        <v>Glace</v>
      </c>
      <c r="G367" s="12" t="str">
        <f aca="false">IF(OR($F367="Neutre",$C367="Passif"),$E367,INDEX(Bases!$D$5:$D$83,$T367)&amp;" "&amp;INDEX(Éléments!$D$5:$D$14,$U367))</f>
        <v>Tir perçant de glace</v>
      </c>
      <c r="H367" s="10" t="str">
        <f aca="false">INDEX(Bases!$G$5:$G$83,$T367)</f>
        <v>Mono</v>
      </c>
      <c r="I367" s="13" t="n">
        <f aca="false">INDEX(Bases!$H$5:$H$83,$T367)</f>
        <v>2</v>
      </c>
      <c r="J367" s="10" t="str">
        <f aca="false">INDEX(Bases!$I$5:$I$83,$T367)</f>
        <v>Non</v>
      </c>
      <c r="K367" s="14" t="n">
        <f aca="false">INDEX(Bases!$J$5:$J$83,$T367)</f>
        <v>1.5</v>
      </c>
      <c r="L367" s="10" t="str">
        <f aca="false">INDEX(Bases!$K$5:$K$83,$T367)</f>
        <v>Force</v>
      </c>
      <c r="M367" s="11" t="str">
        <f aca="false">INDEX(Bases!$L$5:$L$83,$T367)</f>
        <v>Ignore 30 % de l'Armure ; traverse et touche un 2e ennemi à 50 %.</v>
      </c>
      <c r="N367" s="11" t="str">
        <f aca="false">IF($C367="Passif","—",IF($C367="Attaque (arme 1)",INDEX(Éléments!$F$5:$F$14,$U367),INDEX(Éléments!$G$5:$G$14,$U367)))</f>
        <v>40 % : 1 pile de Froid (−8 % Agilité ; à 3 piles : Gel, la cible perd 1 tour).</v>
      </c>
      <c r="O367" s="10" t="str">
        <f aca="false">INDEX(Bases!$M$5:$M$83,$T367)</f>
        <v>Active</v>
      </c>
      <c r="P367" s="13" t="n">
        <f aca="false">INDEX(Bases!$N$5:$N$83,$T367)</f>
        <v>18</v>
      </c>
      <c r="Q367" s="15" t="n">
        <f aca="false">INDEX(Éléments!$C$5:$C$14,$U367)</f>
        <v>70</v>
      </c>
      <c r="R367" s="11" t="str">
        <f aca="false">"Niv. "&amp;$P367&amp;IF($Q367&gt;0," · étage "&amp;$Q367&amp;" terminé","")</f>
        <v>Niv. 18 · étage 70 terminé</v>
      </c>
      <c r="S367" s="14" t="n">
        <f aca="false">IF(ISNUMBER($I367),$K367*IF($H367="Zone",Paramètres!$B$8,1)/MAX(1,$I367),0)</f>
        <v>0.75</v>
      </c>
      <c r="T367" s="16" t="n">
        <v>51</v>
      </c>
      <c r="U367" s="16" t="n">
        <v>7</v>
      </c>
    </row>
    <row r="368" customFormat="false" ht="15" hidden="false" customHeight="true" outlineLevel="0" collapsed="false">
      <c r="A368" s="9" t="s">
        <v>437</v>
      </c>
      <c r="B368" s="10" t="str">
        <f aca="false">INDEX(Bases!$B$5:$B$83,$T368)</f>
        <v>Tireur</v>
      </c>
      <c r="C368" s="10" t="str">
        <f aca="false">INDEX(Bases!$E$5:$E$83,$T368)</f>
        <v>Attaque (arme 1)</v>
      </c>
      <c r="D368" s="10" t="str">
        <f aca="false">INDEX(Bases!$F$5:$F$83,$T368)</f>
        <v>Attaque</v>
      </c>
      <c r="E368" s="11" t="str">
        <f aca="false">INDEX(Bases!$C$5:$C$83,$T368)</f>
        <v>Tir perçant</v>
      </c>
      <c r="F368" s="10" t="str">
        <f aca="false">INDEX(Éléments!$A$5:$A$14,$U368)</f>
        <v>Électricité</v>
      </c>
      <c r="G368" s="12" t="str">
        <f aca="false">IF(OR($F368="Neutre",$C368="Passif"),$E368,INDEX(Bases!$D$5:$D$83,$T368)&amp;" "&amp;INDEX(Éléments!$D$5:$D$14,$U368))</f>
        <v>Tir perçant de foudre</v>
      </c>
      <c r="H368" s="10" t="str">
        <f aca="false">INDEX(Bases!$G$5:$G$83,$T368)</f>
        <v>Mono</v>
      </c>
      <c r="I368" s="13" t="n">
        <f aca="false">INDEX(Bases!$H$5:$H$83,$T368)</f>
        <v>2</v>
      </c>
      <c r="J368" s="10" t="str">
        <f aca="false">INDEX(Bases!$I$5:$I$83,$T368)</f>
        <v>Non</v>
      </c>
      <c r="K368" s="14" t="n">
        <f aca="false">INDEX(Bases!$J$5:$J$83,$T368)</f>
        <v>1.5</v>
      </c>
      <c r="L368" s="10" t="str">
        <f aca="false">INDEX(Bases!$K$5:$K$83,$T368)</f>
        <v>Force</v>
      </c>
      <c r="M368" s="11" t="str">
        <f aca="false">INDEX(Bases!$L$5:$L$83,$T368)</f>
        <v>Ignore 30 % de l'Armure ; traverse et touche un 2e ennemi à 50 %.</v>
      </c>
      <c r="N368" s="11" t="str">
        <f aca="false">IF($C368="Passif","—",IF($C368="Attaque (arme 1)",INDEX(Éléments!$F$5:$F$14,$U368),INDEX(Éléments!$G$5:$G$14,$U368)))</f>
        <v>Rebondit sur 1 autre ennemi (40 % des dégâts) ; 10 % : Étourdissement (1 tour).</v>
      </c>
      <c r="O368" s="10" t="str">
        <f aca="false">INDEX(Bases!$M$5:$M$83,$T368)</f>
        <v>Active</v>
      </c>
      <c r="P368" s="13" t="n">
        <f aca="false">INDEX(Bases!$N$5:$N$83,$T368)</f>
        <v>18</v>
      </c>
      <c r="Q368" s="15" t="n">
        <f aca="false">INDEX(Éléments!$C$5:$C$14,$U368)</f>
        <v>80</v>
      </c>
      <c r="R368" s="11" t="str">
        <f aca="false">"Niv. "&amp;$P368&amp;IF($Q368&gt;0," · étage "&amp;$Q368&amp;" terminé","")</f>
        <v>Niv. 18 · étage 80 terminé</v>
      </c>
      <c r="S368" s="14" t="n">
        <f aca="false">IF(ISNUMBER($I368),$K368*IF($H368="Zone",Paramètres!$B$8,1)/MAX(1,$I368),0)</f>
        <v>0.75</v>
      </c>
      <c r="T368" s="16" t="n">
        <v>51</v>
      </c>
      <c r="U368" s="16" t="n">
        <v>8</v>
      </c>
    </row>
    <row r="369" customFormat="false" ht="15" hidden="false" customHeight="true" outlineLevel="0" collapsed="false">
      <c r="A369" s="9" t="s">
        <v>438</v>
      </c>
      <c r="B369" s="10" t="str">
        <f aca="false">INDEX(Bases!$B$5:$B$83,$T369)</f>
        <v>Tireur</v>
      </c>
      <c r="C369" s="10" t="str">
        <f aca="false">INDEX(Bases!$E$5:$E$83,$T369)</f>
        <v>Attaque (arme 1)</v>
      </c>
      <c r="D369" s="10" t="str">
        <f aca="false">INDEX(Bases!$F$5:$F$83,$T369)</f>
        <v>Attaque</v>
      </c>
      <c r="E369" s="11" t="str">
        <f aca="false">INDEX(Bases!$C$5:$C$83,$T369)</f>
        <v>Tir perçant</v>
      </c>
      <c r="F369" s="10" t="str">
        <f aca="false">INDEX(Éléments!$A$5:$A$14,$U369)</f>
        <v>Lumière</v>
      </c>
      <c r="G369" s="12" t="str">
        <f aca="false">IF(OR($F369="Neutre",$C369="Passif"),$E369,INDEX(Bases!$D$5:$D$83,$T369)&amp;" "&amp;INDEX(Éléments!$D$5:$D$14,$U369))</f>
        <v>Tir perçant de lumière</v>
      </c>
      <c r="H369" s="10" t="str">
        <f aca="false">INDEX(Bases!$G$5:$G$83,$T369)</f>
        <v>Mono</v>
      </c>
      <c r="I369" s="13" t="n">
        <f aca="false">INDEX(Bases!$H$5:$H$83,$T369)</f>
        <v>2</v>
      </c>
      <c r="J369" s="10" t="str">
        <f aca="false">INDEX(Bases!$I$5:$I$83,$T369)</f>
        <v>Non</v>
      </c>
      <c r="K369" s="14" t="n">
        <f aca="false">INDEX(Bases!$J$5:$J$83,$T369)</f>
        <v>1.5</v>
      </c>
      <c r="L369" s="10" t="str">
        <f aca="false">INDEX(Bases!$K$5:$K$83,$T369)</f>
        <v>Force</v>
      </c>
      <c r="M369" s="11" t="str">
        <f aca="false">INDEX(Bases!$L$5:$L$83,$T369)</f>
        <v>Ignore 30 % de l'Armure ; traverse et touche un 2e ennemi à 50 %.</v>
      </c>
      <c r="N369" s="11" t="str">
        <f aca="false">IF($C369="Passif","—",IF($C369="Attaque (arme 1)",INDEX(Éléments!$F$5:$F$14,$U369),INDEX(Éléments!$G$5:$G$14,$U369)))</f>
        <v>Soigne le lanceur de 5 % des dégâts infligés ; 25 % : Éblouissement (−20 % chance de critique, 2 tours).</v>
      </c>
      <c r="O369" s="10" t="str">
        <f aca="false">INDEX(Bases!$M$5:$M$83,$T369)</f>
        <v>Active</v>
      </c>
      <c r="P369" s="13" t="n">
        <f aca="false">INDEX(Bases!$N$5:$N$83,$T369)</f>
        <v>18</v>
      </c>
      <c r="Q369" s="15" t="n">
        <f aca="false">INDEX(Éléments!$C$5:$C$14,$U369)</f>
        <v>90</v>
      </c>
      <c r="R369" s="11" t="str">
        <f aca="false">"Niv. "&amp;$P369&amp;IF($Q369&gt;0," · étage "&amp;$Q369&amp;" terminé","")</f>
        <v>Niv. 18 · étage 90 terminé</v>
      </c>
      <c r="S369" s="14" t="n">
        <f aca="false">IF(ISNUMBER($I369),$K369*IF($H369="Zone",Paramètres!$B$8,1)/MAX(1,$I369),0)</f>
        <v>0.75</v>
      </c>
      <c r="T369" s="16" t="n">
        <v>51</v>
      </c>
      <c r="U369" s="16" t="n">
        <v>9</v>
      </c>
    </row>
    <row r="370" customFormat="false" ht="15" hidden="false" customHeight="true" outlineLevel="0" collapsed="false">
      <c r="A370" s="9" t="s">
        <v>439</v>
      </c>
      <c r="B370" s="10" t="str">
        <f aca="false">INDEX(Bases!$B$5:$B$83,$T370)</f>
        <v>Tireur</v>
      </c>
      <c r="C370" s="10" t="str">
        <f aca="false">INDEX(Bases!$E$5:$E$83,$T370)</f>
        <v>Attaque (arme 1)</v>
      </c>
      <c r="D370" s="10" t="str">
        <f aca="false">INDEX(Bases!$F$5:$F$83,$T370)</f>
        <v>Attaque</v>
      </c>
      <c r="E370" s="11" t="str">
        <f aca="false">INDEX(Bases!$C$5:$C$83,$T370)</f>
        <v>Tir perçant</v>
      </c>
      <c r="F370" s="10" t="str">
        <f aca="false">INDEX(Éléments!$A$5:$A$14,$U370)</f>
        <v>Ombre</v>
      </c>
      <c r="G370" s="12" t="str">
        <f aca="false">IF(OR($F370="Neutre",$C370="Passif"),$E370,INDEX(Bases!$D$5:$D$83,$T370)&amp;" "&amp;INDEX(Éléments!$D$5:$D$14,$U370))</f>
        <v>Tir perçant d'ombre</v>
      </c>
      <c r="H370" s="10" t="str">
        <f aca="false">INDEX(Bases!$G$5:$G$83,$T370)</f>
        <v>Mono</v>
      </c>
      <c r="I370" s="13" t="n">
        <f aca="false">INDEX(Bases!$H$5:$H$83,$T370)</f>
        <v>2</v>
      </c>
      <c r="J370" s="10" t="str">
        <f aca="false">INDEX(Bases!$I$5:$I$83,$T370)</f>
        <v>Non</v>
      </c>
      <c r="K370" s="14" t="n">
        <f aca="false">INDEX(Bases!$J$5:$J$83,$T370)</f>
        <v>1.5</v>
      </c>
      <c r="L370" s="10" t="str">
        <f aca="false">INDEX(Bases!$K$5:$K$83,$T370)</f>
        <v>Force</v>
      </c>
      <c r="M370" s="11" t="str">
        <f aca="false">INDEX(Bases!$L$5:$L$83,$T370)</f>
        <v>Ignore 30 % de l'Armure ; traverse et touche un 2e ennemi à 50 %.</v>
      </c>
      <c r="N370" s="11" t="str">
        <f aca="false">IF($C370="Passif","—",IF($C370="Attaque (arme 1)",INDEX(Éléments!$F$5:$F$14,$U370),INDEX(Éléments!$G$5:$G$14,$U370)))</f>
        <v>Vol de vie 5 % ; 30 % : Corruption (+10 % de dégâts subis, 2 tours).</v>
      </c>
      <c r="O370" s="10" t="str">
        <f aca="false">INDEX(Bases!$M$5:$M$83,$T370)</f>
        <v>Active</v>
      </c>
      <c r="P370" s="13" t="n">
        <f aca="false">INDEX(Bases!$N$5:$N$83,$T370)</f>
        <v>18</v>
      </c>
      <c r="Q370" s="15" t="n">
        <f aca="false">INDEX(Éléments!$C$5:$C$14,$U370)</f>
        <v>100</v>
      </c>
      <c r="R370" s="11" t="str">
        <f aca="false">"Niv. "&amp;$P370&amp;IF($Q370&gt;0," · étage "&amp;$Q370&amp;" terminé","")</f>
        <v>Niv. 18 · étage 100 terminé</v>
      </c>
      <c r="S370" s="14" t="n">
        <f aca="false">IF(ISNUMBER($I370),$K370*IF($H370="Zone",Paramètres!$B$8,1)/MAX(1,$I370),0)</f>
        <v>0.75</v>
      </c>
      <c r="T370" s="16" t="n">
        <v>51</v>
      </c>
      <c r="U370" s="16" t="n">
        <v>10</v>
      </c>
    </row>
    <row r="371" customFormat="false" ht="15" hidden="false" customHeight="true" outlineLevel="0" collapsed="false">
      <c r="A371" s="9" t="s">
        <v>440</v>
      </c>
      <c r="B371" s="10" t="str">
        <f aca="false">INDEX(Bases!$B$5:$B$83,$T371)</f>
        <v>Tireur</v>
      </c>
      <c r="C371" s="10" t="str">
        <f aca="false">INDEX(Bases!$E$5:$E$83,$T371)</f>
        <v>Attaque (arme 1)</v>
      </c>
      <c r="D371" s="10" t="str">
        <f aca="false">INDEX(Bases!$F$5:$F$83,$T371)</f>
        <v>Attaque</v>
      </c>
      <c r="E371" s="11" t="str">
        <f aca="false">INDEX(Bases!$C$5:$C$83,$T371)</f>
        <v>Volée de flèches</v>
      </c>
      <c r="F371" s="10" t="str">
        <f aca="false">INDEX(Éléments!$A$5:$A$14,$U371)</f>
        <v>Neutre</v>
      </c>
      <c r="G371" s="12" t="str">
        <f aca="false">IF(OR($F371="Neutre",$C371="Passif"),$E371,INDEX(Bases!$D$5:$D$83,$T371)&amp;" "&amp;INDEX(Éléments!$D$5:$D$14,$U371))</f>
        <v>Volée de flèches</v>
      </c>
      <c r="H371" s="10" t="str">
        <f aca="false">INDEX(Bases!$G$5:$G$83,$T371)</f>
        <v>Zone</v>
      </c>
      <c r="I371" s="13" t="n">
        <f aca="false">INDEX(Bases!$H$5:$H$83,$T371)</f>
        <v>2</v>
      </c>
      <c r="J371" s="10" t="str">
        <f aca="false">INDEX(Bases!$I$5:$I$83,$T371)</f>
        <v>Non</v>
      </c>
      <c r="K371" s="14" t="n">
        <f aca="false">INDEX(Bases!$J$5:$J$83,$T371)</f>
        <v>0.9</v>
      </c>
      <c r="L371" s="10" t="str">
        <f aca="false">INDEX(Bases!$K$5:$K$83,$T371)</f>
        <v>Force</v>
      </c>
      <c r="M371" s="11" t="str">
        <f aca="false">INDEX(Bases!$L$5:$L$83,$T371)</f>
        <v>Frappe toute la vague ; +10 % de chance de critique.</v>
      </c>
      <c r="N371" s="11" t="str">
        <f aca="false">IF($C371="Passif","—",IF($C371="Attaque (arme 1)",INDEX(Éléments!$F$5:$F$14,$U371),INDEX(Éléments!$G$5:$G$14,$U371)))</f>
        <v>Aucune altération ; ignore 10 % de la Résistance de la cible. Fiable contre tous les biomes.</v>
      </c>
      <c r="O371" s="10" t="str">
        <f aca="false">INDEX(Bases!$M$5:$M$83,$T371)</f>
        <v>Active</v>
      </c>
      <c r="P371" s="13" t="n">
        <f aca="false">INDEX(Bases!$N$5:$N$83,$T371)</f>
        <v>25</v>
      </c>
      <c r="Q371" s="15" t="n">
        <f aca="false">INDEX(Éléments!$C$5:$C$14,$U371)</f>
        <v>0</v>
      </c>
      <c r="R371" s="11" t="str">
        <f aca="false">"Niv. "&amp;$P371&amp;IF($Q371&gt;0," · étage "&amp;$Q371&amp;" terminé","")</f>
        <v>Niv. 25</v>
      </c>
      <c r="S371" s="14" t="n">
        <f aca="false">IF(ISNUMBER($I371),$K371*IF($H371="Zone",Paramètres!$B$8,1)/MAX(1,$I371),0)</f>
        <v>1.35</v>
      </c>
      <c r="T371" s="16" t="n">
        <v>52</v>
      </c>
      <c r="U371" s="16" t="n">
        <v>1</v>
      </c>
    </row>
    <row r="372" customFormat="false" ht="15" hidden="false" customHeight="true" outlineLevel="0" collapsed="false">
      <c r="A372" s="9" t="s">
        <v>441</v>
      </c>
      <c r="B372" s="10" t="str">
        <f aca="false">INDEX(Bases!$B$5:$B$83,$T372)</f>
        <v>Tireur</v>
      </c>
      <c r="C372" s="10" t="str">
        <f aca="false">INDEX(Bases!$E$5:$E$83,$T372)</f>
        <v>Attaque (arme 1)</v>
      </c>
      <c r="D372" s="10" t="str">
        <f aca="false">INDEX(Bases!$F$5:$F$83,$T372)</f>
        <v>Attaque</v>
      </c>
      <c r="E372" s="11" t="str">
        <f aca="false">INDEX(Bases!$C$5:$C$83,$T372)</f>
        <v>Volée de flèches</v>
      </c>
      <c r="F372" s="10" t="str">
        <f aca="false">INDEX(Éléments!$A$5:$A$14,$U372)</f>
        <v>Terre</v>
      </c>
      <c r="G372" s="12" t="str">
        <f aca="false">IF(OR($F372="Neutre",$C372="Passif"),$E372,INDEX(Bases!$D$5:$D$83,$T372)&amp;" "&amp;INDEX(Éléments!$D$5:$D$14,$U372))</f>
        <v>Volée de pierre</v>
      </c>
      <c r="H372" s="10" t="str">
        <f aca="false">INDEX(Bases!$G$5:$G$83,$T372)</f>
        <v>Zone</v>
      </c>
      <c r="I372" s="13" t="n">
        <f aca="false">INDEX(Bases!$H$5:$H$83,$T372)</f>
        <v>2</v>
      </c>
      <c r="J372" s="10" t="str">
        <f aca="false">INDEX(Bases!$I$5:$I$83,$T372)</f>
        <v>Non</v>
      </c>
      <c r="K372" s="14" t="n">
        <f aca="false">INDEX(Bases!$J$5:$J$83,$T372)</f>
        <v>0.9</v>
      </c>
      <c r="L372" s="10" t="str">
        <f aca="false">INDEX(Bases!$K$5:$K$83,$T372)</f>
        <v>Force</v>
      </c>
      <c r="M372" s="11" t="str">
        <f aca="false">INDEX(Bases!$L$5:$L$83,$T372)</f>
        <v>Frappe toute la vague ; +10 % de chance de critique.</v>
      </c>
      <c r="N372" s="11" t="str">
        <f aca="false">IF($C372="Passif","—",IF($C372="Attaque (arme 1)",INDEX(Éléments!$F$5:$F$14,$U372),INDEX(Éléments!$G$5:$G$14,$U372)))</f>
        <v>30 % : Garde brisée (−15 % Résistance, 2 tours).</v>
      </c>
      <c r="O372" s="10" t="str">
        <f aca="false">INDEX(Bases!$M$5:$M$83,$T372)</f>
        <v>Active</v>
      </c>
      <c r="P372" s="13" t="n">
        <f aca="false">INDEX(Bases!$N$5:$N$83,$T372)</f>
        <v>25</v>
      </c>
      <c r="Q372" s="15" t="n">
        <f aca="false">INDEX(Éléments!$C$5:$C$14,$U372)</f>
        <v>20</v>
      </c>
      <c r="R372" s="11" t="str">
        <f aca="false">"Niv. "&amp;$P372&amp;IF($Q372&gt;0," · étage "&amp;$Q372&amp;" terminé","")</f>
        <v>Niv. 25 · étage 20 terminé</v>
      </c>
      <c r="S372" s="14" t="n">
        <f aca="false">IF(ISNUMBER($I372),$K372*IF($H372="Zone",Paramètres!$B$8,1)/MAX(1,$I372),0)</f>
        <v>1.35</v>
      </c>
      <c r="T372" s="16" t="n">
        <v>52</v>
      </c>
      <c r="U372" s="16" t="n">
        <v>2</v>
      </c>
    </row>
    <row r="373" customFormat="false" ht="15" hidden="false" customHeight="true" outlineLevel="0" collapsed="false">
      <c r="A373" s="9" t="s">
        <v>442</v>
      </c>
      <c r="B373" s="10" t="str">
        <f aca="false">INDEX(Bases!$B$5:$B$83,$T373)</f>
        <v>Tireur</v>
      </c>
      <c r="C373" s="10" t="str">
        <f aca="false">INDEX(Bases!$E$5:$E$83,$T373)</f>
        <v>Attaque (arme 1)</v>
      </c>
      <c r="D373" s="10" t="str">
        <f aca="false">INDEX(Bases!$F$5:$F$83,$T373)</f>
        <v>Attaque</v>
      </c>
      <c r="E373" s="11" t="str">
        <f aca="false">INDEX(Bases!$C$5:$C$83,$T373)</f>
        <v>Volée de flèches</v>
      </c>
      <c r="F373" s="10" t="str">
        <f aca="false">INDEX(Éléments!$A$5:$A$14,$U373)</f>
        <v>Feu</v>
      </c>
      <c r="G373" s="12" t="str">
        <f aca="false">IF(OR($F373="Neutre",$C373="Passif"),$E373,INDEX(Bases!$D$5:$D$83,$T373)&amp;" "&amp;INDEX(Éléments!$D$5:$D$14,$U373))</f>
        <v>Volée de feu</v>
      </c>
      <c r="H373" s="10" t="str">
        <f aca="false">INDEX(Bases!$G$5:$G$83,$T373)</f>
        <v>Zone</v>
      </c>
      <c r="I373" s="13" t="n">
        <f aca="false">INDEX(Bases!$H$5:$H$83,$T373)</f>
        <v>2</v>
      </c>
      <c r="J373" s="10" t="str">
        <f aca="false">INDEX(Bases!$I$5:$I$83,$T373)</f>
        <v>Non</v>
      </c>
      <c r="K373" s="14" t="n">
        <f aca="false">INDEX(Bases!$J$5:$J$83,$T373)</f>
        <v>0.9</v>
      </c>
      <c r="L373" s="10" t="str">
        <f aca="false">INDEX(Bases!$K$5:$K$83,$T373)</f>
        <v>Force</v>
      </c>
      <c r="M373" s="11" t="str">
        <f aca="false">INDEX(Bases!$L$5:$L$83,$T373)</f>
        <v>Frappe toute la vague ; +10 % de chance de critique.</v>
      </c>
      <c r="N373" s="11" t="str">
        <f aca="false">IF($C373="Passif","—",IF($C373="Attaque (arme 1)",INDEX(Éléments!$F$5:$F$14,$U373),INDEX(Éléments!$G$5:$G$14,$U373)))</f>
        <v>35 % : Brûlure (8 % de la stat d'attaque par tour, 3 tours, non cumulable).</v>
      </c>
      <c r="O373" s="10" t="str">
        <f aca="false">INDEX(Bases!$M$5:$M$83,$T373)</f>
        <v>Active</v>
      </c>
      <c r="P373" s="13" t="n">
        <f aca="false">INDEX(Bases!$N$5:$N$83,$T373)</f>
        <v>25</v>
      </c>
      <c r="Q373" s="15" t="n">
        <f aca="false">INDEX(Éléments!$C$5:$C$14,$U373)</f>
        <v>30</v>
      </c>
      <c r="R373" s="11" t="str">
        <f aca="false">"Niv. "&amp;$P373&amp;IF($Q373&gt;0," · étage "&amp;$Q373&amp;" terminé","")</f>
        <v>Niv. 25 · étage 30 terminé</v>
      </c>
      <c r="S373" s="14" t="n">
        <f aca="false">IF(ISNUMBER($I373),$K373*IF($H373="Zone",Paramètres!$B$8,1)/MAX(1,$I373),0)</f>
        <v>1.35</v>
      </c>
      <c r="T373" s="16" t="n">
        <v>52</v>
      </c>
      <c r="U373" s="16" t="n">
        <v>3</v>
      </c>
    </row>
    <row r="374" customFormat="false" ht="15" hidden="false" customHeight="true" outlineLevel="0" collapsed="false">
      <c r="A374" s="9" t="s">
        <v>443</v>
      </c>
      <c r="B374" s="10" t="str">
        <f aca="false">INDEX(Bases!$B$5:$B$83,$T374)</f>
        <v>Tireur</v>
      </c>
      <c r="C374" s="10" t="str">
        <f aca="false">INDEX(Bases!$E$5:$E$83,$T374)</f>
        <v>Attaque (arme 1)</v>
      </c>
      <c r="D374" s="10" t="str">
        <f aca="false">INDEX(Bases!$F$5:$F$83,$T374)</f>
        <v>Attaque</v>
      </c>
      <c r="E374" s="11" t="str">
        <f aca="false">INDEX(Bases!$C$5:$C$83,$T374)</f>
        <v>Volée de flèches</v>
      </c>
      <c r="F374" s="10" t="str">
        <f aca="false">INDEX(Éléments!$A$5:$A$14,$U374)</f>
        <v>Vent</v>
      </c>
      <c r="G374" s="12" t="str">
        <f aca="false">IF(OR($F374="Neutre",$C374="Passif"),$E374,INDEX(Bases!$D$5:$D$83,$T374)&amp;" "&amp;INDEX(Éléments!$D$5:$D$14,$U374))</f>
        <v>Volée de vent</v>
      </c>
      <c r="H374" s="10" t="str">
        <f aca="false">INDEX(Bases!$G$5:$G$83,$T374)</f>
        <v>Zone</v>
      </c>
      <c r="I374" s="13" t="n">
        <f aca="false">INDEX(Bases!$H$5:$H$83,$T374)</f>
        <v>2</v>
      </c>
      <c r="J374" s="10" t="str">
        <f aca="false">INDEX(Bases!$I$5:$I$83,$T374)</f>
        <v>Non</v>
      </c>
      <c r="K374" s="14" t="n">
        <f aca="false">INDEX(Bases!$J$5:$J$83,$T374)</f>
        <v>0.9</v>
      </c>
      <c r="L374" s="10" t="str">
        <f aca="false">INDEX(Bases!$K$5:$K$83,$T374)</f>
        <v>Force</v>
      </c>
      <c r="M374" s="11" t="str">
        <f aca="false">INDEX(Bases!$L$5:$L$83,$T374)</f>
        <v>Frappe toute la vague ; +10 % de chance de critique.</v>
      </c>
      <c r="N374" s="11" t="str">
        <f aca="false">IF($C374="Passif","—",IF($C374="Attaque (arme 1)",INDEX(Éléments!$F$5:$F$14,$U374),INDEX(Éléments!$G$5:$G$14,$U374)))</f>
        <v>+10 % de chance de critique ; 30 % : Désorienté (−15 % Précision, 2 tours).</v>
      </c>
      <c r="O374" s="10" t="str">
        <f aca="false">INDEX(Bases!$M$5:$M$83,$T374)</f>
        <v>Active</v>
      </c>
      <c r="P374" s="13" t="n">
        <f aca="false">INDEX(Bases!$N$5:$N$83,$T374)</f>
        <v>25</v>
      </c>
      <c r="Q374" s="15" t="n">
        <f aca="false">INDEX(Éléments!$C$5:$C$14,$U374)</f>
        <v>40</v>
      </c>
      <c r="R374" s="11" t="str">
        <f aca="false">"Niv. "&amp;$P374&amp;IF($Q374&gt;0," · étage "&amp;$Q374&amp;" terminé","")</f>
        <v>Niv. 25 · étage 40 terminé</v>
      </c>
      <c r="S374" s="14" t="n">
        <f aca="false">IF(ISNUMBER($I374),$K374*IF($H374="Zone",Paramètres!$B$8,1)/MAX(1,$I374),0)</f>
        <v>1.35</v>
      </c>
      <c r="T374" s="16" t="n">
        <v>52</v>
      </c>
      <c r="U374" s="16" t="n">
        <v>4</v>
      </c>
    </row>
    <row r="375" customFormat="false" ht="15" hidden="false" customHeight="true" outlineLevel="0" collapsed="false">
      <c r="A375" s="9" t="s">
        <v>444</v>
      </c>
      <c r="B375" s="10" t="str">
        <f aca="false">INDEX(Bases!$B$5:$B$83,$T375)</f>
        <v>Tireur</v>
      </c>
      <c r="C375" s="10" t="str">
        <f aca="false">INDEX(Bases!$E$5:$E$83,$T375)</f>
        <v>Attaque (arme 1)</v>
      </c>
      <c r="D375" s="10" t="str">
        <f aca="false">INDEX(Bases!$F$5:$F$83,$T375)</f>
        <v>Attaque</v>
      </c>
      <c r="E375" s="11" t="str">
        <f aca="false">INDEX(Bases!$C$5:$C$83,$T375)</f>
        <v>Volée de flèches</v>
      </c>
      <c r="F375" s="10" t="str">
        <f aca="false">INDEX(Éléments!$A$5:$A$14,$U375)</f>
        <v>Acide</v>
      </c>
      <c r="G375" s="12" t="str">
        <f aca="false">IF(OR($F375="Neutre",$C375="Passif"),$E375,INDEX(Bases!$D$5:$D$83,$T375)&amp;" "&amp;INDEX(Éléments!$D$5:$D$14,$U375))</f>
        <v>Volée d'acide</v>
      </c>
      <c r="H375" s="10" t="str">
        <f aca="false">INDEX(Bases!$G$5:$G$83,$T375)</f>
        <v>Zone</v>
      </c>
      <c r="I375" s="13" t="n">
        <f aca="false">INDEX(Bases!$H$5:$H$83,$T375)</f>
        <v>2</v>
      </c>
      <c r="J375" s="10" t="str">
        <f aca="false">INDEX(Bases!$I$5:$I$83,$T375)</f>
        <v>Non</v>
      </c>
      <c r="K375" s="14" t="n">
        <f aca="false">INDEX(Bases!$J$5:$J$83,$T375)</f>
        <v>0.9</v>
      </c>
      <c r="L375" s="10" t="str">
        <f aca="false">INDEX(Bases!$K$5:$K$83,$T375)</f>
        <v>Force</v>
      </c>
      <c r="M375" s="11" t="str">
        <f aca="false">INDEX(Bases!$L$5:$L$83,$T375)</f>
        <v>Frappe toute la vague ; +10 % de chance de critique.</v>
      </c>
      <c r="N375" s="11" t="str">
        <f aca="false">IF($C375="Passif","—",IF($C375="Attaque (arme 1)",INDEX(Éléments!$F$5:$F$14,$U375),INDEX(Éléments!$G$5:$G$14,$U375)))</f>
        <v>50 % : 1 pile de Corrosion (−5 % Armure par pile, 4 piles max, 3 tours).</v>
      </c>
      <c r="O375" s="10" t="str">
        <f aca="false">INDEX(Bases!$M$5:$M$83,$T375)</f>
        <v>Active</v>
      </c>
      <c r="P375" s="13" t="n">
        <f aca="false">INDEX(Bases!$N$5:$N$83,$T375)</f>
        <v>25</v>
      </c>
      <c r="Q375" s="15" t="n">
        <f aca="false">INDEX(Éléments!$C$5:$C$14,$U375)</f>
        <v>50</v>
      </c>
      <c r="R375" s="11" t="str">
        <f aca="false">"Niv. "&amp;$P375&amp;IF($Q375&gt;0," · étage "&amp;$Q375&amp;" terminé","")</f>
        <v>Niv. 25 · étage 50 terminé</v>
      </c>
      <c r="S375" s="14" t="n">
        <f aca="false">IF(ISNUMBER($I375),$K375*IF($H375="Zone",Paramètres!$B$8,1)/MAX(1,$I375),0)</f>
        <v>1.35</v>
      </c>
      <c r="T375" s="16" t="n">
        <v>52</v>
      </c>
      <c r="U375" s="16" t="n">
        <v>5</v>
      </c>
    </row>
    <row r="376" customFormat="false" ht="15" hidden="false" customHeight="true" outlineLevel="0" collapsed="false">
      <c r="A376" s="9" t="s">
        <v>445</v>
      </c>
      <c r="B376" s="10" t="str">
        <f aca="false">INDEX(Bases!$B$5:$B$83,$T376)</f>
        <v>Tireur</v>
      </c>
      <c r="C376" s="10" t="str">
        <f aca="false">INDEX(Bases!$E$5:$E$83,$T376)</f>
        <v>Attaque (arme 1)</v>
      </c>
      <c r="D376" s="10" t="str">
        <f aca="false">INDEX(Bases!$F$5:$F$83,$T376)</f>
        <v>Attaque</v>
      </c>
      <c r="E376" s="11" t="str">
        <f aca="false">INDEX(Bases!$C$5:$C$83,$T376)</f>
        <v>Volée de flèches</v>
      </c>
      <c r="F376" s="10" t="str">
        <f aca="false">INDEX(Éléments!$A$5:$A$14,$U376)</f>
        <v>Eau</v>
      </c>
      <c r="G376" s="12" t="str">
        <f aca="false">IF(OR($F376="Neutre",$C376="Passif"),$E376,INDEX(Bases!$D$5:$D$83,$T376)&amp;" "&amp;INDEX(Éléments!$D$5:$D$14,$U376))</f>
        <v>Volée d'eau</v>
      </c>
      <c r="H376" s="10" t="str">
        <f aca="false">INDEX(Bases!$G$5:$G$83,$T376)</f>
        <v>Zone</v>
      </c>
      <c r="I376" s="13" t="n">
        <f aca="false">INDEX(Bases!$H$5:$H$83,$T376)</f>
        <v>2</v>
      </c>
      <c r="J376" s="10" t="str">
        <f aca="false">INDEX(Bases!$I$5:$I$83,$T376)</f>
        <v>Non</v>
      </c>
      <c r="K376" s="14" t="n">
        <f aca="false">INDEX(Bases!$J$5:$J$83,$T376)</f>
        <v>0.9</v>
      </c>
      <c r="L376" s="10" t="str">
        <f aca="false">INDEX(Bases!$K$5:$K$83,$T376)</f>
        <v>Force</v>
      </c>
      <c r="M376" s="11" t="str">
        <f aca="false">INDEX(Bases!$L$5:$L$83,$T376)</f>
        <v>Frappe toute la vague ; +10 % de chance de critique.</v>
      </c>
      <c r="N376" s="11" t="str">
        <f aca="false">IF($C376="Passif","—",IF($C376="Attaque (arme 1)",INDEX(Éléments!$F$5:$F$14,$U376),INDEX(Éléments!$G$5:$G$14,$U376)))</f>
        <v>50 % : Mouillé (+25 % de dégâts d'Électricité subis, retire Brûlure, 3 tours).</v>
      </c>
      <c r="O376" s="10" t="str">
        <f aca="false">INDEX(Bases!$M$5:$M$83,$T376)</f>
        <v>Active</v>
      </c>
      <c r="P376" s="13" t="n">
        <f aca="false">INDEX(Bases!$N$5:$N$83,$T376)</f>
        <v>25</v>
      </c>
      <c r="Q376" s="15" t="n">
        <f aca="false">INDEX(Éléments!$C$5:$C$14,$U376)</f>
        <v>60</v>
      </c>
      <c r="R376" s="11" t="str">
        <f aca="false">"Niv. "&amp;$P376&amp;IF($Q376&gt;0," · étage "&amp;$Q376&amp;" terminé","")</f>
        <v>Niv. 25 · étage 60 terminé</v>
      </c>
      <c r="S376" s="14" t="n">
        <f aca="false">IF(ISNUMBER($I376),$K376*IF($H376="Zone",Paramètres!$B$8,1)/MAX(1,$I376),0)</f>
        <v>1.35</v>
      </c>
      <c r="T376" s="16" t="n">
        <v>52</v>
      </c>
      <c r="U376" s="16" t="n">
        <v>6</v>
      </c>
    </row>
    <row r="377" customFormat="false" ht="15" hidden="false" customHeight="true" outlineLevel="0" collapsed="false">
      <c r="A377" s="9" t="s">
        <v>446</v>
      </c>
      <c r="B377" s="10" t="str">
        <f aca="false">INDEX(Bases!$B$5:$B$83,$T377)</f>
        <v>Tireur</v>
      </c>
      <c r="C377" s="10" t="str">
        <f aca="false">INDEX(Bases!$E$5:$E$83,$T377)</f>
        <v>Attaque (arme 1)</v>
      </c>
      <c r="D377" s="10" t="str">
        <f aca="false">INDEX(Bases!$F$5:$F$83,$T377)</f>
        <v>Attaque</v>
      </c>
      <c r="E377" s="11" t="str">
        <f aca="false">INDEX(Bases!$C$5:$C$83,$T377)</f>
        <v>Volée de flèches</v>
      </c>
      <c r="F377" s="10" t="str">
        <f aca="false">INDEX(Éléments!$A$5:$A$14,$U377)</f>
        <v>Glace</v>
      </c>
      <c r="G377" s="12" t="str">
        <f aca="false">IF(OR($F377="Neutre",$C377="Passif"),$E377,INDEX(Bases!$D$5:$D$83,$T377)&amp;" "&amp;INDEX(Éléments!$D$5:$D$14,$U377))</f>
        <v>Volée de glace</v>
      </c>
      <c r="H377" s="10" t="str">
        <f aca="false">INDEX(Bases!$G$5:$G$83,$T377)</f>
        <v>Zone</v>
      </c>
      <c r="I377" s="13" t="n">
        <f aca="false">INDEX(Bases!$H$5:$H$83,$T377)</f>
        <v>2</v>
      </c>
      <c r="J377" s="10" t="str">
        <f aca="false">INDEX(Bases!$I$5:$I$83,$T377)</f>
        <v>Non</v>
      </c>
      <c r="K377" s="14" t="n">
        <f aca="false">INDEX(Bases!$J$5:$J$83,$T377)</f>
        <v>0.9</v>
      </c>
      <c r="L377" s="10" t="str">
        <f aca="false">INDEX(Bases!$K$5:$K$83,$T377)</f>
        <v>Force</v>
      </c>
      <c r="M377" s="11" t="str">
        <f aca="false">INDEX(Bases!$L$5:$L$83,$T377)</f>
        <v>Frappe toute la vague ; +10 % de chance de critique.</v>
      </c>
      <c r="N377" s="11" t="str">
        <f aca="false">IF($C377="Passif","—",IF($C377="Attaque (arme 1)",INDEX(Éléments!$F$5:$F$14,$U377),INDEX(Éléments!$G$5:$G$14,$U377)))</f>
        <v>40 % : 1 pile de Froid (−8 % Agilité ; à 3 piles : Gel, la cible perd 1 tour).</v>
      </c>
      <c r="O377" s="10" t="str">
        <f aca="false">INDEX(Bases!$M$5:$M$83,$T377)</f>
        <v>Active</v>
      </c>
      <c r="P377" s="13" t="n">
        <f aca="false">INDEX(Bases!$N$5:$N$83,$T377)</f>
        <v>25</v>
      </c>
      <c r="Q377" s="15" t="n">
        <f aca="false">INDEX(Éléments!$C$5:$C$14,$U377)</f>
        <v>70</v>
      </c>
      <c r="R377" s="11" t="str">
        <f aca="false">"Niv. "&amp;$P377&amp;IF($Q377&gt;0," · étage "&amp;$Q377&amp;" terminé","")</f>
        <v>Niv. 25 · étage 70 terminé</v>
      </c>
      <c r="S377" s="14" t="n">
        <f aca="false">IF(ISNUMBER($I377),$K377*IF($H377="Zone",Paramètres!$B$8,1)/MAX(1,$I377),0)</f>
        <v>1.35</v>
      </c>
      <c r="T377" s="16" t="n">
        <v>52</v>
      </c>
      <c r="U377" s="16" t="n">
        <v>7</v>
      </c>
    </row>
    <row r="378" customFormat="false" ht="15" hidden="false" customHeight="true" outlineLevel="0" collapsed="false">
      <c r="A378" s="9" t="s">
        <v>447</v>
      </c>
      <c r="B378" s="10" t="str">
        <f aca="false">INDEX(Bases!$B$5:$B$83,$T378)</f>
        <v>Tireur</v>
      </c>
      <c r="C378" s="10" t="str">
        <f aca="false">INDEX(Bases!$E$5:$E$83,$T378)</f>
        <v>Attaque (arme 1)</v>
      </c>
      <c r="D378" s="10" t="str">
        <f aca="false">INDEX(Bases!$F$5:$F$83,$T378)</f>
        <v>Attaque</v>
      </c>
      <c r="E378" s="11" t="str">
        <f aca="false">INDEX(Bases!$C$5:$C$83,$T378)</f>
        <v>Volée de flèches</v>
      </c>
      <c r="F378" s="10" t="str">
        <f aca="false">INDEX(Éléments!$A$5:$A$14,$U378)</f>
        <v>Électricité</v>
      </c>
      <c r="G378" s="12" t="str">
        <f aca="false">IF(OR($F378="Neutre",$C378="Passif"),$E378,INDEX(Bases!$D$5:$D$83,$T378)&amp;" "&amp;INDEX(Éléments!$D$5:$D$14,$U378))</f>
        <v>Volée de foudre</v>
      </c>
      <c r="H378" s="10" t="str">
        <f aca="false">INDEX(Bases!$G$5:$G$83,$T378)</f>
        <v>Zone</v>
      </c>
      <c r="I378" s="13" t="n">
        <f aca="false">INDEX(Bases!$H$5:$H$83,$T378)</f>
        <v>2</v>
      </c>
      <c r="J378" s="10" t="str">
        <f aca="false">INDEX(Bases!$I$5:$I$83,$T378)</f>
        <v>Non</v>
      </c>
      <c r="K378" s="14" t="n">
        <f aca="false">INDEX(Bases!$J$5:$J$83,$T378)</f>
        <v>0.9</v>
      </c>
      <c r="L378" s="10" t="str">
        <f aca="false">INDEX(Bases!$K$5:$K$83,$T378)</f>
        <v>Force</v>
      </c>
      <c r="M378" s="11" t="str">
        <f aca="false">INDEX(Bases!$L$5:$L$83,$T378)</f>
        <v>Frappe toute la vague ; +10 % de chance de critique.</v>
      </c>
      <c r="N378" s="11" t="str">
        <f aca="false">IF($C378="Passif","—",IF($C378="Attaque (arme 1)",INDEX(Éléments!$F$5:$F$14,$U378),INDEX(Éléments!$G$5:$G$14,$U378)))</f>
        <v>Rebondit sur 1 autre ennemi (40 % des dégâts) ; 10 % : Étourdissement (1 tour).</v>
      </c>
      <c r="O378" s="10" t="str">
        <f aca="false">INDEX(Bases!$M$5:$M$83,$T378)</f>
        <v>Active</v>
      </c>
      <c r="P378" s="13" t="n">
        <f aca="false">INDEX(Bases!$N$5:$N$83,$T378)</f>
        <v>25</v>
      </c>
      <c r="Q378" s="15" t="n">
        <f aca="false">INDEX(Éléments!$C$5:$C$14,$U378)</f>
        <v>80</v>
      </c>
      <c r="R378" s="11" t="str">
        <f aca="false">"Niv. "&amp;$P378&amp;IF($Q378&gt;0," · étage "&amp;$Q378&amp;" terminé","")</f>
        <v>Niv. 25 · étage 80 terminé</v>
      </c>
      <c r="S378" s="14" t="n">
        <f aca="false">IF(ISNUMBER($I378),$K378*IF($H378="Zone",Paramètres!$B$8,1)/MAX(1,$I378),0)</f>
        <v>1.35</v>
      </c>
      <c r="T378" s="16" t="n">
        <v>52</v>
      </c>
      <c r="U378" s="16" t="n">
        <v>8</v>
      </c>
    </row>
    <row r="379" customFormat="false" ht="15" hidden="false" customHeight="true" outlineLevel="0" collapsed="false">
      <c r="A379" s="9" t="s">
        <v>448</v>
      </c>
      <c r="B379" s="10" t="str">
        <f aca="false">INDEX(Bases!$B$5:$B$83,$T379)</f>
        <v>Tireur</v>
      </c>
      <c r="C379" s="10" t="str">
        <f aca="false">INDEX(Bases!$E$5:$E$83,$T379)</f>
        <v>Attaque (arme 1)</v>
      </c>
      <c r="D379" s="10" t="str">
        <f aca="false">INDEX(Bases!$F$5:$F$83,$T379)</f>
        <v>Attaque</v>
      </c>
      <c r="E379" s="11" t="str">
        <f aca="false">INDEX(Bases!$C$5:$C$83,$T379)</f>
        <v>Volée de flèches</v>
      </c>
      <c r="F379" s="10" t="str">
        <f aca="false">INDEX(Éléments!$A$5:$A$14,$U379)</f>
        <v>Lumière</v>
      </c>
      <c r="G379" s="12" t="str">
        <f aca="false">IF(OR($F379="Neutre",$C379="Passif"),$E379,INDEX(Bases!$D$5:$D$83,$T379)&amp;" "&amp;INDEX(Éléments!$D$5:$D$14,$U379))</f>
        <v>Volée de lumière</v>
      </c>
      <c r="H379" s="10" t="str">
        <f aca="false">INDEX(Bases!$G$5:$G$83,$T379)</f>
        <v>Zone</v>
      </c>
      <c r="I379" s="13" t="n">
        <f aca="false">INDEX(Bases!$H$5:$H$83,$T379)</f>
        <v>2</v>
      </c>
      <c r="J379" s="10" t="str">
        <f aca="false">INDEX(Bases!$I$5:$I$83,$T379)</f>
        <v>Non</v>
      </c>
      <c r="K379" s="14" t="n">
        <f aca="false">INDEX(Bases!$J$5:$J$83,$T379)</f>
        <v>0.9</v>
      </c>
      <c r="L379" s="10" t="str">
        <f aca="false">INDEX(Bases!$K$5:$K$83,$T379)</f>
        <v>Force</v>
      </c>
      <c r="M379" s="11" t="str">
        <f aca="false">INDEX(Bases!$L$5:$L$83,$T379)</f>
        <v>Frappe toute la vague ; +10 % de chance de critique.</v>
      </c>
      <c r="N379" s="11" t="str">
        <f aca="false">IF($C379="Passif","—",IF($C379="Attaque (arme 1)",INDEX(Éléments!$F$5:$F$14,$U379),INDEX(Éléments!$G$5:$G$14,$U379)))</f>
        <v>Soigne le lanceur de 5 % des dégâts infligés ; 25 % : Éblouissement (−20 % chance de critique, 2 tours).</v>
      </c>
      <c r="O379" s="10" t="str">
        <f aca="false">INDEX(Bases!$M$5:$M$83,$T379)</f>
        <v>Active</v>
      </c>
      <c r="P379" s="13" t="n">
        <f aca="false">INDEX(Bases!$N$5:$N$83,$T379)</f>
        <v>25</v>
      </c>
      <c r="Q379" s="15" t="n">
        <f aca="false">INDEX(Éléments!$C$5:$C$14,$U379)</f>
        <v>90</v>
      </c>
      <c r="R379" s="11" t="str">
        <f aca="false">"Niv. "&amp;$P379&amp;IF($Q379&gt;0," · étage "&amp;$Q379&amp;" terminé","")</f>
        <v>Niv. 25 · étage 90 terminé</v>
      </c>
      <c r="S379" s="14" t="n">
        <f aca="false">IF(ISNUMBER($I379),$K379*IF($H379="Zone",Paramètres!$B$8,1)/MAX(1,$I379),0)</f>
        <v>1.35</v>
      </c>
      <c r="T379" s="16" t="n">
        <v>52</v>
      </c>
      <c r="U379" s="16" t="n">
        <v>9</v>
      </c>
    </row>
    <row r="380" customFormat="false" ht="15" hidden="false" customHeight="true" outlineLevel="0" collapsed="false">
      <c r="A380" s="9" t="s">
        <v>449</v>
      </c>
      <c r="B380" s="10" t="str">
        <f aca="false">INDEX(Bases!$B$5:$B$83,$T380)</f>
        <v>Tireur</v>
      </c>
      <c r="C380" s="10" t="str">
        <f aca="false">INDEX(Bases!$E$5:$E$83,$T380)</f>
        <v>Attaque (arme 1)</v>
      </c>
      <c r="D380" s="10" t="str">
        <f aca="false">INDEX(Bases!$F$5:$F$83,$T380)</f>
        <v>Attaque</v>
      </c>
      <c r="E380" s="11" t="str">
        <f aca="false">INDEX(Bases!$C$5:$C$83,$T380)</f>
        <v>Volée de flèches</v>
      </c>
      <c r="F380" s="10" t="str">
        <f aca="false">INDEX(Éléments!$A$5:$A$14,$U380)</f>
        <v>Ombre</v>
      </c>
      <c r="G380" s="12" t="str">
        <f aca="false">IF(OR($F380="Neutre",$C380="Passif"),$E380,INDEX(Bases!$D$5:$D$83,$T380)&amp;" "&amp;INDEX(Éléments!$D$5:$D$14,$U380))</f>
        <v>Volée d'ombre</v>
      </c>
      <c r="H380" s="10" t="str">
        <f aca="false">INDEX(Bases!$G$5:$G$83,$T380)</f>
        <v>Zone</v>
      </c>
      <c r="I380" s="13" t="n">
        <f aca="false">INDEX(Bases!$H$5:$H$83,$T380)</f>
        <v>2</v>
      </c>
      <c r="J380" s="10" t="str">
        <f aca="false">INDEX(Bases!$I$5:$I$83,$T380)</f>
        <v>Non</v>
      </c>
      <c r="K380" s="14" t="n">
        <f aca="false">INDEX(Bases!$J$5:$J$83,$T380)</f>
        <v>0.9</v>
      </c>
      <c r="L380" s="10" t="str">
        <f aca="false">INDEX(Bases!$K$5:$K$83,$T380)</f>
        <v>Force</v>
      </c>
      <c r="M380" s="11" t="str">
        <f aca="false">INDEX(Bases!$L$5:$L$83,$T380)</f>
        <v>Frappe toute la vague ; +10 % de chance de critique.</v>
      </c>
      <c r="N380" s="11" t="str">
        <f aca="false">IF($C380="Passif","—",IF($C380="Attaque (arme 1)",INDEX(Éléments!$F$5:$F$14,$U380),INDEX(Éléments!$G$5:$G$14,$U380)))</f>
        <v>Vol de vie 5 % ; 30 % : Corruption (+10 % de dégâts subis, 2 tours).</v>
      </c>
      <c r="O380" s="10" t="str">
        <f aca="false">INDEX(Bases!$M$5:$M$83,$T380)</f>
        <v>Active</v>
      </c>
      <c r="P380" s="13" t="n">
        <f aca="false">INDEX(Bases!$N$5:$N$83,$T380)</f>
        <v>25</v>
      </c>
      <c r="Q380" s="15" t="n">
        <f aca="false">INDEX(Éléments!$C$5:$C$14,$U380)</f>
        <v>100</v>
      </c>
      <c r="R380" s="11" t="str">
        <f aca="false">"Niv. "&amp;$P380&amp;IF($Q380&gt;0," · étage "&amp;$Q380&amp;" terminé","")</f>
        <v>Niv. 25 · étage 100 terminé</v>
      </c>
      <c r="S380" s="14" t="n">
        <f aca="false">IF(ISNUMBER($I380),$K380*IF($H380="Zone",Paramètres!$B$8,1)/MAX(1,$I380),0)</f>
        <v>1.35</v>
      </c>
      <c r="T380" s="16" t="n">
        <v>52</v>
      </c>
      <c r="U380" s="16" t="n">
        <v>10</v>
      </c>
    </row>
    <row r="381" customFormat="false" ht="15" hidden="false" customHeight="true" outlineLevel="0" collapsed="false">
      <c r="A381" s="9" t="s">
        <v>450</v>
      </c>
      <c r="B381" s="10" t="str">
        <f aca="false">INDEX(Bases!$B$5:$B$83,$T381)</f>
        <v>Tireur</v>
      </c>
      <c r="C381" s="10" t="str">
        <f aca="false">INDEX(Bases!$E$5:$E$83,$T381)</f>
        <v>Attaque (arme 1)</v>
      </c>
      <c r="D381" s="10" t="str">
        <f aca="false">INDEX(Bases!$F$5:$F$83,$T381)</f>
        <v>Attaque</v>
      </c>
      <c r="E381" s="11" t="str">
        <f aca="false">INDEX(Bases!$C$5:$C$83,$T381)</f>
        <v>Tir mortel</v>
      </c>
      <c r="F381" s="10" t="str">
        <f aca="false">INDEX(Éléments!$A$5:$A$14,$U381)</f>
        <v>Neutre</v>
      </c>
      <c r="G381" s="12" t="str">
        <f aca="false">IF(OR($F381="Neutre",$C381="Passif"),$E381,INDEX(Bases!$D$5:$D$83,$T381)&amp;" "&amp;INDEX(Éléments!$D$5:$D$14,$U381))</f>
        <v>Tir mortel</v>
      </c>
      <c r="H381" s="10" t="str">
        <f aca="false">INDEX(Bases!$G$5:$G$83,$T381)</f>
        <v>Mono</v>
      </c>
      <c r="I381" s="13" t="n">
        <f aca="false">INDEX(Bases!$H$5:$H$83,$T381)</f>
        <v>3</v>
      </c>
      <c r="J381" s="10" t="str">
        <f aca="false">INDEX(Bases!$I$5:$I$83,$T381)</f>
        <v>Oui</v>
      </c>
      <c r="K381" s="14" t="n">
        <f aca="false">INDEX(Bases!$J$5:$J$83,$T381)</f>
        <v>2.8</v>
      </c>
      <c r="L381" s="10" t="str">
        <f aca="false">INDEX(Bases!$K$5:$K$83,$T381)</f>
        <v>Force</v>
      </c>
      <c r="M381" s="11" t="str">
        <f aca="false">INDEX(Bases!$L$5:$L$83,$T381)</f>
        <v>Coup critique garanti.</v>
      </c>
      <c r="N381" s="11" t="str">
        <f aca="false">IF($C381="Passif","—",IF($C381="Attaque (arme 1)",INDEX(Éléments!$F$5:$F$14,$U381),INDEX(Éléments!$G$5:$G$14,$U381)))</f>
        <v>Aucune altération ; ignore 10 % de la Résistance de la cible. Fiable contre tous les biomes.</v>
      </c>
      <c r="O381" s="10" t="str">
        <f aca="false">INDEX(Bases!$M$5:$M$83,$T381)</f>
        <v>Active</v>
      </c>
      <c r="P381" s="13" t="n">
        <f aca="false">INDEX(Bases!$N$5:$N$83,$T381)</f>
        <v>30</v>
      </c>
      <c r="Q381" s="15" t="n">
        <f aca="false">INDEX(Éléments!$C$5:$C$14,$U381)</f>
        <v>0</v>
      </c>
      <c r="R381" s="11" t="str">
        <f aca="false">"Niv. "&amp;$P381&amp;IF($Q381&gt;0," · étage "&amp;$Q381&amp;" terminé","")</f>
        <v>Niv. 30</v>
      </c>
      <c r="S381" s="14" t="n">
        <f aca="false">IF(ISNUMBER($I381),$K381*IF($H381="Zone",Paramètres!$B$8,1)/MAX(1,$I381),0)</f>
        <v>0.933333333333333</v>
      </c>
      <c r="T381" s="16" t="n">
        <v>53</v>
      </c>
      <c r="U381" s="16" t="n">
        <v>1</v>
      </c>
    </row>
    <row r="382" customFormat="false" ht="15" hidden="false" customHeight="true" outlineLevel="0" collapsed="false">
      <c r="A382" s="9" t="s">
        <v>451</v>
      </c>
      <c r="B382" s="10" t="str">
        <f aca="false">INDEX(Bases!$B$5:$B$83,$T382)</f>
        <v>Tireur</v>
      </c>
      <c r="C382" s="10" t="str">
        <f aca="false">INDEX(Bases!$E$5:$E$83,$T382)</f>
        <v>Attaque (arme 1)</v>
      </c>
      <c r="D382" s="10" t="str">
        <f aca="false">INDEX(Bases!$F$5:$F$83,$T382)</f>
        <v>Attaque</v>
      </c>
      <c r="E382" s="11" t="str">
        <f aca="false">INDEX(Bases!$C$5:$C$83,$T382)</f>
        <v>Tir mortel</v>
      </c>
      <c r="F382" s="10" t="str">
        <f aca="false">INDEX(Éléments!$A$5:$A$14,$U382)</f>
        <v>Terre</v>
      </c>
      <c r="G382" s="12" t="str">
        <f aca="false">IF(OR($F382="Neutre",$C382="Passif"),$E382,INDEX(Bases!$D$5:$D$83,$T382)&amp;" "&amp;INDEX(Éléments!$D$5:$D$14,$U382))</f>
        <v>Tir mortel de pierre</v>
      </c>
      <c r="H382" s="10" t="str">
        <f aca="false">INDEX(Bases!$G$5:$G$83,$T382)</f>
        <v>Mono</v>
      </c>
      <c r="I382" s="13" t="n">
        <f aca="false">INDEX(Bases!$H$5:$H$83,$T382)</f>
        <v>3</v>
      </c>
      <c r="J382" s="10" t="str">
        <f aca="false">INDEX(Bases!$I$5:$I$83,$T382)</f>
        <v>Oui</v>
      </c>
      <c r="K382" s="14" t="n">
        <f aca="false">INDEX(Bases!$J$5:$J$83,$T382)</f>
        <v>2.8</v>
      </c>
      <c r="L382" s="10" t="str">
        <f aca="false">INDEX(Bases!$K$5:$K$83,$T382)</f>
        <v>Force</v>
      </c>
      <c r="M382" s="11" t="str">
        <f aca="false">INDEX(Bases!$L$5:$L$83,$T382)</f>
        <v>Coup critique garanti.</v>
      </c>
      <c r="N382" s="11" t="str">
        <f aca="false">IF($C382="Passif","—",IF($C382="Attaque (arme 1)",INDEX(Éléments!$F$5:$F$14,$U382),INDEX(Éléments!$G$5:$G$14,$U382)))</f>
        <v>30 % : Garde brisée (−15 % Résistance, 2 tours).</v>
      </c>
      <c r="O382" s="10" t="str">
        <f aca="false">INDEX(Bases!$M$5:$M$83,$T382)</f>
        <v>Active</v>
      </c>
      <c r="P382" s="13" t="n">
        <f aca="false">INDEX(Bases!$N$5:$N$83,$T382)</f>
        <v>30</v>
      </c>
      <c r="Q382" s="15" t="n">
        <f aca="false">INDEX(Éléments!$C$5:$C$14,$U382)</f>
        <v>20</v>
      </c>
      <c r="R382" s="11" t="str">
        <f aca="false">"Niv. "&amp;$P382&amp;IF($Q382&gt;0," · étage "&amp;$Q382&amp;" terminé","")</f>
        <v>Niv. 30 · étage 20 terminé</v>
      </c>
      <c r="S382" s="14" t="n">
        <f aca="false">IF(ISNUMBER($I382),$K382*IF($H382="Zone",Paramètres!$B$8,1)/MAX(1,$I382),0)</f>
        <v>0.933333333333333</v>
      </c>
      <c r="T382" s="16" t="n">
        <v>53</v>
      </c>
      <c r="U382" s="16" t="n">
        <v>2</v>
      </c>
    </row>
    <row r="383" customFormat="false" ht="15" hidden="false" customHeight="true" outlineLevel="0" collapsed="false">
      <c r="A383" s="9" t="s">
        <v>452</v>
      </c>
      <c r="B383" s="10" t="str">
        <f aca="false">INDEX(Bases!$B$5:$B$83,$T383)</f>
        <v>Tireur</v>
      </c>
      <c r="C383" s="10" t="str">
        <f aca="false">INDEX(Bases!$E$5:$E$83,$T383)</f>
        <v>Attaque (arme 1)</v>
      </c>
      <c r="D383" s="10" t="str">
        <f aca="false">INDEX(Bases!$F$5:$F$83,$T383)</f>
        <v>Attaque</v>
      </c>
      <c r="E383" s="11" t="str">
        <f aca="false">INDEX(Bases!$C$5:$C$83,$T383)</f>
        <v>Tir mortel</v>
      </c>
      <c r="F383" s="10" t="str">
        <f aca="false">INDEX(Éléments!$A$5:$A$14,$U383)</f>
        <v>Feu</v>
      </c>
      <c r="G383" s="12" t="str">
        <f aca="false">IF(OR($F383="Neutre",$C383="Passif"),$E383,INDEX(Bases!$D$5:$D$83,$T383)&amp;" "&amp;INDEX(Éléments!$D$5:$D$14,$U383))</f>
        <v>Tir mortel de feu</v>
      </c>
      <c r="H383" s="10" t="str">
        <f aca="false">INDEX(Bases!$G$5:$G$83,$T383)</f>
        <v>Mono</v>
      </c>
      <c r="I383" s="13" t="n">
        <f aca="false">INDEX(Bases!$H$5:$H$83,$T383)</f>
        <v>3</v>
      </c>
      <c r="J383" s="10" t="str">
        <f aca="false">INDEX(Bases!$I$5:$I$83,$T383)</f>
        <v>Oui</v>
      </c>
      <c r="K383" s="14" t="n">
        <f aca="false">INDEX(Bases!$J$5:$J$83,$T383)</f>
        <v>2.8</v>
      </c>
      <c r="L383" s="10" t="str">
        <f aca="false">INDEX(Bases!$K$5:$K$83,$T383)</f>
        <v>Force</v>
      </c>
      <c r="M383" s="11" t="str">
        <f aca="false">INDEX(Bases!$L$5:$L$83,$T383)</f>
        <v>Coup critique garanti.</v>
      </c>
      <c r="N383" s="11" t="str">
        <f aca="false">IF($C383="Passif","—",IF($C383="Attaque (arme 1)",INDEX(Éléments!$F$5:$F$14,$U383),INDEX(Éléments!$G$5:$G$14,$U383)))</f>
        <v>35 % : Brûlure (8 % de la stat d'attaque par tour, 3 tours, non cumulable).</v>
      </c>
      <c r="O383" s="10" t="str">
        <f aca="false">INDEX(Bases!$M$5:$M$83,$T383)</f>
        <v>Active</v>
      </c>
      <c r="P383" s="13" t="n">
        <f aca="false">INDEX(Bases!$N$5:$N$83,$T383)</f>
        <v>30</v>
      </c>
      <c r="Q383" s="15" t="n">
        <f aca="false">INDEX(Éléments!$C$5:$C$14,$U383)</f>
        <v>30</v>
      </c>
      <c r="R383" s="11" t="str">
        <f aca="false">"Niv. "&amp;$P383&amp;IF($Q383&gt;0," · étage "&amp;$Q383&amp;" terminé","")</f>
        <v>Niv. 30 · étage 30 terminé</v>
      </c>
      <c r="S383" s="14" t="n">
        <f aca="false">IF(ISNUMBER($I383),$K383*IF($H383="Zone",Paramètres!$B$8,1)/MAX(1,$I383),0)</f>
        <v>0.933333333333333</v>
      </c>
      <c r="T383" s="16" t="n">
        <v>53</v>
      </c>
      <c r="U383" s="16" t="n">
        <v>3</v>
      </c>
    </row>
    <row r="384" customFormat="false" ht="15" hidden="false" customHeight="true" outlineLevel="0" collapsed="false">
      <c r="A384" s="9" t="s">
        <v>453</v>
      </c>
      <c r="B384" s="10" t="str">
        <f aca="false">INDEX(Bases!$B$5:$B$83,$T384)</f>
        <v>Tireur</v>
      </c>
      <c r="C384" s="10" t="str">
        <f aca="false">INDEX(Bases!$E$5:$E$83,$T384)</f>
        <v>Attaque (arme 1)</v>
      </c>
      <c r="D384" s="10" t="str">
        <f aca="false">INDEX(Bases!$F$5:$F$83,$T384)</f>
        <v>Attaque</v>
      </c>
      <c r="E384" s="11" t="str">
        <f aca="false">INDEX(Bases!$C$5:$C$83,$T384)</f>
        <v>Tir mortel</v>
      </c>
      <c r="F384" s="10" t="str">
        <f aca="false">INDEX(Éléments!$A$5:$A$14,$U384)</f>
        <v>Vent</v>
      </c>
      <c r="G384" s="12" t="str">
        <f aca="false">IF(OR($F384="Neutre",$C384="Passif"),$E384,INDEX(Bases!$D$5:$D$83,$T384)&amp;" "&amp;INDEX(Éléments!$D$5:$D$14,$U384))</f>
        <v>Tir mortel de vent</v>
      </c>
      <c r="H384" s="10" t="str">
        <f aca="false">INDEX(Bases!$G$5:$G$83,$T384)</f>
        <v>Mono</v>
      </c>
      <c r="I384" s="13" t="n">
        <f aca="false">INDEX(Bases!$H$5:$H$83,$T384)</f>
        <v>3</v>
      </c>
      <c r="J384" s="10" t="str">
        <f aca="false">INDEX(Bases!$I$5:$I$83,$T384)</f>
        <v>Oui</v>
      </c>
      <c r="K384" s="14" t="n">
        <f aca="false">INDEX(Bases!$J$5:$J$83,$T384)</f>
        <v>2.8</v>
      </c>
      <c r="L384" s="10" t="str">
        <f aca="false">INDEX(Bases!$K$5:$K$83,$T384)</f>
        <v>Force</v>
      </c>
      <c r="M384" s="11" t="str">
        <f aca="false">INDEX(Bases!$L$5:$L$83,$T384)</f>
        <v>Coup critique garanti.</v>
      </c>
      <c r="N384" s="11" t="str">
        <f aca="false">IF($C384="Passif","—",IF($C384="Attaque (arme 1)",INDEX(Éléments!$F$5:$F$14,$U384),INDEX(Éléments!$G$5:$G$14,$U384)))</f>
        <v>+10 % de chance de critique ; 30 % : Désorienté (−15 % Précision, 2 tours).</v>
      </c>
      <c r="O384" s="10" t="str">
        <f aca="false">INDEX(Bases!$M$5:$M$83,$T384)</f>
        <v>Active</v>
      </c>
      <c r="P384" s="13" t="n">
        <f aca="false">INDEX(Bases!$N$5:$N$83,$T384)</f>
        <v>30</v>
      </c>
      <c r="Q384" s="15" t="n">
        <f aca="false">INDEX(Éléments!$C$5:$C$14,$U384)</f>
        <v>40</v>
      </c>
      <c r="R384" s="11" t="str">
        <f aca="false">"Niv. "&amp;$P384&amp;IF($Q384&gt;0," · étage "&amp;$Q384&amp;" terminé","")</f>
        <v>Niv. 30 · étage 40 terminé</v>
      </c>
      <c r="S384" s="14" t="n">
        <f aca="false">IF(ISNUMBER($I384),$K384*IF($H384="Zone",Paramètres!$B$8,1)/MAX(1,$I384),0)</f>
        <v>0.933333333333333</v>
      </c>
      <c r="T384" s="16" t="n">
        <v>53</v>
      </c>
      <c r="U384" s="16" t="n">
        <v>4</v>
      </c>
    </row>
    <row r="385" customFormat="false" ht="15" hidden="false" customHeight="true" outlineLevel="0" collapsed="false">
      <c r="A385" s="9" t="s">
        <v>454</v>
      </c>
      <c r="B385" s="10" t="str">
        <f aca="false">INDEX(Bases!$B$5:$B$83,$T385)</f>
        <v>Tireur</v>
      </c>
      <c r="C385" s="10" t="str">
        <f aca="false">INDEX(Bases!$E$5:$E$83,$T385)</f>
        <v>Attaque (arme 1)</v>
      </c>
      <c r="D385" s="10" t="str">
        <f aca="false">INDEX(Bases!$F$5:$F$83,$T385)</f>
        <v>Attaque</v>
      </c>
      <c r="E385" s="11" t="str">
        <f aca="false">INDEX(Bases!$C$5:$C$83,$T385)</f>
        <v>Tir mortel</v>
      </c>
      <c r="F385" s="10" t="str">
        <f aca="false">INDEX(Éléments!$A$5:$A$14,$U385)</f>
        <v>Acide</v>
      </c>
      <c r="G385" s="12" t="str">
        <f aca="false">IF(OR($F385="Neutre",$C385="Passif"),$E385,INDEX(Bases!$D$5:$D$83,$T385)&amp;" "&amp;INDEX(Éléments!$D$5:$D$14,$U385))</f>
        <v>Tir mortel d'acide</v>
      </c>
      <c r="H385" s="10" t="str">
        <f aca="false">INDEX(Bases!$G$5:$G$83,$T385)</f>
        <v>Mono</v>
      </c>
      <c r="I385" s="13" t="n">
        <f aca="false">INDEX(Bases!$H$5:$H$83,$T385)</f>
        <v>3</v>
      </c>
      <c r="J385" s="10" t="str">
        <f aca="false">INDEX(Bases!$I$5:$I$83,$T385)</f>
        <v>Oui</v>
      </c>
      <c r="K385" s="14" t="n">
        <f aca="false">INDEX(Bases!$J$5:$J$83,$T385)</f>
        <v>2.8</v>
      </c>
      <c r="L385" s="10" t="str">
        <f aca="false">INDEX(Bases!$K$5:$K$83,$T385)</f>
        <v>Force</v>
      </c>
      <c r="M385" s="11" t="str">
        <f aca="false">INDEX(Bases!$L$5:$L$83,$T385)</f>
        <v>Coup critique garanti.</v>
      </c>
      <c r="N385" s="11" t="str">
        <f aca="false">IF($C385="Passif","—",IF($C385="Attaque (arme 1)",INDEX(Éléments!$F$5:$F$14,$U385),INDEX(Éléments!$G$5:$G$14,$U385)))</f>
        <v>50 % : 1 pile de Corrosion (−5 % Armure par pile, 4 piles max, 3 tours).</v>
      </c>
      <c r="O385" s="10" t="str">
        <f aca="false">INDEX(Bases!$M$5:$M$83,$T385)</f>
        <v>Active</v>
      </c>
      <c r="P385" s="13" t="n">
        <f aca="false">INDEX(Bases!$N$5:$N$83,$T385)</f>
        <v>30</v>
      </c>
      <c r="Q385" s="15" t="n">
        <f aca="false">INDEX(Éléments!$C$5:$C$14,$U385)</f>
        <v>50</v>
      </c>
      <c r="R385" s="11" t="str">
        <f aca="false">"Niv. "&amp;$P385&amp;IF($Q385&gt;0," · étage "&amp;$Q385&amp;" terminé","")</f>
        <v>Niv. 30 · étage 50 terminé</v>
      </c>
      <c r="S385" s="14" t="n">
        <f aca="false">IF(ISNUMBER($I385),$K385*IF($H385="Zone",Paramètres!$B$8,1)/MAX(1,$I385),0)</f>
        <v>0.933333333333333</v>
      </c>
      <c r="T385" s="16" t="n">
        <v>53</v>
      </c>
      <c r="U385" s="16" t="n">
        <v>5</v>
      </c>
    </row>
    <row r="386" customFormat="false" ht="15" hidden="false" customHeight="true" outlineLevel="0" collapsed="false">
      <c r="A386" s="9" t="s">
        <v>455</v>
      </c>
      <c r="B386" s="10" t="str">
        <f aca="false">INDEX(Bases!$B$5:$B$83,$T386)</f>
        <v>Tireur</v>
      </c>
      <c r="C386" s="10" t="str">
        <f aca="false">INDEX(Bases!$E$5:$E$83,$T386)</f>
        <v>Attaque (arme 1)</v>
      </c>
      <c r="D386" s="10" t="str">
        <f aca="false">INDEX(Bases!$F$5:$F$83,$T386)</f>
        <v>Attaque</v>
      </c>
      <c r="E386" s="11" t="str">
        <f aca="false">INDEX(Bases!$C$5:$C$83,$T386)</f>
        <v>Tir mortel</v>
      </c>
      <c r="F386" s="10" t="str">
        <f aca="false">INDEX(Éléments!$A$5:$A$14,$U386)</f>
        <v>Eau</v>
      </c>
      <c r="G386" s="12" t="str">
        <f aca="false">IF(OR($F386="Neutre",$C386="Passif"),$E386,INDEX(Bases!$D$5:$D$83,$T386)&amp;" "&amp;INDEX(Éléments!$D$5:$D$14,$U386))</f>
        <v>Tir mortel d'eau</v>
      </c>
      <c r="H386" s="10" t="str">
        <f aca="false">INDEX(Bases!$G$5:$G$83,$T386)</f>
        <v>Mono</v>
      </c>
      <c r="I386" s="13" t="n">
        <f aca="false">INDEX(Bases!$H$5:$H$83,$T386)</f>
        <v>3</v>
      </c>
      <c r="J386" s="10" t="str">
        <f aca="false">INDEX(Bases!$I$5:$I$83,$T386)</f>
        <v>Oui</v>
      </c>
      <c r="K386" s="14" t="n">
        <f aca="false">INDEX(Bases!$J$5:$J$83,$T386)</f>
        <v>2.8</v>
      </c>
      <c r="L386" s="10" t="str">
        <f aca="false">INDEX(Bases!$K$5:$K$83,$T386)</f>
        <v>Force</v>
      </c>
      <c r="M386" s="11" t="str">
        <f aca="false">INDEX(Bases!$L$5:$L$83,$T386)</f>
        <v>Coup critique garanti.</v>
      </c>
      <c r="N386" s="11" t="str">
        <f aca="false">IF($C386="Passif","—",IF($C386="Attaque (arme 1)",INDEX(Éléments!$F$5:$F$14,$U386),INDEX(Éléments!$G$5:$G$14,$U386)))</f>
        <v>50 % : Mouillé (+25 % de dégâts d'Électricité subis, retire Brûlure, 3 tours).</v>
      </c>
      <c r="O386" s="10" t="str">
        <f aca="false">INDEX(Bases!$M$5:$M$83,$T386)</f>
        <v>Active</v>
      </c>
      <c r="P386" s="13" t="n">
        <f aca="false">INDEX(Bases!$N$5:$N$83,$T386)</f>
        <v>30</v>
      </c>
      <c r="Q386" s="15" t="n">
        <f aca="false">INDEX(Éléments!$C$5:$C$14,$U386)</f>
        <v>60</v>
      </c>
      <c r="R386" s="11" t="str">
        <f aca="false">"Niv. "&amp;$P386&amp;IF($Q386&gt;0," · étage "&amp;$Q386&amp;" terminé","")</f>
        <v>Niv. 30 · étage 60 terminé</v>
      </c>
      <c r="S386" s="14" t="n">
        <f aca="false">IF(ISNUMBER($I386),$K386*IF($H386="Zone",Paramètres!$B$8,1)/MAX(1,$I386),0)</f>
        <v>0.933333333333333</v>
      </c>
      <c r="T386" s="16" t="n">
        <v>53</v>
      </c>
      <c r="U386" s="16" t="n">
        <v>6</v>
      </c>
    </row>
    <row r="387" customFormat="false" ht="15" hidden="false" customHeight="true" outlineLevel="0" collapsed="false">
      <c r="A387" s="9" t="s">
        <v>456</v>
      </c>
      <c r="B387" s="10" t="str">
        <f aca="false">INDEX(Bases!$B$5:$B$83,$T387)</f>
        <v>Tireur</v>
      </c>
      <c r="C387" s="10" t="str">
        <f aca="false">INDEX(Bases!$E$5:$E$83,$T387)</f>
        <v>Attaque (arme 1)</v>
      </c>
      <c r="D387" s="10" t="str">
        <f aca="false">INDEX(Bases!$F$5:$F$83,$T387)</f>
        <v>Attaque</v>
      </c>
      <c r="E387" s="11" t="str">
        <f aca="false">INDEX(Bases!$C$5:$C$83,$T387)</f>
        <v>Tir mortel</v>
      </c>
      <c r="F387" s="10" t="str">
        <f aca="false">INDEX(Éléments!$A$5:$A$14,$U387)</f>
        <v>Glace</v>
      </c>
      <c r="G387" s="12" t="str">
        <f aca="false">IF(OR($F387="Neutre",$C387="Passif"),$E387,INDEX(Bases!$D$5:$D$83,$T387)&amp;" "&amp;INDEX(Éléments!$D$5:$D$14,$U387))</f>
        <v>Tir mortel de glace</v>
      </c>
      <c r="H387" s="10" t="str">
        <f aca="false">INDEX(Bases!$G$5:$G$83,$T387)</f>
        <v>Mono</v>
      </c>
      <c r="I387" s="13" t="n">
        <f aca="false">INDEX(Bases!$H$5:$H$83,$T387)</f>
        <v>3</v>
      </c>
      <c r="J387" s="10" t="str">
        <f aca="false">INDEX(Bases!$I$5:$I$83,$T387)</f>
        <v>Oui</v>
      </c>
      <c r="K387" s="14" t="n">
        <f aca="false">INDEX(Bases!$J$5:$J$83,$T387)</f>
        <v>2.8</v>
      </c>
      <c r="L387" s="10" t="str">
        <f aca="false">INDEX(Bases!$K$5:$K$83,$T387)</f>
        <v>Force</v>
      </c>
      <c r="M387" s="11" t="str">
        <f aca="false">INDEX(Bases!$L$5:$L$83,$T387)</f>
        <v>Coup critique garanti.</v>
      </c>
      <c r="N387" s="11" t="str">
        <f aca="false">IF($C387="Passif","—",IF($C387="Attaque (arme 1)",INDEX(Éléments!$F$5:$F$14,$U387),INDEX(Éléments!$G$5:$G$14,$U387)))</f>
        <v>40 % : 1 pile de Froid (−8 % Agilité ; à 3 piles : Gel, la cible perd 1 tour).</v>
      </c>
      <c r="O387" s="10" t="str">
        <f aca="false">INDEX(Bases!$M$5:$M$83,$T387)</f>
        <v>Active</v>
      </c>
      <c r="P387" s="13" t="n">
        <f aca="false">INDEX(Bases!$N$5:$N$83,$T387)</f>
        <v>30</v>
      </c>
      <c r="Q387" s="15" t="n">
        <f aca="false">INDEX(Éléments!$C$5:$C$14,$U387)</f>
        <v>70</v>
      </c>
      <c r="R387" s="11" t="str">
        <f aca="false">"Niv. "&amp;$P387&amp;IF($Q387&gt;0," · étage "&amp;$Q387&amp;" terminé","")</f>
        <v>Niv. 30 · étage 70 terminé</v>
      </c>
      <c r="S387" s="14" t="n">
        <f aca="false">IF(ISNUMBER($I387),$K387*IF($H387="Zone",Paramètres!$B$8,1)/MAX(1,$I387),0)</f>
        <v>0.933333333333333</v>
      </c>
      <c r="T387" s="16" t="n">
        <v>53</v>
      </c>
      <c r="U387" s="16" t="n">
        <v>7</v>
      </c>
    </row>
    <row r="388" customFormat="false" ht="15" hidden="false" customHeight="true" outlineLevel="0" collapsed="false">
      <c r="A388" s="9" t="s">
        <v>457</v>
      </c>
      <c r="B388" s="10" t="str">
        <f aca="false">INDEX(Bases!$B$5:$B$83,$T388)</f>
        <v>Tireur</v>
      </c>
      <c r="C388" s="10" t="str">
        <f aca="false">INDEX(Bases!$E$5:$E$83,$T388)</f>
        <v>Attaque (arme 1)</v>
      </c>
      <c r="D388" s="10" t="str">
        <f aca="false">INDEX(Bases!$F$5:$F$83,$T388)</f>
        <v>Attaque</v>
      </c>
      <c r="E388" s="11" t="str">
        <f aca="false">INDEX(Bases!$C$5:$C$83,$T388)</f>
        <v>Tir mortel</v>
      </c>
      <c r="F388" s="10" t="str">
        <f aca="false">INDEX(Éléments!$A$5:$A$14,$U388)</f>
        <v>Électricité</v>
      </c>
      <c r="G388" s="12" t="str">
        <f aca="false">IF(OR($F388="Neutre",$C388="Passif"),$E388,INDEX(Bases!$D$5:$D$83,$T388)&amp;" "&amp;INDEX(Éléments!$D$5:$D$14,$U388))</f>
        <v>Tir mortel de foudre</v>
      </c>
      <c r="H388" s="10" t="str">
        <f aca="false">INDEX(Bases!$G$5:$G$83,$T388)</f>
        <v>Mono</v>
      </c>
      <c r="I388" s="13" t="n">
        <f aca="false">INDEX(Bases!$H$5:$H$83,$T388)</f>
        <v>3</v>
      </c>
      <c r="J388" s="10" t="str">
        <f aca="false">INDEX(Bases!$I$5:$I$83,$T388)</f>
        <v>Oui</v>
      </c>
      <c r="K388" s="14" t="n">
        <f aca="false">INDEX(Bases!$J$5:$J$83,$T388)</f>
        <v>2.8</v>
      </c>
      <c r="L388" s="10" t="str">
        <f aca="false">INDEX(Bases!$K$5:$K$83,$T388)</f>
        <v>Force</v>
      </c>
      <c r="M388" s="11" t="str">
        <f aca="false">INDEX(Bases!$L$5:$L$83,$T388)</f>
        <v>Coup critique garanti.</v>
      </c>
      <c r="N388" s="11" t="str">
        <f aca="false">IF($C388="Passif","—",IF($C388="Attaque (arme 1)",INDEX(Éléments!$F$5:$F$14,$U388),INDEX(Éléments!$G$5:$G$14,$U388)))</f>
        <v>Rebondit sur 1 autre ennemi (40 % des dégâts) ; 10 % : Étourdissement (1 tour).</v>
      </c>
      <c r="O388" s="10" t="str">
        <f aca="false">INDEX(Bases!$M$5:$M$83,$T388)</f>
        <v>Active</v>
      </c>
      <c r="P388" s="13" t="n">
        <f aca="false">INDEX(Bases!$N$5:$N$83,$T388)</f>
        <v>30</v>
      </c>
      <c r="Q388" s="15" t="n">
        <f aca="false">INDEX(Éléments!$C$5:$C$14,$U388)</f>
        <v>80</v>
      </c>
      <c r="R388" s="11" t="str">
        <f aca="false">"Niv. "&amp;$P388&amp;IF($Q388&gt;0," · étage "&amp;$Q388&amp;" terminé","")</f>
        <v>Niv. 30 · étage 80 terminé</v>
      </c>
      <c r="S388" s="14" t="n">
        <f aca="false">IF(ISNUMBER($I388),$K388*IF($H388="Zone",Paramètres!$B$8,1)/MAX(1,$I388),0)</f>
        <v>0.933333333333333</v>
      </c>
      <c r="T388" s="16" t="n">
        <v>53</v>
      </c>
      <c r="U388" s="16" t="n">
        <v>8</v>
      </c>
    </row>
    <row r="389" customFormat="false" ht="15" hidden="false" customHeight="true" outlineLevel="0" collapsed="false">
      <c r="A389" s="9" t="s">
        <v>458</v>
      </c>
      <c r="B389" s="10" t="str">
        <f aca="false">INDEX(Bases!$B$5:$B$83,$T389)</f>
        <v>Tireur</v>
      </c>
      <c r="C389" s="10" t="str">
        <f aca="false">INDEX(Bases!$E$5:$E$83,$T389)</f>
        <v>Attaque (arme 1)</v>
      </c>
      <c r="D389" s="10" t="str">
        <f aca="false">INDEX(Bases!$F$5:$F$83,$T389)</f>
        <v>Attaque</v>
      </c>
      <c r="E389" s="11" t="str">
        <f aca="false">INDEX(Bases!$C$5:$C$83,$T389)</f>
        <v>Tir mortel</v>
      </c>
      <c r="F389" s="10" t="str">
        <f aca="false">INDEX(Éléments!$A$5:$A$14,$U389)</f>
        <v>Lumière</v>
      </c>
      <c r="G389" s="12" t="str">
        <f aca="false">IF(OR($F389="Neutre",$C389="Passif"),$E389,INDEX(Bases!$D$5:$D$83,$T389)&amp;" "&amp;INDEX(Éléments!$D$5:$D$14,$U389))</f>
        <v>Tir mortel de lumière</v>
      </c>
      <c r="H389" s="10" t="str">
        <f aca="false">INDEX(Bases!$G$5:$G$83,$T389)</f>
        <v>Mono</v>
      </c>
      <c r="I389" s="13" t="n">
        <f aca="false">INDEX(Bases!$H$5:$H$83,$T389)</f>
        <v>3</v>
      </c>
      <c r="J389" s="10" t="str">
        <f aca="false">INDEX(Bases!$I$5:$I$83,$T389)</f>
        <v>Oui</v>
      </c>
      <c r="K389" s="14" t="n">
        <f aca="false">INDEX(Bases!$J$5:$J$83,$T389)</f>
        <v>2.8</v>
      </c>
      <c r="L389" s="10" t="str">
        <f aca="false">INDEX(Bases!$K$5:$K$83,$T389)</f>
        <v>Force</v>
      </c>
      <c r="M389" s="11" t="str">
        <f aca="false">INDEX(Bases!$L$5:$L$83,$T389)</f>
        <v>Coup critique garanti.</v>
      </c>
      <c r="N389" s="11" t="str">
        <f aca="false">IF($C389="Passif","—",IF($C389="Attaque (arme 1)",INDEX(Éléments!$F$5:$F$14,$U389),INDEX(Éléments!$G$5:$G$14,$U389)))</f>
        <v>Soigne le lanceur de 5 % des dégâts infligés ; 25 % : Éblouissement (−20 % chance de critique, 2 tours).</v>
      </c>
      <c r="O389" s="10" t="str">
        <f aca="false">INDEX(Bases!$M$5:$M$83,$T389)</f>
        <v>Active</v>
      </c>
      <c r="P389" s="13" t="n">
        <f aca="false">INDEX(Bases!$N$5:$N$83,$T389)</f>
        <v>30</v>
      </c>
      <c r="Q389" s="15" t="n">
        <f aca="false">INDEX(Éléments!$C$5:$C$14,$U389)</f>
        <v>90</v>
      </c>
      <c r="R389" s="11" t="str">
        <f aca="false">"Niv. "&amp;$P389&amp;IF($Q389&gt;0," · étage "&amp;$Q389&amp;" terminé","")</f>
        <v>Niv. 30 · étage 90 terminé</v>
      </c>
      <c r="S389" s="14" t="n">
        <f aca="false">IF(ISNUMBER($I389),$K389*IF($H389="Zone",Paramètres!$B$8,1)/MAX(1,$I389),0)</f>
        <v>0.933333333333333</v>
      </c>
      <c r="T389" s="16" t="n">
        <v>53</v>
      </c>
      <c r="U389" s="16" t="n">
        <v>9</v>
      </c>
    </row>
    <row r="390" customFormat="false" ht="15" hidden="false" customHeight="true" outlineLevel="0" collapsed="false">
      <c r="A390" s="9" t="s">
        <v>459</v>
      </c>
      <c r="B390" s="10" t="str">
        <f aca="false">INDEX(Bases!$B$5:$B$83,$T390)</f>
        <v>Tireur</v>
      </c>
      <c r="C390" s="10" t="str">
        <f aca="false">INDEX(Bases!$E$5:$E$83,$T390)</f>
        <v>Attaque (arme 1)</v>
      </c>
      <c r="D390" s="10" t="str">
        <f aca="false">INDEX(Bases!$F$5:$F$83,$T390)</f>
        <v>Attaque</v>
      </c>
      <c r="E390" s="11" t="str">
        <f aca="false">INDEX(Bases!$C$5:$C$83,$T390)</f>
        <v>Tir mortel</v>
      </c>
      <c r="F390" s="10" t="str">
        <f aca="false">INDEX(Éléments!$A$5:$A$14,$U390)</f>
        <v>Ombre</v>
      </c>
      <c r="G390" s="12" t="str">
        <f aca="false">IF(OR($F390="Neutre",$C390="Passif"),$E390,INDEX(Bases!$D$5:$D$83,$T390)&amp;" "&amp;INDEX(Éléments!$D$5:$D$14,$U390))</f>
        <v>Tir mortel d'ombre</v>
      </c>
      <c r="H390" s="10" t="str">
        <f aca="false">INDEX(Bases!$G$5:$G$83,$T390)</f>
        <v>Mono</v>
      </c>
      <c r="I390" s="13" t="n">
        <f aca="false">INDEX(Bases!$H$5:$H$83,$T390)</f>
        <v>3</v>
      </c>
      <c r="J390" s="10" t="str">
        <f aca="false">INDEX(Bases!$I$5:$I$83,$T390)</f>
        <v>Oui</v>
      </c>
      <c r="K390" s="14" t="n">
        <f aca="false">INDEX(Bases!$J$5:$J$83,$T390)</f>
        <v>2.8</v>
      </c>
      <c r="L390" s="10" t="str">
        <f aca="false">INDEX(Bases!$K$5:$K$83,$T390)</f>
        <v>Force</v>
      </c>
      <c r="M390" s="11" t="str">
        <f aca="false">INDEX(Bases!$L$5:$L$83,$T390)</f>
        <v>Coup critique garanti.</v>
      </c>
      <c r="N390" s="11" t="str">
        <f aca="false">IF($C390="Passif","—",IF($C390="Attaque (arme 1)",INDEX(Éléments!$F$5:$F$14,$U390),INDEX(Éléments!$G$5:$G$14,$U390)))</f>
        <v>Vol de vie 5 % ; 30 % : Corruption (+10 % de dégâts subis, 2 tours).</v>
      </c>
      <c r="O390" s="10" t="str">
        <f aca="false">INDEX(Bases!$M$5:$M$83,$T390)</f>
        <v>Active</v>
      </c>
      <c r="P390" s="13" t="n">
        <f aca="false">INDEX(Bases!$N$5:$N$83,$T390)</f>
        <v>30</v>
      </c>
      <c r="Q390" s="15" t="n">
        <f aca="false">INDEX(Éléments!$C$5:$C$14,$U390)</f>
        <v>100</v>
      </c>
      <c r="R390" s="11" t="str">
        <f aca="false">"Niv. "&amp;$P390&amp;IF($Q390&gt;0," · étage "&amp;$Q390&amp;" terminé","")</f>
        <v>Niv. 30 · étage 100 terminé</v>
      </c>
      <c r="S390" s="14" t="n">
        <f aca="false">IF(ISNUMBER($I390),$K390*IF($H390="Zone",Paramètres!$B$8,1)/MAX(1,$I390),0)</f>
        <v>0.933333333333333</v>
      </c>
      <c r="T390" s="16" t="n">
        <v>53</v>
      </c>
      <c r="U390" s="16" t="n">
        <v>10</v>
      </c>
    </row>
    <row r="391" customFormat="false" ht="15" hidden="false" customHeight="true" outlineLevel="0" collapsed="false">
      <c r="A391" s="9" t="s">
        <v>460</v>
      </c>
      <c r="B391" s="10" t="str">
        <f aca="false">INDEX(Bases!$B$5:$B$83,$T391)</f>
        <v>Tireur</v>
      </c>
      <c r="C391" s="10" t="str">
        <f aca="false">INDEX(Bases!$E$5:$E$83,$T391)</f>
        <v>Attaque (arme 1)</v>
      </c>
      <c r="D391" s="10" t="str">
        <f aca="false">INDEX(Bases!$F$5:$F$83,$T391)</f>
        <v>Attaque</v>
      </c>
      <c r="E391" s="11" t="str">
        <f aca="false">INDEX(Bases!$C$5:$C$83,$T391)</f>
        <v>Averse de flèches</v>
      </c>
      <c r="F391" s="10" t="str">
        <f aca="false">INDEX(Éléments!$A$5:$A$14,$U391)</f>
        <v>Neutre</v>
      </c>
      <c r="G391" s="12" t="str">
        <f aca="false">IF(OR($F391="Neutre",$C391="Passif"),$E391,INDEX(Bases!$D$5:$D$83,$T391)&amp;" "&amp;INDEX(Éléments!$D$5:$D$14,$U391))</f>
        <v>Averse de flèches</v>
      </c>
      <c r="H391" s="10" t="str">
        <f aca="false">INDEX(Bases!$G$5:$G$83,$T391)</f>
        <v>Zone</v>
      </c>
      <c r="I391" s="13" t="n">
        <f aca="false">INDEX(Bases!$H$5:$H$83,$T391)</f>
        <v>3</v>
      </c>
      <c r="J391" s="10" t="str">
        <f aca="false">INDEX(Bases!$I$5:$I$83,$T391)</f>
        <v>Oui</v>
      </c>
      <c r="K391" s="14" t="n">
        <f aca="false">INDEX(Bases!$J$5:$J$83,$T391)</f>
        <v>1.5</v>
      </c>
      <c r="L391" s="10" t="str">
        <f aca="false">INDEX(Bases!$K$5:$K$83,$T391)</f>
        <v>Force</v>
      </c>
      <c r="M391" s="11" t="str">
        <f aca="false">INDEX(Bases!$L$5:$L$83,$T391)</f>
        <v>Frappe toute la vague deux fois (2 × 75 %).</v>
      </c>
      <c r="N391" s="11" t="str">
        <f aca="false">IF($C391="Passif","—",IF($C391="Attaque (arme 1)",INDEX(Éléments!$F$5:$F$14,$U391),INDEX(Éléments!$G$5:$G$14,$U391)))</f>
        <v>Aucune altération ; ignore 10 % de la Résistance de la cible. Fiable contre tous les biomes.</v>
      </c>
      <c r="O391" s="10" t="str">
        <f aca="false">INDEX(Bases!$M$5:$M$83,$T391)</f>
        <v>Active</v>
      </c>
      <c r="P391" s="13" t="n">
        <f aca="false">INDEX(Bases!$N$5:$N$83,$T391)</f>
        <v>60</v>
      </c>
      <c r="Q391" s="15" t="n">
        <f aca="false">INDEX(Éléments!$C$5:$C$14,$U391)</f>
        <v>0</v>
      </c>
      <c r="R391" s="11" t="str">
        <f aca="false">"Niv. "&amp;$P391&amp;IF($Q391&gt;0," · étage "&amp;$Q391&amp;" terminé","")</f>
        <v>Niv. 60</v>
      </c>
      <c r="S391" s="14" t="n">
        <f aca="false">IF(ISNUMBER($I391),$K391*IF($H391="Zone",Paramètres!$B$8,1)/MAX(1,$I391),0)</f>
        <v>1.5</v>
      </c>
      <c r="T391" s="16" t="n">
        <v>54</v>
      </c>
      <c r="U391" s="16" t="n">
        <v>1</v>
      </c>
    </row>
    <row r="392" customFormat="false" ht="15" hidden="false" customHeight="true" outlineLevel="0" collapsed="false">
      <c r="A392" s="9" t="s">
        <v>461</v>
      </c>
      <c r="B392" s="10" t="str">
        <f aca="false">INDEX(Bases!$B$5:$B$83,$T392)</f>
        <v>Tireur</v>
      </c>
      <c r="C392" s="10" t="str">
        <f aca="false">INDEX(Bases!$E$5:$E$83,$T392)</f>
        <v>Attaque (arme 1)</v>
      </c>
      <c r="D392" s="10" t="str">
        <f aca="false">INDEX(Bases!$F$5:$F$83,$T392)</f>
        <v>Attaque</v>
      </c>
      <c r="E392" s="11" t="str">
        <f aca="false">INDEX(Bases!$C$5:$C$83,$T392)</f>
        <v>Averse de flèches</v>
      </c>
      <c r="F392" s="10" t="str">
        <f aca="false">INDEX(Éléments!$A$5:$A$14,$U392)</f>
        <v>Terre</v>
      </c>
      <c r="G392" s="12" t="str">
        <f aca="false">IF(OR($F392="Neutre",$C392="Passif"),$E392,INDEX(Bases!$D$5:$D$83,$T392)&amp;" "&amp;INDEX(Éléments!$D$5:$D$14,$U392))</f>
        <v>Averse de pierre</v>
      </c>
      <c r="H392" s="10" t="str">
        <f aca="false">INDEX(Bases!$G$5:$G$83,$T392)</f>
        <v>Zone</v>
      </c>
      <c r="I392" s="13" t="n">
        <f aca="false">INDEX(Bases!$H$5:$H$83,$T392)</f>
        <v>3</v>
      </c>
      <c r="J392" s="10" t="str">
        <f aca="false">INDEX(Bases!$I$5:$I$83,$T392)</f>
        <v>Oui</v>
      </c>
      <c r="K392" s="14" t="n">
        <f aca="false">INDEX(Bases!$J$5:$J$83,$T392)</f>
        <v>1.5</v>
      </c>
      <c r="L392" s="10" t="str">
        <f aca="false">INDEX(Bases!$K$5:$K$83,$T392)</f>
        <v>Force</v>
      </c>
      <c r="M392" s="11" t="str">
        <f aca="false">INDEX(Bases!$L$5:$L$83,$T392)</f>
        <v>Frappe toute la vague deux fois (2 × 75 %).</v>
      </c>
      <c r="N392" s="11" t="str">
        <f aca="false">IF($C392="Passif","—",IF($C392="Attaque (arme 1)",INDEX(Éléments!$F$5:$F$14,$U392),INDEX(Éléments!$G$5:$G$14,$U392)))</f>
        <v>30 % : Garde brisée (−15 % Résistance, 2 tours).</v>
      </c>
      <c r="O392" s="10" t="str">
        <f aca="false">INDEX(Bases!$M$5:$M$83,$T392)</f>
        <v>Active</v>
      </c>
      <c r="P392" s="13" t="n">
        <f aca="false">INDEX(Bases!$N$5:$N$83,$T392)</f>
        <v>60</v>
      </c>
      <c r="Q392" s="15" t="n">
        <f aca="false">INDEX(Éléments!$C$5:$C$14,$U392)</f>
        <v>20</v>
      </c>
      <c r="R392" s="11" t="str">
        <f aca="false">"Niv. "&amp;$P392&amp;IF($Q392&gt;0," · étage "&amp;$Q392&amp;" terminé","")</f>
        <v>Niv. 60 · étage 20 terminé</v>
      </c>
      <c r="S392" s="14" t="n">
        <f aca="false">IF(ISNUMBER($I392),$K392*IF($H392="Zone",Paramètres!$B$8,1)/MAX(1,$I392),0)</f>
        <v>1.5</v>
      </c>
      <c r="T392" s="16" t="n">
        <v>54</v>
      </c>
      <c r="U392" s="16" t="n">
        <v>2</v>
      </c>
    </row>
    <row r="393" customFormat="false" ht="15" hidden="false" customHeight="true" outlineLevel="0" collapsed="false">
      <c r="A393" s="9" t="s">
        <v>462</v>
      </c>
      <c r="B393" s="10" t="str">
        <f aca="false">INDEX(Bases!$B$5:$B$83,$T393)</f>
        <v>Tireur</v>
      </c>
      <c r="C393" s="10" t="str">
        <f aca="false">INDEX(Bases!$E$5:$E$83,$T393)</f>
        <v>Attaque (arme 1)</v>
      </c>
      <c r="D393" s="10" t="str">
        <f aca="false">INDEX(Bases!$F$5:$F$83,$T393)</f>
        <v>Attaque</v>
      </c>
      <c r="E393" s="11" t="str">
        <f aca="false">INDEX(Bases!$C$5:$C$83,$T393)</f>
        <v>Averse de flèches</v>
      </c>
      <c r="F393" s="10" t="str">
        <f aca="false">INDEX(Éléments!$A$5:$A$14,$U393)</f>
        <v>Feu</v>
      </c>
      <c r="G393" s="12" t="str">
        <f aca="false">IF(OR($F393="Neutre",$C393="Passif"),$E393,INDEX(Bases!$D$5:$D$83,$T393)&amp;" "&amp;INDEX(Éléments!$D$5:$D$14,$U393))</f>
        <v>Averse de feu</v>
      </c>
      <c r="H393" s="10" t="str">
        <f aca="false">INDEX(Bases!$G$5:$G$83,$T393)</f>
        <v>Zone</v>
      </c>
      <c r="I393" s="13" t="n">
        <f aca="false">INDEX(Bases!$H$5:$H$83,$T393)</f>
        <v>3</v>
      </c>
      <c r="J393" s="10" t="str">
        <f aca="false">INDEX(Bases!$I$5:$I$83,$T393)</f>
        <v>Oui</v>
      </c>
      <c r="K393" s="14" t="n">
        <f aca="false">INDEX(Bases!$J$5:$J$83,$T393)</f>
        <v>1.5</v>
      </c>
      <c r="L393" s="10" t="str">
        <f aca="false">INDEX(Bases!$K$5:$K$83,$T393)</f>
        <v>Force</v>
      </c>
      <c r="M393" s="11" t="str">
        <f aca="false">INDEX(Bases!$L$5:$L$83,$T393)</f>
        <v>Frappe toute la vague deux fois (2 × 75 %).</v>
      </c>
      <c r="N393" s="11" t="str">
        <f aca="false">IF($C393="Passif","—",IF($C393="Attaque (arme 1)",INDEX(Éléments!$F$5:$F$14,$U393),INDEX(Éléments!$G$5:$G$14,$U393)))</f>
        <v>35 % : Brûlure (8 % de la stat d'attaque par tour, 3 tours, non cumulable).</v>
      </c>
      <c r="O393" s="10" t="str">
        <f aca="false">INDEX(Bases!$M$5:$M$83,$T393)</f>
        <v>Active</v>
      </c>
      <c r="P393" s="13" t="n">
        <f aca="false">INDEX(Bases!$N$5:$N$83,$T393)</f>
        <v>60</v>
      </c>
      <c r="Q393" s="15" t="n">
        <f aca="false">INDEX(Éléments!$C$5:$C$14,$U393)</f>
        <v>30</v>
      </c>
      <c r="R393" s="11" t="str">
        <f aca="false">"Niv. "&amp;$P393&amp;IF($Q393&gt;0," · étage "&amp;$Q393&amp;" terminé","")</f>
        <v>Niv. 60 · étage 30 terminé</v>
      </c>
      <c r="S393" s="14" t="n">
        <f aca="false">IF(ISNUMBER($I393),$K393*IF($H393="Zone",Paramètres!$B$8,1)/MAX(1,$I393),0)</f>
        <v>1.5</v>
      </c>
      <c r="T393" s="16" t="n">
        <v>54</v>
      </c>
      <c r="U393" s="16" t="n">
        <v>3</v>
      </c>
    </row>
    <row r="394" customFormat="false" ht="15" hidden="false" customHeight="true" outlineLevel="0" collapsed="false">
      <c r="A394" s="9" t="s">
        <v>463</v>
      </c>
      <c r="B394" s="10" t="str">
        <f aca="false">INDEX(Bases!$B$5:$B$83,$T394)</f>
        <v>Tireur</v>
      </c>
      <c r="C394" s="10" t="str">
        <f aca="false">INDEX(Bases!$E$5:$E$83,$T394)</f>
        <v>Attaque (arme 1)</v>
      </c>
      <c r="D394" s="10" t="str">
        <f aca="false">INDEX(Bases!$F$5:$F$83,$T394)</f>
        <v>Attaque</v>
      </c>
      <c r="E394" s="11" t="str">
        <f aca="false">INDEX(Bases!$C$5:$C$83,$T394)</f>
        <v>Averse de flèches</v>
      </c>
      <c r="F394" s="10" t="str">
        <f aca="false">INDEX(Éléments!$A$5:$A$14,$U394)</f>
        <v>Vent</v>
      </c>
      <c r="G394" s="12" t="str">
        <f aca="false">IF(OR($F394="Neutre",$C394="Passif"),$E394,INDEX(Bases!$D$5:$D$83,$T394)&amp;" "&amp;INDEX(Éléments!$D$5:$D$14,$U394))</f>
        <v>Averse de vent</v>
      </c>
      <c r="H394" s="10" t="str">
        <f aca="false">INDEX(Bases!$G$5:$G$83,$T394)</f>
        <v>Zone</v>
      </c>
      <c r="I394" s="13" t="n">
        <f aca="false">INDEX(Bases!$H$5:$H$83,$T394)</f>
        <v>3</v>
      </c>
      <c r="J394" s="10" t="str">
        <f aca="false">INDEX(Bases!$I$5:$I$83,$T394)</f>
        <v>Oui</v>
      </c>
      <c r="K394" s="14" t="n">
        <f aca="false">INDEX(Bases!$J$5:$J$83,$T394)</f>
        <v>1.5</v>
      </c>
      <c r="L394" s="10" t="str">
        <f aca="false">INDEX(Bases!$K$5:$K$83,$T394)</f>
        <v>Force</v>
      </c>
      <c r="M394" s="11" t="str">
        <f aca="false">INDEX(Bases!$L$5:$L$83,$T394)</f>
        <v>Frappe toute la vague deux fois (2 × 75 %).</v>
      </c>
      <c r="N394" s="11" t="str">
        <f aca="false">IF($C394="Passif","—",IF($C394="Attaque (arme 1)",INDEX(Éléments!$F$5:$F$14,$U394),INDEX(Éléments!$G$5:$G$14,$U394)))</f>
        <v>+10 % de chance de critique ; 30 % : Désorienté (−15 % Précision, 2 tours).</v>
      </c>
      <c r="O394" s="10" t="str">
        <f aca="false">INDEX(Bases!$M$5:$M$83,$T394)</f>
        <v>Active</v>
      </c>
      <c r="P394" s="13" t="n">
        <f aca="false">INDEX(Bases!$N$5:$N$83,$T394)</f>
        <v>60</v>
      </c>
      <c r="Q394" s="15" t="n">
        <f aca="false">INDEX(Éléments!$C$5:$C$14,$U394)</f>
        <v>40</v>
      </c>
      <c r="R394" s="11" t="str">
        <f aca="false">"Niv. "&amp;$P394&amp;IF($Q394&gt;0," · étage "&amp;$Q394&amp;" terminé","")</f>
        <v>Niv. 60 · étage 40 terminé</v>
      </c>
      <c r="S394" s="14" t="n">
        <f aca="false">IF(ISNUMBER($I394),$K394*IF($H394="Zone",Paramètres!$B$8,1)/MAX(1,$I394),0)</f>
        <v>1.5</v>
      </c>
      <c r="T394" s="16" t="n">
        <v>54</v>
      </c>
      <c r="U394" s="16" t="n">
        <v>4</v>
      </c>
    </row>
    <row r="395" customFormat="false" ht="15" hidden="false" customHeight="true" outlineLevel="0" collapsed="false">
      <c r="A395" s="9" t="s">
        <v>464</v>
      </c>
      <c r="B395" s="10" t="str">
        <f aca="false">INDEX(Bases!$B$5:$B$83,$T395)</f>
        <v>Tireur</v>
      </c>
      <c r="C395" s="10" t="str">
        <f aca="false">INDEX(Bases!$E$5:$E$83,$T395)</f>
        <v>Attaque (arme 1)</v>
      </c>
      <c r="D395" s="10" t="str">
        <f aca="false">INDEX(Bases!$F$5:$F$83,$T395)</f>
        <v>Attaque</v>
      </c>
      <c r="E395" s="11" t="str">
        <f aca="false">INDEX(Bases!$C$5:$C$83,$T395)</f>
        <v>Averse de flèches</v>
      </c>
      <c r="F395" s="10" t="str">
        <f aca="false">INDEX(Éléments!$A$5:$A$14,$U395)</f>
        <v>Acide</v>
      </c>
      <c r="G395" s="12" t="str">
        <f aca="false">IF(OR($F395="Neutre",$C395="Passif"),$E395,INDEX(Bases!$D$5:$D$83,$T395)&amp;" "&amp;INDEX(Éléments!$D$5:$D$14,$U395))</f>
        <v>Averse d'acide</v>
      </c>
      <c r="H395" s="10" t="str">
        <f aca="false">INDEX(Bases!$G$5:$G$83,$T395)</f>
        <v>Zone</v>
      </c>
      <c r="I395" s="13" t="n">
        <f aca="false">INDEX(Bases!$H$5:$H$83,$T395)</f>
        <v>3</v>
      </c>
      <c r="J395" s="10" t="str">
        <f aca="false">INDEX(Bases!$I$5:$I$83,$T395)</f>
        <v>Oui</v>
      </c>
      <c r="K395" s="14" t="n">
        <f aca="false">INDEX(Bases!$J$5:$J$83,$T395)</f>
        <v>1.5</v>
      </c>
      <c r="L395" s="10" t="str">
        <f aca="false">INDEX(Bases!$K$5:$K$83,$T395)</f>
        <v>Force</v>
      </c>
      <c r="M395" s="11" t="str">
        <f aca="false">INDEX(Bases!$L$5:$L$83,$T395)</f>
        <v>Frappe toute la vague deux fois (2 × 75 %).</v>
      </c>
      <c r="N395" s="11" t="str">
        <f aca="false">IF($C395="Passif","—",IF($C395="Attaque (arme 1)",INDEX(Éléments!$F$5:$F$14,$U395),INDEX(Éléments!$G$5:$G$14,$U395)))</f>
        <v>50 % : 1 pile de Corrosion (−5 % Armure par pile, 4 piles max, 3 tours).</v>
      </c>
      <c r="O395" s="10" t="str">
        <f aca="false">INDEX(Bases!$M$5:$M$83,$T395)</f>
        <v>Active</v>
      </c>
      <c r="P395" s="13" t="n">
        <f aca="false">INDEX(Bases!$N$5:$N$83,$T395)</f>
        <v>60</v>
      </c>
      <c r="Q395" s="15" t="n">
        <f aca="false">INDEX(Éléments!$C$5:$C$14,$U395)</f>
        <v>50</v>
      </c>
      <c r="R395" s="11" t="str">
        <f aca="false">"Niv. "&amp;$P395&amp;IF($Q395&gt;0," · étage "&amp;$Q395&amp;" terminé","")</f>
        <v>Niv. 60 · étage 50 terminé</v>
      </c>
      <c r="S395" s="14" t="n">
        <f aca="false">IF(ISNUMBER($I395),$K395*IF($H395="Zone",Paramètres!$B$8,1)/MAX(1,$I395),0)</f>
        <v>1.5</v>
      </c>
      <c r="T395" s="16" t="n">
        <v>54</v>
      </c>
      <c r="U395" s="16" t="n">
        <v>5</v>
      </c>
    </row>
    <row r="396" customFormat="false" ht="15" hidden="false" customHeight="true" outlineLevel="0" collapsed="false">
      <c r="A396" s="9" t="s">
        <v>465</v>
      </c>
      <c r="B396" s="10" t="str">
        <f aca="false">INDEX(Bases!$B$5:$B$83,$T396)</f>
        <v>Tireur</v>
      </c>
      <c r="C396" s="10" t="str">
        <f aca="false">INDEX(Bases!$E$5:$E$83,$T396)</f>
        <v>Attaque (arme 1)</v>
      </c>
      <c r="D396" s="10" t="str">
        <f aca="false">INDEX(Bases!$F$5:$F$83,$T396)</f>
        <v>Attaque</v>
      </c>
      <c r="E396" s="11" t="str">
        <f aca="false">INDEX(Bases!$C$5:$C$83,$T396)</f>
        <v>Averse de flèches</v>
      </c>
      <c r="F396" s="10" t="str">
        <f aca="false">INDEX(Éléments!$A$5:$A$14,$U396)</f>
        <v>Eau</v>
      </c>
      <c r="G396" s="12" t="str">
        <f aca="false">IF(OR($F396="Neutre",$C396="Passif"),$E396,INDEX(Bases!$D$5:$D$83,$T396)&amp;" "&amp;INDEX(Éléments!$D$5:$D$14,$U396))</f>
        <v>Averse d'eau</v>
      </c>
      <c r="H396" s="10" t="str">
        <f aca="false">INDEX(Bases!$G$5:$G$83,$T396)</f>
        <v>Zone</v>
      </c>
      <c r="I396" s="13" t="n">
        <f aca="false">INDEX(Bases!$H$5:$H$83,$T396)</f>
        <v>3</v>
      </c>
      <c r="J396" s="10" t="str">
        <f aca="false">INDEX(Bases!$I$5:$I$83,$T396)</f>
        <v>Oui</v>
      </c>
      <c r="K396" s="14" t="n">
        <f aca="false">INDEX(Bases!$J$5:$J$83,$T396)</f>
        <v>1.5</v>
      </c>
      <c r="L396" s="10" t="str">
        <f aca="false">INDEX(Bases!$K$5:$K$83,$T396)</f>
        <v>Force</v>
      </c>
      <c r="M396" s="11" t="str">
        <f aca="false">INDEX(Bases!$L$5:$L$83,$T396)</f>
        <v>Frappe toute la vague deux fois (2 × 75 %).</v>
      </c>
      <c r="N396" s="11" t="str">
        <f aca="false">IF($C396="Passif","—",IF($C396="Attaque (arme 1)",INDEX(Éléments!$F$5:$F$14,$U396),INDEX(Éléments!$G$5:$G$14,$U396)))</f>
        <v>50 % : Mouillé (+25 % de dégâts d'Électricité subis, retire Brûlure, 3 tours).</v>
      </c>
      <c r="O396" s="10" t="str">
        <f aca="false">INDEX(Bases!$M$5:$M$83,$T396)</f>
        <v>Active</v>
      </c>
      <c r="P396" s="13" t="n">
        <f aca="false">INDEX(Bases!$N$5:$N$83,$T396)</f>
        <v>60</v>
      </c>
      <c r="Q396" s="15" t="n">
        <f aca="false">INDEX(Éléments!$C$5:$C$14,$U396)</f>
        <v>60</v>
      </c>
      <c r="R396" s="11" t="str">
        <f aca="false">"Niv. "&amp;$P396&amp;IF($Q396&gt;0," · étage "&amp;$Q396&amp;" terminé","")</f>
        <v>Niv. 60 · étage 60 terminé</v>
      </c>
      <c r="S396" s="14" t="n">
        <f aca="false">IF(ISNUMBER($I396),$K396*IF($H396="Zone",Paramètres!$B$8,1)/MAX(1,$I396),0)</f>
        <v>1.5</v>
      </c>
      <c r="T396" s="16" t="n">
        <v>54</v>
      </c>
      <c r="U396" s="16" t="n">
        <v>6</v>
      </c>
    </row>
    <row r="397" customFormat="false" ht="15" hidden="false" customHeight="true" outlineLevel="0" collapsed="false">
      <c r="A397" s="9" t="s">
        <v>466</v>
      </c>
      <c r="B397" s="10" t="str">
        <f aca="false">INDEX(Bases!$B$5:$B$83,$T397)</f>
        <v>Tireur</v>
      </c>
      <c r="C397" s="10" t="str">
        <f aca="false">INDEX(Bases!$E$5:$E$83,$T397)</f>
        <v>Attaque (arme 1)</v>
      </c>
      <c r="D397" s="10" t="str">
        <f aca="false">INDEX(Bases!$F$5:$F$83,$T397)</f>
        <v>Attaque</v>
      </c>
      <c r="E397" s="11" t="str">
        <f aca="false">INDEX(Bases!$C$5:$C$83,$T397)</f>
        <v>Averse de flèches</v>
      </c>
      <c r="F397" s="10" t="str">
        <f aca="false">INDEX(Éléments!$A$5:$A$14,$U397)</f>
        <v>Glace</v>
      </c>
      <c r="G397" s="12" t="str">
        <f aca="false">IF(OR($F397="Neutre",$C397="Passif"),$E397,INDEX(Bases!$D$5:$D$83,$T397)&amp;" "&amp;INDEX(Éléments!$D$5:$D$14,$U397))</f>
        <v>Averse de glace</v>
      </c>
      <c r="H397" s="10" t="str">
        <f aca="false">INDEX(Bases!$G$5:$G$83,$T397)</f>
        <v>Zone</v>
      </c>
      <c r="I397" s="13" t="n">
        <f aca="false">INDEX(Bases!$H$5:$H$83,$T397)</f>
        <v>3</v>
      </c>
      <c r="J397" s="10" t="str">
        <f aca="false">INDEX(Bases!$I$5:$I$83,$T397)</f>
        <v>Oui</v>
      </c>
      <c r="K397" s="14" t="n">
        <f aca="false">INDEX(Bases!$J$5:$J$83,$T397)</f>
        <v>1.5</v>
      </c>
      <c r="L397" s="10" t="str">
        <f aca="false">INDEX(Bases!$K$5:$K$83,$T397)</f>
        <v>Force</v>
      </c>
      <c r="M397" s="11" t="str">
        <f aca="false">INDEX(Bases!$L$5:$L$83,$T397)</f>
        <v>Frappe toute la vague deux fois (2 × 75 %).</v>
      </c>
      <c r="N397" s="11" t="str">
        <f aca="false">IF($C397="Passif","—",IF($C397="Attaque (arme 1)",INDEX(Éléments!$F$5:$F$14,$U397),INDEX(Éléments!$G$5:$G$14,$U397)))</f>
        <v>40 % : 1 pile de Froid (−8 % Agilité ; à 3 piles : Gel, la cible perd 1 tour).</v>
      </c>
      <c r="O397" s="10" t="str">
        <f aca="false">INDEX(Bases!$M$5:$M$83,$T397)</f>
        <v>Active</v>
      </c>
      <c r="P397" s="13" t="n">
        <f aca="false">INDEX(Bases!$N$5:$N$83,$T397)</f>
        <v>60</v>
      </c>
      <c r="Q397" s="15" t="n">
        <f aca="false">INDEX(Éléments!$C$5:$C$14,$U397)</f>
        <v>70</v>
      </c>
      <c r="R397" s="11" t="str">
        <f aca="false">"Niv. "&amp;$P397&amp;IF($Q397&gt;0," · étage "&amp;$Q397&amp;" terminé","")</f>
        <v>Niv. 60 · étage 70 terminé</v>
      </c>
      <c r="S397" s="14" t="n">
        <f aca="false">IF(ISNUMBER($I397),$K397*IF($H397="Zone",Paramètres!$B$8,1)/MAX(1,$I397),0)</f>
        <v>1.5</v>
      </c>
      <c r="T397" s="16" t="n">
        <v>54</v>
      </c>
      <c r="U397" s="16" t="n">
        <v>7</v>
      </c>
    </row>
    <row r="398" customFormat="false" ht="15" hidden="false" customHeight="true" outlineLevel="0" collapsed="false">
      <c r="A398" s="9" t="s">
        <v>467</v>
      </c>
      <c r="B398" s="10" t="str">
        <f aca="false">INDEX(Bases!$B$5:$B$83,$T398)</f>
        <v>Tireur</v>
      </c>
      <c r="C398" s="10" t="str">
        <f aca="false">INDEX(Bases!$E$5:$E$83,$T398)</f>
        <v>Attaque (arme 1)</v>
      </c>
      <c r="D398" s="10" t="str">
        <f aca="false">INDEX(Bases!$F$5:$F$83,$T398)</f>
        <v>Attaque</v>
      </c>
      <c r="E398" s="11" t="str">
        <f aca="false">INDEX(Bases!$C$5:$C$83,$T398)</f>
        <v>Averse de flèches</v>
      </c>
      <c r="F398" s="10" t="str">
        <f aca="false">INDEX(Éléments!$A$5:$A$14,$U398)</f>
        <v>Électricité</v>
      </c>
      <c r="G398" s="12" t="str">
        <f aca="false">IF(OR($F398="Neutre",$C398="Passif"),$E398,INDEX(Bases!$D$5:$D$83,$T398)&amp;" "&amp;INDEX(Éléments!$D$5:$D$14,$U398))</f>
        <v>Averse de foudre</v>
      </c>
      <c r="H398" s="10" t="str">
        <f aca="false">INDEX(Bases!$G$5:$G$83,$T398)</f>
        <v>Zone</v>
      </c>
      <c r="I398" s="13" t="n">
        <f aca="false">INDEX(Bases!$H$5:$H$83,$T398)</f>
        <v>3</v>
      </c>
      <c r="J398" s="10" t="str">
        <f aca="false">INDEX(Bases!$I$5:$I$83,$T398)</f>
        <v>Oui</v>
      </c>
      <c r="K398" s="14" t="n">
        <f aca="false">INDEX(Bases!$J$5:$J$83,$T398)</f>
        <v>1.5</v>
      </c>
      <c r="L398" s="10" t="str">
        <f aca="false">INDEX(Bases!$K$5:$K$83,$T398)</f>
        <v>Force</v>
      </c>
      <c r="M398" s="11" t="str">
        <f aca="false">INDEX(Bases!$L$5:$L$83,$T398)</f>
        <v>Frappe toute la vague deux fois (2 × 75 %).</v>
      </c>
      <c r="N398" s="11" t="str">
        <f aca="false">IF($C398="Passif","—",IF($C398="Attaque (arme 1)",INDEX(Éléments!$F$5:$F$14,$U398),INDEX(Éléments!$G$5:$G$14,$U398)))</f>
        <v>Rebondit sur 1 autre ennemi (40 % des dégâts) ; 10 % : Étourdissement (1 tour).</v>
      </c>
      <c r="O398" s="10" t="str">
        <f aca="false">INDEX(Bases!$M$5:$M$83,$T398)</f>
        <v>Active</v>
      </c>
      <c r="P398" s="13" t="n">
        <f aca="false">INDEX(Bases!$N$5:$N$83,$T398)</f>
        <v>60</v>
      </c>
      <c r="Q398" s="15" t="n">
        <f aca="false">INDEX(Éléments!$C$5:$C$14,$U398)</f>
        <v>80</v>
      </c>
      <c r="R398" s="11" t="str">
        <f aca="false">"Niv. "&amp;$P398&amp;IF($Q398&gt;0," · étage "&amp;$Q398&amp;" terminé","")</f>
        <v>Niv. 60 · étage 80 terminé</v>
      </c>
      <c r="S398" s="14" t="n">
        <f aca="false">IF(ISNUMBER($I398),$K398*IF($H398="Zone",Paramètres!$B$8,1)/MAX(1,$I398),0)</f>
        <v>1.5</v>
      </c>
      <c r="T398" s="16" t="n">
        <v>54</v>
      </c>
      <c r="U398" s="16" t="n">
        <v>8</v>
      </c>
    </row>
    <row r="399" customFormat="false" ht="15" hidden="false" customHeight="true" outlineLevel="0" collapsed="false">
      <c r="A399" s="9" t="s">
        <v>468</v>
      </c>
      <c r="B399" s="10" t="str">
        <f aca="false">INDEX(Bases!$B$5:$B$83,$T399)</f>
        <v>Tireur</v>
      </c>
      <c r="C399" s="10" t="str">
        <f aca="false">INDEX(Bases!$E$5:$E$83,$T399)</f>
        <v>Attaque (arme 1)</v>
      </c>
      <c r="D399" s="10" t="str">
        <f aca="false">INDEX(Bases!$F$5:$F$83,$T399)</f>
        <v>Attaque</v>
      </c>
      <c r="E399" s="11" t="str">
        <f aca="false">INDEX(Bases!$C$5:$C$83,$T399)</f>
        <v>Averse de flèches</v>
      </c>
      <c r="F399" s="10" t="str">
        <f aca="false">INDEX(Éléments!$A$5:$A$14,$U399)</f>
        <v>Lumière</v>
      </c>
      <c r="G399" s="12" t="str">
        <f aca="false">IF(OR($F399="Neutre",$C399="Passif"),$E399,INDEX(Bases!$D$5:$D$83,$T399)&amp;" "&amp;INDEX(Éléments!$D$5:$D$14,$U399))</f>
        <v>Averse de lumière</v>
      </c>
      <c r="H399" s="10" t="str">
        <f aca="false">INDEX(Bases!$G$5:$G$83,$T399)</f>
        <v>Zone</v>
      </c>
      <c r="I399" s="13" t="n">
        <f aca="false">INDEX(Bases!$H$5:$H$83,$T399)</f>
        <v>3</v>
      </c>
      <c r="J399" s="10" t="str">
        <f aca="false">INDEX(Bases!$I$5:$I$83,$T399)</f>
        <v>Oui</v>
      </c>
      <c r="K399" s="14" t="n">
        <f aca="false">INDEX(Bases!$J$5:$J$83,$T399)</f>
        <v>1.5</v>
      </c>
      <c r="L399" s="10" t="str">
        <f aca="false">INDEX(Bases!$K$5:$K$83,$T399)</f>
        <v>Force</v>
      </c>
      <c r="M399" s="11" t="str">
        <f aca="false">INDEX(Bases!$L$5:$L$83,$T399)</f>
        <v>Frappe toute la vague deux fois (2 × 75 %).</v>
      </c>
      <c r="N399" s="11" t="str">
        <f aca="false">IF($C399="Passif","—",IF($C399="Attaque (arme 1)",INDEX(Éléments!$F$5:$F$14,$U399),INDEX(Éléments!$G$5:$G$14,$U399)))</f>
        <v>Soigne le lanceur de 5 % des dégâts infligés ; 25 % : Éblouissement (−20 % chance de critique, 2 tours).</v>
      </c>
      <c r="O399" s="10" t="str">
        <f aca="false">INDEX(Bases!$M$5:$M$83,$T399)</f>
        <v>Active</v>
      </c>
      <c r="P399" s="13" t="n">
        <f aca="false">INDEX(Bases!$N$5:$N$83,$T399)</f>
        <v>60</v>
      </c>
      <c r="Q399" s="15" t="n">
        <f aca="false">INDEX(Éléments!$C$5:$C$14,$U399)</f>
        <v>90</v>
      </c>
      <c r="R399" s="11" t="str">
        <f aca="false">"Niv. "&amp;$P399&amp;IF($Q399&gt;0," · étage "&amp;$Q399&amp;" terminé","")</f>
        <v>Niv. 60 · étage 90 terminé</v>
      </c>
      <c r="S399" s="14" t="n">
        <f aca="false">IF(ISNUMBER($I399),$K399*IF($H399="Zone",Paramètres!$B$8,1)/MAX(1,$I399),0)</f>
        <v>1.5</v>
      </c>
      <c r="T399" s="16" t="n">
        <v>54</v>
      </c>
      <c r="U399" s="16" t="n">
        <v>9</v>
      </c>
    </row>
    <row r="400" customFormat="false" ht="15" hidden="false" customHeight="true" outlineLevel="0" collapsed="false">
      <c r="A400" s="9" t="s">
        <v>469</v>
      </c>
      <c r="B400" s="10" t="str">
        <f aca="false">INDEX(Bases!$B$5:$B$83,$T400)</f>
        <v>Tireur</v>
      </c>
      <c r="C400" s="10" t="str">
        <f aca="false">INDEX(Bases!$E$5:$E$83,$T400)</f>
        <v>Attaque (arme 1)</v>
      </c>
      <c r="D400" s="10" t="str">
        <f aca="false">INDEX(Bases!$F$5:$F$83,$T400)</f>
        <v>Attaque</v>
      </c>
      <c r="E400" s="11" t="str">
        <f aca="false">INDEX(Bases!$C$5:$C$83,$T400)</f>
        <v>Averse de flèches</v>
      </c>
      <c r="F400" s="10" t="str">
        <f aca="false">INDEX(Éléments!$A$5:$A$14,$U400)</f>
        <v>Ombre</v>
      </c>
      <c r="G400" s="12" t="str">
        <f aca="false">IF(OR($F400="Neutre",$C400="Passif"),$E400,INDEX(Bases!$D$5:$D$83,$T400)&amp;" "&amp;INDEX(Éléments!$D$5:$D$14,$U400))</f>
        <v>Averse d'ombre</v>
      </c>
      <c r="H400" s="10" t="str">
        <f aca="false">INDEX(Bases!$G$5:$G$83,$T400)</f>
        <v>Zone</v>
      </c>
      <c r="I400" s="13" t="n">
        <f aca="false">INDEX(Bases!$H$5:$H$83,$T400)</f>
        <v>3</v>
      </c>
      <c r="J400" s="10" t="str">
        <f aca="false">INDEX(Bases!$I$5:$I$83,$T400)</f>
        <v>Oui</v>
      </c>
      <c r="K400" s="14" t="n">
        <f aca="false">INDEX(Bases!$J$5:$J$83,$T400)</f>
        <v>1.5</v>
      </c>
      <c r="L400" s="10" t="str">
        <f aca="false">INDEX(Bases!$K$5:$K$83,$T400)</f>
        <v>Force</v>
      </c>
      <c r="M400" s="11" t="str">
        <f aca="false">INDEX(Bases!$L$5:$L$83,$T400)</f>
        <v>Frappe toute la vague deux fois (2 × 75 %).</v>
      </c>
      <c r="N400" s="11" t="str">
        <f aca="false">IF($C400="Passif","—",IF($C400="Attaque (arme 1)",INDEX(Éléments!$F$5:$F$14,$U400),INDEX(Éléments!$G$5:$G$14,$U400)))</f>
        <v>Vol de vie 5 % ; 30 % : Corruption (+10 % de dégâts subis, 2 tours).</v>
      </c>
      <c r="O400" s="10" t="str">
        <f aca="false">INDEX(Bases!$M$5:$M$83,$T400)</f>
        <v>Active</v>
      </c>
      <c r="P400" s="13" t="n">
        <f aca="false">INDEX(Bases!$N$5:$N$83,$T400)</f>
        <v>60</v>
      </c>
      <c r="Q400" s="15" t="n">
        <f aca="false">INDEX(Éléments!$C$5:$C$14,$U400)</f>
        <v>100</v>
      </c>
      <c r="R400" s="11" t="str">
        <f aca="false">"Niv. "&amp;$P400&amp;IF($Q400&gt;0," · étage "&amp;$Q400&amp;" terminé","")</f>
        <v>Niv. 60 · étage 100 terminé</v>
      </c>
      <c r="S400" s="14" t="n">
        <f aca="false">IF(ISNUMBER($I400),$K400*IF($H400="Zone",Paramètres!$B$8,1)/MAX(1,$I400),0)</f>
        <v>1.5</v>
      </c>
      <c r="T400" s="16" t="n">
        <v>54</v>
      </c>
      <c r="U400" s="16" t="n">
        <v>10</v>
      </c>
    </row>
    <row r="401" customFormat="false" ht="15" hidden="false" customHeight="true" outlineLevel="0" collapsed="false">
      <c r="A401" s="9" t="s">
        <v>470</v>
      </c>
      <c r="B401" s="10" t="str">
        <f aca="false">INDEX(Bases!$B$5:$B$83,$T401)</f>
        <v>Tireur</v>
      </c>
      <c r="C401" s="10" t="str">
        <f aca="false">INDEX(Bases!$E$5:$E$83,$T401)</f>
        <v>Soutien (arme 2)</v>
      </c>
      <c r="D401" s="10" t="str">
        <f aca="false">INDEX(Bases!$F$5:$F$83,$T401)</f>
        <v>Buff</v>
      </c>
      <c r="E401" s="11" t="str">
        <f aca="false">INDEX(Bases!$C$5:$C$83,$T401)</f>
        <v>Œil de faucon</v>
      </c>
      <c r="F401" s="10" t="str">
        <f aca="false">INDEX(Éléments!$A$5:$A$14,$U401)</f>
        <v>Neutre</v>
      </c>
      <c r="G401" s="12" t="str">
        <f aca="false">IF(OR($F401="Neutre",$C401="Passif"),$E401,INDEX(Bases!$D$5:$D$83,$T401)&amp;" "&amp;INDEX(Éléments!$D$5:$D$14,$U401))</f>
        <v>Œil de faucon</v>
      </c>
      <c r="H401" s="10" t="str">
        <f aca="false">INDEX(Bases!$G$5:$G$83,$T401)</f>
        <v>Soi</v>
      </c>
      <c r="I401" s="13" t="n">
        <f aca="false">INDEX(Bases!$H$5:$H$83,$T401)</f>
        <v>2</v>
      </c>
      <c r="J401" s="10" t="str">
        <f aca="false">INDEX(Bases!$I$5:$I$83,$T401)</f>
        <v>Non</v>
      </c>
      <c r="K401" s="14" t="n">
        <f aca="false">INDEX(Bases!$J$5:$J$83,$T401)</f>
        <v>0</v>
      </c>
      <c r="L401" s="10" t="str">
        <f aca="false">INDEX(Bases!$K$5:$K$83,$T401)</f>
        <v>Force</v>
      </c>
      <c r="M401" s="11" t="str">
        <f aca="false">INDEX(Bases!$L$5:$L$83,$T401)</f>
        <v>+20 % de Précision et +15 % de chance de critique pendant 2 tours.</v>
      </c>
      <c r="N401" s="11" t="str">
        <f aca="false">IF($C401="Passif","—",IF($C401="Attaque (arme 1)",INDEX(Éléments!$F$5:$F$14,$U401),INDEX(Éléments!$G$5:$G$14,$U401)))</f>
        <v>Aucun bonus élémentaire : effet de base seul.</v>
      </c>
      <c r="O401" s="10" t="str">
        <f aca="false">INDEX(Bases!$M$5:$M$83,$T401)</f>
        <v>Active</v>
      </c>
      <c r="P401" s="13" t="n">
        <f aca="false">INDEX(Bases!$N$5:$N$83,$T401)</f>
        <v>5</v>
      </c>
      <c r="Q401" s="15" t="n">
        <f aca="false">INDEX(Éléments!$C$5:$C$14,$U401)</f>
        <v>0</v>
      </c>
      <c r="R401" s="11" t="str">
        <f aca="false">"Niv. "&amp;$P401&amp;IF($Q401&gt;0," · étage "&amp;$Q401&amp;" terminé","")</f>
        <v>Niv. 5</v>
      </c>
      <c r="S401" s="14" t="n">
        <f aca="false">IF(ISNUMBER($I401),$K401*IF($H401="Zone",Paramètres!$B$8,1)/MAX(1,$I401),0)</f>
        <v>0</v>
      </c>
      <c r="T401" s="16" t="n">
        <v>55</v>
      </c>
      <c r="U401" s="16" t="n">
        <v>1</v>
      </c>
    </row>
    <row r="402" customFormat="false" ht="15" hidden="false" customHeight="true" outlineLevel="0" collapsed="false">
      <c r="A402" s="9" t="s">
        <v>471</v>
      </c>
      <c r="B402" s="10" t="str">
        <f aca="false">INDEX(Bases!$B$5:$B$83,$T402)</f>
        <v>Tireur</v>
      </c>
      <c r="C402" s="10" t="str">
        <f aca="false">INDEX(Bases!$E$5:$E$83,$T402)</f>
        <v>Soutien (arme 2)</v>
      </c>
      <c r="D402" s="10" t="str">
        <f aca="false">INDEX(Bases!$F$5:$F$83,$T402)</f>
        <v>Buff</v>
      </c>
      <c r="E402" s="11" t="str">
        <f aca="false">INDEX(Bases!$C$5:$C$83,$T402)</f>
        <v>Œil de faucon</v>
      </c>
      <c r="F402" s="10" t="str">
        <f aca="false">INDEX(Éléments!$A$5:$A$14,$U402)</f>
        <v>Terre</v>
      </c>
      <c r="G402" s="12" t="str">
        <f aca="false">IF(OR($F402="Neutre",$C402="Passif"),$E402,INDEX(Bases!$D$5:$D$83,$T402)&amp;" "&amp;INDEX(Éléments!$D$5:$D$14,$U402))</f>
        <v>Œil de pierre</v>
      </c>
      <c r="H402" s="10" t="str">
        <f aca="false">INDEX(Bases!$G$5:$G$83,$T402)</f>
        <v>Soi</v>
      </c>
      <c r="I402" s="13" t="n">
        <f aca="false">INDEX(Bases!$H$5:$H$83,$T402)</f>
        <v>2</v>
      </c>
      <c r="J402" s="10" t="str">
        <f aca="false">INDEX(Bases!$I$5:$I$83,$T402)</f>
        <v>Non</v>
      </c>
      <c r="K402" s="14" t="n">
        <f aca="false">INDEX(Bases!$J$5:$J$83,$T402)</f>
        <v>0</v>
      </c>
      <c r="L402" s="10" t="str">
        <f aca="false">INDEX(Bases!$K$5:$K$83,$T402)</f>
        <v>Force</v>
      </c>
      <c r="M402" s="11" t="str">
        <f aca="false">INDEX(Bases!$L$5:$L$83,$T402)</f>
        <v>+20 % de Précision et +15 % de chance de critique pendant 2 tours.</v>
      </c>
      <c r="N402" s="11" t="str">
        <f aca="false">IF($C402="Passif","—",IF($C402="Attaque (arme 1)",INDEX(Éléments!$F$5:$F$14,$U402),INDEX(Éléments!$G$5:$G$14,$U402)))</f>
        <v>+15 % d'Armure pendant la durée de l'effet.</v>
      </c>
      <c r="O402" s="10" t="str">
        <f aca="false">INDEX(Bases!$M$5:$M$83,$T402)</f>
        <v>Active</v>
      </c>
      <c r="P402" s="13" t="n">
        <f aca="false">INDEX(Bases!$N$5:$N$83,$T402)</f>
        <v>5</v>
      </c>
      <c r="Q402" s="15" t="n">
        <f aca="false">INDEX(Éléments!$C$5:$C$14,$U402)</f>
        <v>20</v>
      </c>
      <c r="R402" s="11" t="str">
        <f aca="false">"Niv. "&amp;$P402&amp;IF($Q402&gt;0," · étage "&amp;$Q402&amp;" terminé","")</f>
        <v>Niv. 5 · étage 20 terminé</v>
      </c>
      <c r="S402" s="14" t="n">
        <f aca="false">IF(ISNUMBER($I402),$K402*IF($H402="Zone",Paramètres!$B$8,1)/MAX(1,$I402),0)</f>
        <v>0</v>
      </c>
      <c r="T402" s="16" t="n">
        <v>55</v>
      </c>
      <c r="U402" s="16" t="n">
        <v>2</v>
      </c>
    </row>
    <row r="403" customFormat="false" ht="15" hidden="false" customHeight="true" outlineLevel="0" collapsed="false">
      <c r="A403" s="9" t="s">
        <v>472</v>
      </c>
      <c r="B403" s="10" t="str">
        <f aca="false">INDEX(Bases!$B$5:$B$83,$T403)</f>
        <v>Tireur</v>
      </c>
      <c r="C403" s="10" t="str">
        <f aca="false">INDEX(Bases!$E$5:$E$83,$T403)</f>
        <v>Soutien (arme 2)</v>
      </c>
      <c r="D403" s="10" t="str">
        <f aca="false">INDEX(Bases!$F$5:$F$83,$T403)</f>
        <v>Buff</v>
      </c>
      <c r="E403" s="11" t="str">
        <f aca="false">INDEX(Bases!$C$5:$C$83,$T403)</f>
        <v>Œil de faucon</v>
      </c>
      <c r="F403" s="10" t="str">
        <f aca="false">INDEX(Éléments!$A$5:$A$14,$U403)</f>
        <v>Feu</v>
      </c>
      <c r="G403" s="12" t="str">
        <f aca="false">IF(OR($F403="Neutre",$C403="Passif"),$E403,INDEX(Bases!$D$5:$D$83,$T403)&amp;" "&amp;INDEX(Éléments!$D$5:$D$14,$U403))</f>
        <v>Œil de feu</v>
      </c>
      <c r="H403" s="10" t="str">
        <f aca="false">INDEX(Bases!$G$5:$G$83,$T403)</f>
        <v>Soi</v>
      </c>
      <c r="I403" s="13" t="n">
        <f aca="false">INDEX(Bases!$H$5:$H$83,$T403)</f>
        <v>2</v>
      </c>
      <c r="J403" s="10" t="str">
        <f aca="false">INDEX(Bases!$I$5:$I$83,$T403)</f>
        <v>Non</v>
      </c>
      <c r="K403" s="14" t="n">
        <f aca="false">INDEX(Bases!$J$5:$J$83,$T403)</f>
        <v>0</v>
      </c>
      <c r="L403" s="10" t="str">
        <f aca="false">INDEX(Bases!$K$5:$K$83,$T403)</f>
        <v>Force</v>
      </c>
      <c r="M403" s="11" t="str">
        <f aca="false">INDEX(Bases!$L$5:$L$83,$T403)</f>
        <v>+20 % de Précision et +15 % de chance de critique pendant 2 tours.</v>
      </c>
      <c r="N403" s="11" t="str">
        <f aca="false">IF($C403="Passif","—",IF($C403="Attaque (arme 1)",INDEX(Éléments!$F$5:$F$14,$U403),INDEX(Éléments!$G$5:$G$14,$U403)))</f>
        <v>Les ennemis qui frappent le lanceur ont 40 % de subir Brûlure (pendant la durée).</v>
      </c>
      <c r="O403" s="10" t="str">
        <f aca="false">INDEX(Bases!$M$5:$M$83,$T403)</f>
        <v>Active</v>
      </c>
      <c r="P403" s="13" t="n">
        <f aca="false">INDEX(Bases!$N$5:$N$83,$T403)</f>
        <v>5</v>
      </c>
      <c r="Q403" s="15" t="n">
        <f aca="false">INDEX(Éléments!$C$5:$C$14,$U403)</f>
        <v>30</v>
      </c>
      <c r="R403" s="11" t="str">
        <f aca="false">"Niv. "&amp;$P403&amp;IF($Q403&gt;0," · étage "&amp;$Q403&amp;" terminé","")</f>
        <v>Niv. 5 · étage 30 terminé</v>
      </c>
      <c r="S403" s="14" t="n">
        <f aca="false">IF(ISNUMBER($I403),$K403*IF($H403="Zone",Paramètres!$B$8,1)/MAX(1,$I403),0)</f>
        <v>0</v>
      </c>
      <c r="T403" s="16" t="n">
        <v>55</v>
      </c>
      <c r="U403" s="16" t="n">
        <v>3</v>
      </c>
    </row>
    <row r="404" customFormat="false" ht="15" hidden="false" customHeight="true" outlineLevel="0" collapsed="false">
      <c r="A404" s="9" t="s">
        <v>473</v>
      </c>
      <c r="B404" s="10" t="str">
        <f aca="false">INDEX(Bases!$B$5:$B$83,$T404)</f>
        <v>Tireur</v>
      </c>
      <c r="C404" s="10" t="str">
        <f aca="false">INDEX(Bases!$E$5:$E$83,$T404)</f>
        <v>Soutien (arme 2)</v>
      </c>
      <c r="D404" s="10" t="str">
        <f aca="false">INDEX(Bases!$F$5:$F$83,$T404)</f>
        <v>Buff</v>
      </c>
      <c r="E404" s="11" t="str">
        <f aca="false">INDEX(Bases!$C$5:$C$83,$T404)</f>
        <v>Œil de faucon</v>
      </c>
      <c r="F404" s="10" t="str">
        <f aca="false">INDEX(Éléments!$A$5:$A$14,$U404)</f>
        <v>Vent</v>
      </c>
      <c r="G404" s="12" t="str">
        <f aca="false">IF(OR($F404="Neutre",$C404="Passif"),$E404,INDEX(Bases!$D$5:$D$83,$T404)&amp;" "&amp;INDEX(Éléments!$D$5:$D$14,$U404))</f>
        <v>Œil de vent</v>
      </c>
      <c r="H404" s="10" t="str">
        <f aca="false">INDEX(Bases!$G$5:$G$83,$T404)</f>
        <v>Soi</v>
      </c>
      <c r="I404" s="13" t="n">
        <f aca="false">INDEX(Bases!$H$5:$H$83,$T404)</f>
        <v>2</v>
      </c>
      <c r="J404" s="10" t="str">
        <f aca="false">INDEX(Bases!$I$5:$I$83,$T404)</f>
        <v>Non</v>
      </c>
      <c r="K404" s="14" t="n">
        <f aca="false">INDEX(Bases!$J$5:$J$83,$T404)</f>
        <v>0</v>
      </c>
      <c r="L404" s="10" t="str">
        <f aca="false">INDEX(Bases!$K$5:$K$83,$T404)</f>
        <v>Force</v>
      </c>
      <c r="M404" s="11" t="str">
        <f aca="false">INDEX(Bases!$L$5:$L$83,$T404)</f>
        <v>+20 % de Précision et +15 % de chance de critique pendant 2 tours.</v>
      </c>
      <c r="N404" s="11" t="str">
        <f aca="false">IF($C404="Passif","—",IF($C404="Attaque (arme 1)",INDEX(Éléments!$F$5:$F$14,$U404),INDEX(Éléments!$G$5:$G$14,$U404)))</f>
        <v>+10 % d'Agilité (esquive) pendant la durée de l'effet.</v>
      </c>
      <c r="O404" s="10" t="str">
        <f aca="false">INDEX(Bases!$M$5:$M$83,$T404)</f>
        <v>Active</v>
      </c>
      <c r="P404" s="13" t="n">
        <f aca="false">INDEX(Bases!$N$5:$N$83,$T404)</f>
        <v>5</v>
      </c>
      <c r="Q404" s="15" t="n">
        <f aca="false">INDEX(Éléments!$C$5:$C$14,$U404)</f>
        <v>40</v>
      </c>
      <c r="R404" s="11" t="str">
        <f aca="false">"Niv. "&amp;$P404&amp;IF($Q404&gt;0," · étage "&amp;$Q404&amp;" terminé","")</f>
        <v>Niv. 5 · étage 40 terminé</v>
      </c>
      <c r="S404" s="14" t="n">
        <f aca="false">IF(ISNUMBER($I404),$K404*IF($H404="Zone",Paramètres!$B$8,1)/MAX(1,$I404),0)</f>
        <v>0</v>
      </c>
      <c r="T404" s="16" t="n">
        <v>55</v>
      </c>
      <c r="U404" s="16" t="n">
        <v>4</v>
      </c>
    </row>
    <row r="405" customFormat="false" ht="15" hidden="false" customHeight="true" outlineLevel="0" collapsed="false">
      <c r="A405" s="9" t="s">
        <v>474</v>
      </c>
      <c r="B405" s="10" t="str">
        <f aca="false">INDEX(Bases!$B$5:$B$83,$T405)</f>
        <v>Tireur</v>
      </c>
      <c r="C405" s="10" t="str">
        <f aca="false">INDEX(Bases!$E$5:$E$83,$T405)</f>
        <v>Soutien (arme 2)</v>
      </c>
      <c r="D405" s="10" t="str">
        <f aca="false">INDEX(Bases!$F$5:$F$83,$T405)</f>
        <v>Buff</v>
      </c>
      <c r="E405" s="11" t="str">
        <f aca="false">INDEX(Bases!$C$5:$C$83,$T405)</f>
        <v>Œil de faucon</v>
      </c>
      <c r="F405" s="10" t="str">
        <f aca="false">INDEX(Éléments!$A$5:$A$14,$U405)</f>
        <v>Acide</v>
      </c>
      <c r="G405" s="12" t="str">
        <f aca="false">IF(OR($F405="Neutre",$C405="Passif"),$E405,INDEX(Bases!$D$5:$D$83,$T405)&amp;" "&amp;INDEX(Éléments!$D$5:$D$14,$U405))</f>
        <v>Œil d'acide</v>
      </c>
      <c r="H405" s="10" t="str">
        <f aca="false">INDEX(Bases!$G$5:$G$83,$T405)</f>
        <v>Soi</v>
      </c>
      <c r="I405" s="13" t="n">
        <f aca="false">INDEX(Bases!$H$5:$H$83,$T405)</f>
        <v>2</v>
      </c>
      <c r="J405" s="10" t="str">
        <f aca="false">INDEX(Bases!$I$5:$I$83,$T405)</f>
        <v>Non</v>
      </c>
      <c r="K405" s="14" t="n">
        <f aca="false">INDEX(Bases!$J$5:$J$83,$T405)</f>
        <v>0</v>
      </c>
      <c r="L405" s="10" t="str">
        <f aca="false">INDEX(Bases!$K$5:$K$83,$T405)</f>
        <v>Force</v>
      </c>
      <c r="M405" s="11" t="str">
        <f aca="false">INDEX(Bases!$L$5:$L$83,$T405)</f>
        <v>+20 % de Précision et +15 % de chance de critique pendant 2 tours.</v>
      </c>
      <c r="N405" s="11" t="str">
        <f aca="false">IF($C405="Passif","—",IF($C405="Attaque (arme 1)",INDEX(Éléments!$F$5:$F$14,$U405),INDEX(Éléments!$G$5:$G$14,$U405)))</f>
        <v>Les ennemis qui frappent le lanceur prennent 1 pile de Corrosion (40 %).</v>
      </c>
      <c r="O405" s="10" t="str">
        <f aca="false">INDEX(Bases!$M$5:$M$83,$T405)</f>
        <v>Active</v>
      </c>
      <c r="P405" s="13" t="n">
        <f aca="false">INDEX(Bases!$N$5:$N$83,$T405)</f>
        <v>5</v>
      </c>
      <c r="Q405" s="15" t="n">
        <f aca="false">INDEX(Éléments!$C$5:$C$14,$U405)</f>
        <v>50</v>
      </c>
      <c r="R405" s="11" t="str">
        <f aca="false">"Niv. "&amp;$P405&amp;IF($Q405&gt;0," · étage "&amp;$Q405&amp;" terminé","")</f>
        <v>Niv. 5 · étage 50 terminé</v>
      </c>
      <c r="S405" s="14" t="n">
        <f aca="false">IF(ISNUMBER($I405),$K405*IF($H405="Zone",Paramètres!$B$8,1)/MAX(1,$I405),0)</f>
        <v>0</v>
      </c>
      <c r="T405" s="16" t="n">
        <v>55</v>
      </c>
      <c r="U405" s="16" t="n">
        <v>5</v>
      </c>
    </row>
    <row r="406" customFormat="false" ht="15" hidden="false" customHeight="true" outlineLevel="0" collapsed="false">
      <c r="A406" s="9" t="s">
        <v>475</v>
      </c>
      <c r="B406" s="10" t="str">
        <f aca="false">INDEX(Bases!$B$5:$B$83,$T406)</f>
        <v>Tireur</v>
      </c>
      <c r="C406" s="10" t="str">
        <f aca="false">INDEX(Bases!$E$5:$E$83,$T406)</f>
        <v>Soutien (arme 2)</v>
      </c>
      <c r="D406" s="10" t="str">
        <f aca="false">INDEX(Bases!$F$5:$F$83,$T406)</f>
        <v>Buff</v>
      </c>
      <c r="E406" s="11" t="str">
        <f aca="false">INDEX(Bases!$C$5:$C$83,$T406)</f>
        <v>Œil de faucon</v>
      </c>
      <c r="F406" s="10" t="str">
        <f aca="false">INDEX(Éléments!$A$5:$A$14,$U406)</f>
        <v>Eau</v>
      </c>
      <c r="G406" s="12" t="str">
        <f aca="false">IF(OR($F406="Neutre",$C406="Passif"),$E406,INDEX(Bases!$D$5:$D$83,$T406)&amp;" "&amp;INDEX(Éléments!$D$5:$D$14,$U406))</f>
        <v>Œil d'eau</v>
      </c>
      <c r="H406" s="10" t="str">
        <f aca="false">INDEX(Bases!$G$5:$G$83,$T406)</f>
        <v>Soi</v>
      </c>
      <c r="I406" s="13" t="n">
        <f aca="false">INDEX(Bases!$H$5:$H$83,$T406)</f>
        <v>2</v>
      </c>
      <c r="J406" s="10" t="str">
        <f aca="false">INDEX(Bases!$I$5:$I$83,$T406)</f>
        <v>Non</v>
      </c>
      <c r="K406" s="14" t="n">
        <f aca="false">INDEX(Bases!$J$5:$J$83,$T406)</f>
        <v>0</v>
      </c>
      <c r="L406" s="10" t="str">
        <f aca="false">INDEX(Bases!$K$5:$K$83,$T406)</f>
        <v>Force</v>
      </c>
      <c r="M406" s="11" t="str">
        <f aca="false">INDEX(Bases!$L$5:$L$83,$T406)</f>
        <v>+20 % de Précision et +15 % de chance de critique pendant 2 tours.</v>
      </c>
      <c r="N406" s="11" t="str">
        <f aca="false">IF($C406="Passif","—",IF($C406="Attaque (arme 1)",INDEX(Éléments!$F$5:$F$14,$U406),INDEX(Éléments!$G$5:$G$14,$U406)))</f>
        <v>Soin supplémentaire de 4 % des PV max ; retire Brûlure du lanceur.</v>
      </c>
      <c r="O406" s="10" t="str">
        <f aca="false">INDEX(Bases!$M$5:$M$83,$T406)</f>
        <v>Active</v>
      </c>
      <c r="P406" s="13" t="n">
        <f aca="false">INDEX(Bases!$N$5:$N$83,$T406)</f>
        <v>5</v>
      </c>
      <c r="Q406" s="15" t="n">
        <f aca="false">INDEX(Éléments!$C$5:$C$14,$U406)</f>
        <v>60</v>
      </c>
      <c r="R406" s="11" t="str">
        <f aca="false">"Niv. "&amp;$P406&amp;IF($Q406&gt;0," · étage "&amp;$Q406&amp;" terminé","")</f>
        <v>Niv. 5 · étage 60 terminé</v>
      </c>
      <c r="S406" s="14" t="n">
        <f aca="false">IF(ISNUMBER($I406),$K406*IF($H406="Zone",Paramètres!$B$8,1)/MAX(1,$I406),0)</f>
        <v>0</v>
      </c>
      <c r="T406" s="16" t="n">
        <v>55</v>
      </c>
      <c r="U406" s="16" t="n">
        <v>6</v>
      </c>
    </row>
    <row r="407" customFormat="false" ht="15" hidden="false" customHeight="true" outlineLevel="0" collapsed="false">
      <c r="A407" s="9" t="s">
        <v>476</v>
      </c>
      <c r="B407" s="10" t="str">
        <f aca="false">INDEX(Bases!$B$5:$B$83,$T407)</f>
        <v>Tireur</v>
      </c>
      <c r="C407" s="10" t="str">
        <f aca="false">INDEX(Bases!$E$5:$E$83,$T407)</f>
        <v>Soutien (arme 2)</v>
      </c>
      <c r="D407" s="10" t="str">
        <f aca="false">INDEX(Bases!$F$5:$F$83,$T407)</f>
        <v>Buff</v>
      </c>
      <c r="E407" s="11" t="str">
        <f aca="false">INDEX(Bases!$C$5:$C$83,$T407)</f>
        <v>Œil de faucon</v>
      </c>
      <c r="F407" s="10" t="str">
        <f aca="false">INDEX(Éléments!$A$5:$A$14,$U407)</f>
        <v>Glace</v>
      </c>
      <c r="G407" s="12" t="str">
        <f aca="false">IF(OR($F407="Neutre",$C407="Passif"),$E407,INDEX(Bases!$D$5:$D$83,$T407)&amp;" "&amp;INDEX(Éléments!$D$5:$D$14,$U407))</f>
        <v>Œil de glace</v>
      </c>
      <c r="H407" s="10" t="str">
        <f aca="false">INDEX(Bases!$G$5:$G$83,$T407)</f>
        <v>Soi</v>
      </c>
      <c r="I407" s="13" t="n">
        <f aca="false">INDEX(Bases!$H$5:$H$83,$T407)</f>
        <v>2</v>
      </c>
      <c r="J407" s="10" t="str">
        <f aca="false">INDEX(Bases!$I$5:$I$83,$T407)</f>
        <v>Non</v>
      </c>
      <c r="K407" s="14" t="n">
        <f aca="false">INDEX(Bases!$J$5:$J$83,$T407)</f>
        <v>0</v>
      </c>
      <c r="L407" s="10" t="str">
        <f aca="false">INDEX(Bases!$K$5:$K$83,$T407)</f>
        <v>Force</v>
      </c>
      <c r="M407" s="11" t="str">
        <f aca="false">INDEX(Bases!$L$5:$L$83,$T407)</f>
        <v>+20 % de Précision et +15 % de chance de critique pendant 2 tours.</v>
      </c>
      <c r="N407" s="11" t="str">
        <f aca="false">IF($C407="Passif","—",IF($C407="Attaque (arme 1)",INDEX(Éléments!$F$5:$F$14,$U407),INDEX(Éléments!$G$5:$G$14,$U407)))</f>
        <v>Les ennemis qui frappent le lanceur prennent 1 pile de Froid (40 %).</v>
      </c>
      <c r="O407" s="10" t="str">
        <f aca="false">INDEX(Bases!$M$5:$M$83,$T407)</f>
        <v>Active</v>
      </c>
      <c r="P407" s="13" t="n">
        <f aca="false">INDEX(Bases!$N$5:$N$83,$T407)</f>
        <v>5</v>
      </c>
      <c r="Q407" s="15" t="n">
        <f aca="false">INDEX(Éléments!$C$5:$C$14,$U407)</f>
        <v>70</v>
      </c>
      <c r="R407" s="11" t="str">
        <f aca="false">"Niv. "&amp;$P407&amp;IF($Q407&gt;0," · étage "&amp;$Q407&amp;" terminé","")</f>
        <v>Niv. 5 · étage 70 terminé</v>
      </c>
      <c r="S407" s="14" t="n">
        <f aca="false">IF(ISNUMBER($I407),$K407*IF($H407="Zone",Paramètres!$B$8,1)/MAX(1,$I407),0)</f>
        <v>0</v>
      </c>
      <c r="T407" s="16" t="n">
        <v>55</v>
      </c>
      <c r="U407" s="16" t="n">
        <v>7</v>
      </c>
    </row>
    <row r="408" customFormat="false" ht="15" hidden="false" customHeight="true" outlineLevel="0" collapsed="false">
      <c r="A408" s="9" t="s">
        <v>477</v>
      </c>
      <c r="B408" s="10" t="str">
        <f aca="false">INDEX(Bases!$B$5:$B$83,$T408)</f>
        <v>Tireur</v>
      </c>
      <c r="C408" s="10" t="str">
        <f aca="false">INDEX(Bases!$E$5:$E$83,$T408)</f>
        <v>Soutien (arme 2)</v>
      </c>
      <c r="D408" s="10" t="str">
        <f aca="false">INDEX(Bases!$F$5:$F$83,$T408)</f>
        <v>Buff</v>
      </c>
      <c r="E408" s="11" t="str">
        <f aca="false">INDEX(Bases!$C$5:$C$83,$T408)</f>
        <v>Œil de faucon</v>
      </c>
      <c r="F408" s="10" t="str">
        <f aca="false">INDEX(Éléments!$A$5:$A$14,$U408)</f>
        <v>Électricité</v>
      </c>
      <c r="G408" s="12" t="str">
        <f aca="false">IF(OR($F408="Neutre",$C408="Passif"),$E408,INDEX(Bases!$D$5:$D$83,$T408)&amp;" "&amp;INDEX(Éléments!$D$5:$D$14,$U408))</f>
        <v>Œil de foudre</v>
      </c>
      <c r="H408" s="10" t="str">
        <f aca="false">INDEX(Bases!$G$5:$G$83,$T408)</f>
        <v>Soi</v>
      </c>
      <c r="I408" s="13" t="n">
        <f aca="false">INDEX(Bases!$H$5:$H$83,$T408)</f>
        <v>2</v>
      </c>
      <c r="J408" s="10" t="str">
        <f aca="false">INDEX(Bases!$I$5:$I$83,$T408)</f>
        <v>Non</v>
      </c>
      <c r="K408" s="14" t="n">
        <f aca="false">INDEX(Bases!$J$5:$J$83,$T408)</f>
        <v>0</v>
      </c>
      <c r="L408" s="10" t="str">
        <f aca="false">INDEX(Bases!$K$5:$K$83,$T408)</f>
        <v>Force</v>
      </c>
      <c r="M408" s="11" t="str">
        <f aca="false">INDEX(Bases!$L$5:$L$83,$T408)</f>
        <v>+20 % de Précision et +15 % de chance de critique pendant 2 tours.</v>
      </c>
      <c r="N408" s="11" t="str">
        <f aca="false">IF($C408="Passif","—",IF($C408="Attaque (arme 1)",INDEX(Éléments!$F$5:$F$14,$U408),INDEX(Éléments!$G$5:$G$14,$U408)))</f>
        <v>La prochaine attaque du lanceur inflige +15 % de dégâts.</v>
      </c>
      <c r="O408" s="10" t="str">
        <f aca="false">INDEX(Bases!$M$5:$M$83,$T408)</f>
        <v>Active</v>
      </c>
      <c r="P408" s="13" t="n">
        <f aca="false">INDEX(Bases!$N$5:$N$83,$T408)</f>
        <v>5</v>
      </c>
      <c r="Q408" s="15" t="n">
        <f aca="false">INDEX(Éléments!$C$5:$C$14,$U408)</f>
        <v>80</v>
      </c>
      <c r="R408" s="11" t="str">
        <f aca="false">"Niv. "&amp;$P408&amp;IF($Q408&gt;0," · étage "&amp;$Q408&amp;" terminé","")</f>
        <v>Niv. 5 · étage 80 terminé</v>
      </c>
      <c r="S408" s="14" t="n">
        <f aca="false">IF(ISNUMBER($I408),$K408*IF($H408="Zone",Paramètres!$B$8,1)/MAX(1,$I408),0)</f>
        <v>0</v>
      </c>
      <c r="T408" s="16" t="n">
        <v>55</v>
      </c>
      <c r="U408" s="16" t="n">
        <v>8</v>
      </c>
    </row>
    <row r="409" customFormat="false" ht="15" hidden="false" customHeight="true" outlineLevel="0" collapsed="false">
      <c r="A409" s="9" t="s">
        <v>478</v>
      </c>
      <c r="B409" s="10" t="str">
        <f aca="false">INDEX(Bases!$B$5:$B$83,$T409)</f>
        <v>Tireur</v>
      </c>
      <c r="C409" s="10" t="str">
        <f aca="false">INDEX(Bases!$E$5:$E$83,$T409)</f>
        <v>Soutien (arme 2)</v>
      </c>
      <c r="D409" s="10" t="str">
        <f aca="false">INDEX(Bases!$F$5:$F$83,$T409)</f>
        <v>Buff</v>
      </c>
      <c r="E409" s="11" t="str">
        <f aca="false">INDEX(Bases!$C$5:$C$83,$T409)</f>
        <v>Œil de faucon</v>
      </c>
      <c r="F409" s="10" t="str">
        <f aca="false">INDEX(Éléments!$A$5:$A$14,$U409)</f>
        <v>Lumière</v>
      </c>
      <c r="G409" s="12" t="str">
        <f aca="false">IF(OR($F409="Neutre",$C409="Passif"),$E409,INDEX(Bases!$D$5:$D$83,$T409)&amp;" "&amp;INDEX(Éléments!$D$5:$D$14,$U409))</f>
        <v>Œil de lumière</v>
      </c>
      <c r="H409" s="10" t="str">
        <f aca="false">INDEX(Bases!$G$5:$G$83,$T409)</f>
        <v>Soi</v>
      </c>
      <c r="I409" s="13" t="n">
        <f aca="false">INDEX(Bases!$H$5:$H$83,$T409)</f>
        <v>2</v>
      </c>
      <c r="J409" s="10" t="str">
        <f aca="false">INDEX(Bases!$I$5:$I$83,$T409)</f>
        <v>Non</v>
      </c>
      <c r="K409" s="14" t="n">
        <f aca="false">INDEX(Bases!$J$5:$J$83,$T409)</f>
        <v>0</v>
      </c>
      <c r="L409" s="10" t="str">
        <f aca="false">INDEX(Bases!$K$5:$K$83,$T409)</f>
        <v>Force</v>
      </c>
      <c r="M409" s="11" t="str">
        <f aca="false">INDEX(Bases!$L$5:$L$83,$T409)</f>
        <v>+20 % de Précision et +15 % de chance de critique pendant 2 tours.</v>
      </c>
      <c r="N409" s="11" t="str">
        <f aca="false">IF($C409="Passif","—",IF($C409="Attaque (arme 1)",INDEX(Éléments!$F$5:$F$14,$U409),INDEX(Éléments!$G$5:$G$14,$U409)))</f>
        <v>+20 % sur les soins et boucliers de la compétence.</v>
      </c>
      <c r="O409" s="10" t="str">
        <f aca="false">INDEX(Bases!$M$5:$M$83,$T409)</f>
        <v>Active</v>
      </c>
      <c r="P409" s="13" t="n">
        <f aca="false">INDEX(Bases!$N$5:$N$83,$T409)</f>
        <v>5</v>
      </c>
      <c r="Q409" s="15" t="n">
        <f aca="false">INDEX(Éléments!$C$5:$C$14,$U409)</f>
        <v>90</v>
      </c>
      <c r="R409" s="11" t="str">
        <f aca="false">"Niv. "&amp;$P409&amp;IF($Q409&gt;0," · étage "&amp;$Q409&amp;" terminé","")</f>
        <v>Niv. 5 · étage 90 terminé</v>
      </c>
      <c r="S409" s="14" t="n">
        <f aca="false">IF(ISNUMBER($I409),$K409*IF($H409="Zone",Paramètres!$B$8,1)/MAX(1,$I409),0)</f>
        <v>0</v>
      </c>
      <c r="T409" s="16" t="n">
        <v>55</v>
      </c>
      <c r="U409" s="16" t="n">
        <v>9</v>
      </c>
    </row>
    <row r="410" customFormat="false" ht="15" hidden="false" customHeight="true" outlineLevel="0" collapsed="false">
      <c r="A410" s="9" t="s">
        <v>479</v>
      </c>
      <c r="B410" s="10" t="str">
        <f aca="false">INDEX(Bases!$B$5:$B$83,$T410)</f>
        <v>Tireur</v>
      </c>
      <c r="C410" s="10" t="str">
        <f aca="false">INDEX(Bases!$E$5:$E$83,$T410)</f>
        <v>Soutien (arme 2)</v>
      </c>
      <c r="D410" s="10" t="str">
        <f aca="false">INDEX(Bases!$F$5:$F$83,$T410)</f>
        <v>Buff</v>
      </c>
      <c r="E410" s="11" t="str">
        <f aca="false">INDEX(Bases!$C$5:$C$83,$T410)</f>
        <v>Œil de faucon</v>
      </c>
      <c r="F410" s="10" t="str">
        <f aca="false">INDEX(Éléments!$A$5:$A$14,$U410)</f>
        <v>Ombre</v>
      </c>
      <c r="G410" s="12" t="str">
        <f aca="false">IF(OR($F410="Neutre",$C410="Passif"),$E410,INDEX(Bases!$D$5:$D$83,$T410)&amp;" "&amp;INDEX(Éléments!$D$5:$D$14,$U410))</f>
        <v>Œil d'ombre</v>
      </c>
      <c r="H410" s="10" t="str">
        <f aca="false">INDEX(Bases!$G$5:$G$83,$T410)</f>
        <v>Soi</v>
      </c>
      <c r="I410" s="13" t="n">
        <f aca="false">INDEX(Bases!$H$5:$H$83,$T410)</f>
        <v>2</v>
      </c>
      <c r="J410" s="10" t="str">
        <f aca="false">INDEX(Bases!$I$5:$I$83,$T410)</f>
        <v>Non</v>
      </c>
      <c r="K410" s="14" t="n">
        <f aca="false">INDEX(Bases!$J$5:$J$83,$T410)</f>
        <v>0</v>
      </c>
      <c r="L410" s="10" t="str">
        <f aca="false">INDEX(Bases!$K$5:$K$83,$T410)</f>
        <v>Force</v>
      </c>
      <c r="M410" s="11" t="str">
        <f aca="false">INDEX(Bases!$L$5:$L$83,$T410)</f>
        <v>+20 % de Précision et +15 % de chance de critique pendant 2 tours.</v>
      </c>
      <c r="N410" s="11" t="str">
        <f aca="false">IF($C410="Passif","—",IF($C410="Attaque (arme 1)",INDEX(Éléments!$F$5:$F$14,$U410),INDEX(Éléments!$G$5:$G$14,$U410)))</f>
        <v>Les ennemis qui frappent le lanceur subissent Corruption (25 %).</v>
      </c>
      <c r="O410" s="10" t="str">
        <f aca="false">INDEX(Bases!$M$5:$M$83,$T410)</f>
        <v>Active</v>
      </c>
      <c r="P410" s="13" t="n">
        <f aca="false">INDEX(Bases!$N$5:$N$83,$T410)</f>
        <v>5</v>
      </c>
      <c r="Q410" s="15" t="n">
        <f aca="false">INDEX(Éléments!$C$5:$C$14,$U410)</f>
        <v>100</v>
      </c>
      <c r="R410" s="11" t="str">
        <f aca="false">"Niv. "&amp;$P410&amp;IF($Q410&gt;0," · étage "&amp;$Q410&amp;" terminé","")</f>
        <v>Niv. 5 · étage 100 terminé</v>
      </c>
      <c r="S410" s="14" t="n">
        <f aca="false">IF(ISNUMBER($I410),$K410*IF($H410="Zone",Paramètres!$B$8,1)/MAX(1,$I410),0)</f>
        <v>0</v>
      </c>
      <c r="T410" s="16" t="n">
        <v>55</v>
      </c>
      <c r="U410" s="16" t="n">
        <v>10</v>
      </c>
    </row>
    <row r="411" customFormat="false" ht="15" hidden="false" customHeight="true" outlineLevel="0" collapsed="false">
      <c r="A411" s="9" t="s">
        <v>480</v>
      </c>
      <c r="B411" s="10" t="str">
        <f aca="false">INDEX(Bases!$B$5:$B$83,$T411)</f>
        <v>Tireur</v>
      </c>
      <c r="C411" s="10" t="str">
        <f aca="false">INDEX(Bases!$E$5:$E$83,$T411)</f>
        <v>Soutien (arme 2)</v>
      </c>
      <c r="D411" s="10" t="str">
        <f aca="false">INDEX(Bases!$F$5:$F$83,$T411)</f>
        <v>Buff</v>
      </c>
      <c r="E411" s="11" t="str">
        <f aca="false">INDEX(Bases!$C$5:$C$83,$T411)</f>
        <v>Roulade</v>
      </c>
      <c r="F411" s="10" t="str">
        <f aca="false">INDEX(Éléments!$A$5:$A$14,$U411)</f>
        <v>Neutre</v>
      </c>
      <c r="G411" s="12" t="str">
        <f aca="false">IF(OR($F411="Neutre",$C411="Passif"),$E411,INDEX(Bases!$D$5:$D$83,$T411)&amp;" "&amp;INDEX(Éléments!$D$5:$D$14,$U411))</f>
        <v>Roulade</v>
      </c>
      <c r="H411" s="10" t="str">
        <f aca="false">INDEX(Bases!$G$5:$G$83,$T411)</f>
        <v>Soi</v>
      </c>
      <c r="I411" s="13" t="n">
        <f aca="false">INDEX(Bases!$H$5:$H$83,$T411)</f>
        <v>2</v>
      </c>
      <c r="J411" s="10" t="str">
        <f aca="false">INDEX(Bases!$I$5:$I$83,$T411)</f>
        <v>Non</v>
      </c>
      <c r="K411" s="14" t="n">
        <f aca="false">INDEX(Bases!$J$5:$J$83,$T411)</f>
        <v>0</v>
      </c>
      <c r="L411" s="10" t="str">
        <f aca="false">INDEX(Bases!$K$5:$K$83,$T411)</f>
        <v>Force</v>
      </c>
      <c r="M411" s="11" t="str">
        <f aca="false">INDEX(Bases!$L$5:$L$83,$T411)</f>
        <v>+40 % d'esquive pendant 1 tour.</v>
      </c>
      <c r="N411" s="11" t="str">
        <f aca="false">IF($C411="Passif","—",IF($C411="Attaque (arme 1)",INDEX(Éléments!$F$5:$F$14,$U411),INDEX(Éléments!$G$5:$G$14,$U411)))</f>
        <v>Aucun bonus élémentaire : effet de base seul.</v>
      </c>
      <c r="O411" s="10" t="str">
        <f aca="false">INDEX(Bases!$M$5:$M$83,$T411)</f>
        <v>Active</v>
      </c>
      <c r="P411" s="13" t="n">
        <f aca="false">INDEX(Bases!$N$5:$N$83,$T411)</f>
        <v>10</v>
      </c>
      <c r="Q411" s="15" t="n">
        <f aca="false">INDEX(Éléments!$C$5:$C$14,$U411)</f>
        <v>0</v>
      </c>
      <c r="R411" s="11" t="str">
        <f aca="false">"Niv. "&amp;$P411&amp;IF($Q411&gt;0," · étage "&amp;$Q411&amp;" terminé","")</f>
        <v>Niv. 10</v>
      </c>
      <c r="S411" s="14" t="n">
        <f aca="false">IF(ISNUMBER($I411),$K411*IF($H411="Zone",Paramètres!$B$8,1)/MAX(1,$I411),0)</f>
        <v>0</v>
      </c>
      <c r="T411" s="16" t="n">
        <v>56</v>
      </c>
      <c r="U411" s="16" t="n">
        <v>1</v>
      </c>
    </row>
    <row r="412" customFormat="false" ht="15" hidden="false" customHeight="true" outlineLevel="0" collapsed="false">
      <c r="A412" s="9" t="s">
        <v>481</v>
      </c>
      <c r="B412" s="10" t="str">
        <f aca="false">INDEX(Bases!$B$5:$B$83,$T412)</f>
        <v>Tireur</v>
      </c>
      <c r="C412" s="10" t="str">
        <f aca="false">INDEX(Bases!$E$5:$E$83,$T412)</f>
        <v>Soutien (arme 2)</v>
      </c>
      <c r="D412" s="10" t="str">
        <f aca="false">INDEX(Bases!$F$5:$F$83,$T412)</f>
        <v>Buff</v>
      </c>
      <c r="E412" s="11" t="str">
        <f aca="false">INDEX(Bases!$C$5:$C$83,$T412)</f>
        <v>Roulade</v>
      </c>
      <c r="F412" s="10" t="str">
        <f aca="false">INDEX(Éléments!$A$5:$A$14,$U412)</f>
        <v>Terre</v>
      </c>
      <c r="G412" s="12" t="str">
        <f aca="false">IF(OR($F412="Neutre",$C412="Passif"),$E412,INDEX(Bases!$D$5:$D$83,$T412)&amp;" "&amp;INDEX(Éléments!$D$5:$D$14,$U412))</f>
        <v>Roulade de pierre</v>
      </c>
      <c r="H412" s="10" t="str">
        <f aca="false">INDEX(Bases!$G$5:$G$83,$T412)</f>
        <v>Soi</v>
      </c>
      <c r="I412" s="13" t="n">
        <f aca="false">INDEX(Bases!$H$5:$H$83,$T412)</f>
        <v>2</v>
      </c>
      <c r="J412" s="10" t="str">
        <f aca="false">INDEX(Bases!$I$5:$I$83,$T412)</f>
        <v>Non</v>
      </c>
      <c r="K412" s="14" t="n">
        <f aca="false">INDEX(Bases!$J$5:$J$83,$T412)</f>
        <v>0</v>
      </c>
      <c r="L412" s="10" t="str">
        <f aca="false">INDEX(Bases!$K$5:$K$83,$T412)</f>
        <v>Force</v>
      </c>
      <c r="M412" s="11" t="str">
        <f aca="false">INDEX(Bases!$L$5:$L$83,$T412)</f>
        <v>+40 % d'esquive pendant 1 tour.</v>
      </c>
      <c r="N412" s="11" t="str">
        <f aca="false">IF($C412="Passif","—",IF($C412="Attaque (arme 1)",INDEX(Éléments!$F$5:$F$14,$U412),INDEX(Éléments!$G$5:$G$14,$U412)))</f>
        <v>+15 % d'Armure pendant la durée de l'effet.</v>
      </c>
      <c r="O412" s="10" t="str">
        <f aca="false">INDEX(Bases!$M$5:$M$83,$T412)</f>
        <v>Active</v>
      </c>
      <c r="P412" s="13" t="n">
        <f aca="false">INDEX(Bases!$N$5:$N$83,$T412)</f>
        <v>10</v>
      </c>
      <c r="Q412" s="15" t="n">
        <f aca="false">INDEX(Éléments!$C$5:$C$14,$U412)</f>
        <v>20</v>
      </c>
      <c r="R412" s="11" t="str">
        <f aca="false">"Niv. "&amp;$P412&amp;IF($Q412&gt;0," · étage "&amp;$Q412&amp;" terminé","")</f>
        <v>Niv. 10 · étage 20 terminé</v>
      </c>
      <c r="S412" s="14" t="n">
        <f aca="false">IF(ISNUMBER($I412),$K412*IF($H412="Zone",Paramètres!$B$8,1)/MAX(1,$I412),0)</f>
        <v>0</v>
      </c>
      <c r="T412" s="16" t="n">
        <v>56</v>
      </c>
      <c r="U412" s="16" t="n">
        <v>2</v>
      </c>
    </row>
    <row r="413" customFormat="false" ht="15" hidden="false" customHeight="true" outlineLevel="0" collapsed="false">
      <c r="A413" s="9" t="s">
        <v>482</v>
      </c>
      <c r="B413" s="10" t="str">
        <f aca="false">INDEX(Bases!$B$5:$B$83,$T413)</f>
        <v>Tireur</v>
      </c>
      <c r="C413" s="10" t="str">
        <f aca="false">INDEX(Bases!$E$5:$E$83,$T413)</f>
        <v>Soutien (arme 2)</v>
      </c>
      <c r="D413" s="10" t="str">
        <f aca="false">INDEX(Bases!$F$5:$F$83,$T413)</f>
        <v>Buff</v>
      </c>
      <c r="E413" s="11" t="str">
        <f aca="false">INDEX(Bases!$C$5:$C$83,$T413)</f>
        <v>Roulade</v>
      </c>
      <c r="F413" s="10" t="str">
        <f aca="false">INDEX(Éléments!$A$5:$A$14,$U413)</f>
        <v>Feu</v>
      </c>
      <c r="G413" s="12" t="str">
        <f aca="false">IF(OR($F413="Neutre",$C413="Passif"),$E413,INDEX(Bases!$D$5:$D$83,$T413)&amp;" "&amp;INDEX(Éléments!$D$5:$D$14,$U413))</f>
        <v>Roulade de feu</v>
      </c>
      <c r="H413" s="10" t="str">
        <f aca="false">INDEX(Bases!$G$5:$G$83,$T413)</f>
        <v>Soi</v>
      </c>
      <c r="I413" s="13" t="n">
        <f aca="false">INDEX(Bases!$H$5:$H$83,$T413)</f>
        <v>2</v>
      </c>
      <c r="J413" s="10" t="str">
        <f aca="false">INDEX(Bases!$I$5:$I$83,$T413)</f>
        <v>Non</v>
      </c>
      <c r="K413" s="14" t="n">
        <f aca="false">INDEX(Bases!$J$5:$J$83,$T413)</f>
        <v>0</v>
      </c>
      <c r="L413" s="10" t="str">
        <f aca="false">INDEX(Bases!$K$5:$K$83,$T413)</f>
        <v>Force</v>
      </c>
      <c r="M413" s="11" t="str">
        <f aca="false">INDEX(Bases!$L$5:$L$83,$T413)</f>
        <v>+40 % d'esquive pendant 1 tour.</v>
      </c>
      <c r="N413" s="11" t="str">
        <f aca="false">IF($C413="Passif","—",IF($C413="Attaque (arme 1)",INDEX(Éléments!$F$5:$F$14,$U413),INDEX(Éléments!$G$5:$G$14,$U413)))</f>
        <v>Les ennemis qui frappent le lanceur ont 40 % de subir Brûlure (pendant la durée).</v>
      </c>
      <c r="O413" s="10" t="str">
        <f aca="false">INDEX(Bases!$M$5:$M$83,$T413)</f>
        <v>Active</v>
      </c>
      <c r="P413" s="13" t="n">
        <f aca="false">INDEX(Bases!$N$5:$N$83,$T413)</f>
        <v>10</v>
      </c>
      <c r="Q413" s="15" t="n">
        <f aca="false">INDEX(Éléments!$C$5:$C$14,$U413)</f>
        <v>30</v>
      </c>
      <c r="R413" s="11" t="str">
        <f aca="false">"Niv. "&amp;$P413&amp;IF($Q413&gt;0," · étage "&amp;$Q413&amp;" terminé","")</f>
        <v>Niv. 10 · étage 30 terminé</v>
      </c>
      <c r="S413" s="14" t="n">
        <f aca="false">IF(ISNUMBER($I413),$K413*IF($H413="Zone",Paramètres!$B$8,1)/MAX(1,$I413),0)</f>
        <v>0</v>
      </c>
      <c r="T413" s="16" t="n">
        <v>56</v>
      </c>
      <c r="U413" s="16" t="n">
        <v>3</v>
      </c>
    </row>
    <row r="414" customFormat="false" ht="15" hidden="false" customHeight="true" outlineLevel="0" collapsed="false">
      <c r="A414" s="9" t="s">
        <v>483</v>
      </c>
      <c r="B414" s="10" t="str">
        <f aca="false">INDEX(Bases!$B$5:$B$83,$T414)</f>
        <v>Tireur</v>
      </c>
      <c r="C414" s="10" t="str">
        <f aca="false">INDEX(Bases!$E$5:$E$83,$T414)</f>
        <v>Soutien (arme 2)</v>
      </c>
      <c r="D414" s="10" t="str">
        <f aca="false">INDEX(Bases!$F$5:$F$83,$T414)</f>
        <v>Buff</v>
      </c>
      <c r="E414" s="11" t="str">
        <f aca="false">INDEX(Bases!$C$5:$C$83,$T414)</f>
        <v>Roulade</v>
      </c>
      <c r="F414" s="10" t="str">
        <f aca="false">INDEX(Éléments!$A$5:$A$14,$U414)</f>
        <v>Vent</v>
      </c>
      <c r="G414" s="12" t="str">
        <f aca="false">IF(OR($F414="Neutre",$C414="Passif"),$E414,INDEX(Bases!$D$5:$D$83,$T414)&amp;" "&amp;INDEX(Éléments!$D$5:$D$14,$U414))</f>
        <v>Roulade de vent</v>
      </c>
      <c r="H414" s="10" t="str">
        <f aca="false">INDEX(Bases!$G$5:$G$83,$T414)</f>
        <v>Soi</v>
      </c>
      <c r="I414" s="13" t="n">
        <f aca="false">INDEX(Bases!$H$5:$H$83,$T414)</f>
        <v>2</v>
      </c>
      <c r="J414" s="10" t="str">
        <f aca="false">INDEX(Bases!$I$5:$I$83,$T414)</f>
        <v>Non</v>
      </c>
      <c r="K414" s="14" t="n">
        <f aca="false">INDEX(Bases!$J$5:$J$83,$T414)</f>
        <v>0</v>
      </c>
      <c r="L414" s="10" t="str">
        <f aca="false">INDEX(Bases!$K$5:$K$83,$T414)</f>
        <v>Force</v>
      </c>
      <c r="M414" s="11" t="str">
        <f aca="false">INDEX(Bases!$L$5:$L$83,$T414)</f>
        <v>+40 % d'esquive pendant 1 tour.</v>
      </c>
      <c r="N414" s="11" t="str">
        <f aca="false">IF($C414="Passif","—",IF($C414="Attaque (arme 1)",INDEX(Éléments!$F$5:$F$14,$U414),INDEX(Éléments!$G$5:$G$14,$U414)))</f>
        <v>+10 % d'Agilité (esquive) pendant la durée de l'effet.</v>
      </c>
      <c r="O414" s="10" t="str">
        <f aca="false">INDEX(Bases!$M$5:$M$83,$T414)</f>
        <v>Active</v>
      </c>
      <c r="P414" s="13" t="n">
        <f aca="false">INDEX(Bases!$N$5:$N$83,$T414)</f>
        <v>10</v>
      </c>
      <c r="Q414" s="15" t="n">
        <f aca="false">INDEX(Éléments!$C$5:$C$14,$U414)</f>
        <v>40</v>
      </c>
      <c r="R414" s="11" t="str">
        <f aca="false">"Niv. "&amp;$P414&amp;IF($Q414&gt;0," · étage "&amp;$Q414&amp;" terminé","")</f>
        <v>Niv. 10 · étage 40 terminé</v>
      </c>
      <c r="S414" s="14" t="n">
        <f aca="false">IF(ISNUMBER($I414),$K414*IF($H414="Zone",Paramètres!$B$8,1)/MAX(1,$I414),0)</f>
        <v>0</v>
      </c>
      <c r="T414" s="16" t="n">
        <v>56</v>
      </c>
      <c r="U414" s="16" t="n">
        <v>4</v>
      </c>
    </row>
    <row r="415" customFormat="false" ht="15" hidden="false" customHeight="true" outlineLevel="0" collapsed="false">
      <c r="A415" s="9" t="s">
        <v>484</v>
      </c>
      <c r="B415" s="10" t="str">
        <f aca="false">INDEX(Bases!$B$5:$B$83,$T415)</f>
        <v>Tireur</v>
      </c>
      <c r="C415" s="10" t="str">
        <f aca="false">INDEX(Bases!$E$5:$E$83,$T415)</f>
        <v>Soutien (arme 2)</v>
      </c>
      <c r="D415" s="10" t="str">
        <f aca="false">INDEX(Bases!$F$5:$F$83,$T415)</f>
        <v>Buff</v>
      </c>
      <c r="E415" s="11" t="str">
        <f aca="false">INDEX(Bases!$C$5:$C$83,$T415)</f>
        <v>Roulade</v>
      </c>
      <c r="F415" s="10" t="str">
        <f aca="false">INDEX(Éléments!$A$5:$A$14,$U415)</f>
        <v>Acide</v>
      </c>
      <c r="G415" s="12" t="str">
        <f aca="false">IF(OR($F415="Neutre",$C415="Passif"),$E415,INDEX(Bases!$D$5:$D$83,$T415)&amp;" "&amp;INDEX(Éléments!$D$5:$D$14,$U415))</f>
        <v>Roulade d'acide</v>
      </c>
      <c r="H415" s="10" t="str">
        <f aca="false">INDEX(Bases!$G$5:$G$83,$T415)</f>
        <v>Soi</v>
      </c>
      <c r="I415" s="13" t="n">
        <f aca="false">INDEX(Bases!$H$5:$H$83,$T415)</f>
        <v>2</v>
      </c>
      <c r="J415" s="10" t="str">
        <f aca="false">INDEX(Bases!$I$5:$I$83,$T415)</f>
        <v>Non</v>
      </c>
      <c r="K415" s="14" t="n">
        <f aca="false">INDEX(Bases!$J$5:$J$83,$T415)</f>
        <v>0</v>
      </c>
      <c r="L415" s="10" t="str">
        <f aca="false">INDEX(Bases!$K$5:$K$83,$T415)</f>
        <v>Force</v>
      </c>
      <c r="M415" s="11" t="str">
        <f aca="false">INDEX(Bases!$L$5:$L$83,$T415)</f>
        <v>+40 % d'esquive pendant 1 tour.</v>
      </c>
      <c r="N415" s="11" t="str">
        <f aca="false">IF($C415="Passif","—",IF($C415="Attaque (arme 1)",INDEX(Éléments!$F$5:$F$14,$U415),INDEX(Éléments!$G$5:$G$14,$U415)))</f>
        <v>Les ennemis qui frappent le lanceur prennent 1 pile de Corrosion (40 %).</v>
      </c>
      <c r="O415" s="10" t="str">
        <f aca="false">INDEX(Bases!$M$5:$M$83,$T415)</f>
        <v>Active</v>
      </c>
      <c r="P415" s="13" t="n">
        <f aca="false">INDEX(Bases!$N$5:$N$83,$T415)</f>
        <v>10</v>
      </c>
      <c r="Q415" s="15" t="n">
        <f aca="false">INDEX(Éléments!$C$5:$C$14,$U415)</f>
        <v>50</v>
      </c>
      <c r="R415" s="11" t="str">
        <f aca="false">"Niv. "&amp;$P415&amp;IF($Q415&gt;0," · étage "&amp;$Q415&amp;" terminé","")</f>
        <v>Niv. 10 · étage 50 terminé</v>
      </c>
      <c r="S415" s="14" t="n">
        <f aca="false">IF(ISNUMBER($I415),$K415*IF($H415="Zone",Paramètres!$B$8,1)/MAX(1,$I415),0)</f>
        <v>0</v>
      </c>
      <c r="T415" s="16" t="n">
        <v>56</v>
      </c>
      <c r="U415" s="16" t="n">
        <v>5</v>
      </c>
    </row>
    <row r="416" customFormat="false" ht="15" hidden="false" customHeight="true" outlineLevel="0" collapsed="false">
      <c r="A416" s="9" t="s">
        <v>485</v>
      </c>
      <c r="B416" s="10" t="str">
        <f aca="false">INDEX(Bases!$B$5:$B$83,$T416)</f>
        <v>Tireur</v>
      </c>
      <c r="C416" s="10" t="str">
        <f aca="false">INDEX(Bases!$E$5:$E$83,$T416)</f>
        <v>Soutien (arme 2)</v>
      </c>
      <c r="D416" s="10" t="str">
        <f aca="false">INDEX(Bases!$F$5:$F$83,$T416)</f>
        <v>Buff</v>
      </c>
      <c r="E416" s="11" t="str">
        <f aca="false">INDEX(Bases!$C$5:$C$83,$T416)</f>
        <v>Roulade</v>
      </c>
      <c r="F416" s="10" t="str">
        <f aca="false">INDEX(Éléments!$A$5:$A$14,$U416)</f>
        <v>Eau</v>
      </c>
      <c r="G416" s="12" t="str">
        <f aca="false">IF(OR($F416="Neutre",$C416="Passif"),$E416,INDEX(Bases!$D$5:$D$83,$T416)&amp;" "&amp;INDEX(Éléments!$D$5:$D$14,$U416))</f>
        <v>Roulade d'eau</v>
      </c>
      <c r="H416" s="10" t="str">
        <f aca="false">INDEX(Bases!$G$5:$G$83,$T416)</f>
        <v>Soi</v>
      </c>
      <c r="I416" s="13" t="n">
        <f aca="false">INDEX(Bases!$H$5:$H$83,$T416)</f>
        <v>2</v>
      </c>
      <c r="J416" s="10" t="str">
        <f aca="false">INDEX(Bases!$I$5:$I$83,$T416)</f>
        <v>Non</v>
      </c>
      <c r="K416" s="14" t="n">
        <f aca="false">INDEX(Bases!$J$5:$J$83,$T416)</f>
        <v>0</v>
      </c>
      <c r="L416" s="10" t="str">
        <f aca="false">INDEX(Bases!$K$5:$K$83,$T416)</f>
        <v>Force</v>
      </c>
      <c r="M416" s="11" t="str">
        <f aca="false">INDEX(Bases!$L$5:$L$83,$T416)</f>
        <v>+40 % d'esquive pendant 1 tour.</v>
      </c>
      <c r="N416" s="11" t="str">
        <f aca="false">IF($C416="Passif","—",IF($C416="Attaque (arme 1)",INDEX(Éléments!$F$5:$F$14,$U416),INDEX(Éléments!$G$5:$G$14,$U416)))</f>
        <v>Soin supplémentaire de 4 % des PV max ; retire Brûlure du lanceur.</v>
      </c>
      <c r="O416" s="10" t="str">
        <f aca="false">INDEX(Bases!$M$5:$M$83,$T416)</f>
        <v>Active</v>
      </c>
      <c r="P416" s="13" t="n">
        <f aca="false">INDEX(Bases!$N$5:$N$83,$T416)</f>
        <v>10</v>
      </c>
      <c r="Q416" s="15" t="n">
        <f aca="false">INDEX(Éléments!$C$5:$C$14,$U416)</f>
        <v>60</v>
      </c>
      <c r="R416" s="11" t="str">
        <f aca="false">"Niv. "&amp;$P416&amp;IF($Q416&gt;0," · étage "&amp;$Q416&amp;" terminé","")</f>
        <v>Niv. 10 · étage 60 terminé</v>
      </c>
      <c r="S416" s="14" t="n">
        <f aca="false">IF(ISNUMBER($I416),$K416*IF($H416="Zone",Paramètres!$B$8,1)/MAX(1,$I416),0)</f>
        <v>0</v>
      </c>
      <c r="T416" s="16" t="n">
        <v>56</v>
      </c>
      <c r="U416" s="16" t="n">
        <v>6</v>
      </c>
    </row>
    <row r="417" customFormat="false" ht="15" hidden="false" customHeight="true" outlineLevel="0" collapsed="false">
      <c r="A417" s="9" t="s">
        <v>486</v>
      </c>
      <c r="B417" s="10" t="str">
        <f aca="false">INDEX(Bases!$B$5:$B$83,$T417)</f>
        <v>Tireur</v>
      </c>
      <c r="C417" s="10" t="str">
        <f aca="false">INDEX(Bases!$E$5:$E$83,$T417)</f>
        <v>Soutien (arme 2)</v>
      </c>
      <c r="D417" s="10" t="str">
        <f aca="false">INDEX(Bases!$F$5:$F$83,$T417)</f>
        <v>Buff</v>
      </c>
      <c r="E417" s="11" t="str">
        <f aca="false">INDEX(Bases!$C$5:$C$83,$T417)</f>
        <v>Roulade</v>
      </c>
      <c r="F417" s="10" t="str">
        <f aca="false">INDEX(Éléments!$A$5:$A$14,$U417)</f>
        <v>Glace</v>
      </c>
      <c r="G417" s="12" t="str">
        <f aca="false">IF(OR($F417="Neutre",$C417="Passif"),$E417,INDEX(Bases!$D$5:$D$83,$T417)&amp;" "&amp;INDEX(Éléments!$D$5:$D$14,$U417))</f>
        <v>Roulade de glace</v>
      </c>
      <c r="H417" s="10" t="str">
        <f aca="false">INDEX(Bases!$G$5:$G$83,$T417)</f>
        <v>Soi</v>
      </c>
      <c r="I417" s="13" t="n">
        <f aca="false">INDEX(Bases!$H$5:$H$83,$T417)</f>
        <v>2</v>
      </c>
      <c r="J417" s="10" t="str">
        <f aca="false">INDEX(Bases!$I$5:$I$83,$T417)</f>
        <v>Non</v>
      </c>
      <c r="K417" s="14" t="n">
        <f aca="false">INDEX(Bases!$J$5:$J$83,$T417)</f>
        <v>0</v>
      </c>
      <c r="L417" s="10" t="str">
        <f aca="false">INDEX(Bases!$K$5:$K$83,$T417)</f>
        <v>Force</v>
      </c>
      <c r="M417" s="11" t="str">
        <f aca="false">INDEX(Bases!$L$5:$L$83,$T417)</f>
        <v>+40 % d'esquive pendant 1 tour.</v>
      </c>
      <c r="N417" s="11" t="str">
        <f aca="false">IF($C417="Passif","—",IF($C417="Attaque (arme 1)",INDEX(Éléments!$F$5:$F$14,$U417),INDEX(Éléments!$G$5:$G$14,$U417)))</f>
        <v>Les ennemis qui frappent le lanceur prennent 1 pile de Froid (40 %).</v>
      </c>
      <c r="O417" s="10" t="str">
        <f aca="false">INDEX(Bases!$M$5:$M$83,$T417)</f>
        <v>Active</v>
      </c>
      <c r="P417" s="13" t="n">
        <f aca="false">INDEX(Bases!$N$5:$N$83,$T417)</f>
        <v>10</v>
      </c>
      <c r="Q417" s="15" t="n">
        <f aca="false">INDEX(Éléments!$C$5:$C$14,$U417)</f>
        <v>70</v>
      </c>
      <c r="R417" s="11" t="str">
        <f aca="false">"Niv. "&amp;$P417&amp;IF($Q417&gt;0," · étage "&amp;$Q417&amp;" terminé","")</f>
        <v>Niv. 10 · étage 70 terminé</v>
      </c>
      <c r="S417" s="14" t="n">
        <f aca="false">IF(ISNUMBER($I417),$K417*IF($H417="Zone",Paramètres!$B$8,1)/MAX(1,$I417),0)</f>
        <v>0</v>
      </c>
      <c r="T417" s="16" t="n">
        <v>56</v>
      </c>
      <c r="U417" s="16" t="n">
        <v>7</v>
      </c>
    </row>
    <row r="418" customFormat="false" ht="15" hidden="false" customHeight="true" outlineLevel="0" collapsed="false">
      <c r="A418" s="9" t="s">
        <v>487</v>
      </c>
      <c r="B418" s="10" t="str">
        <f aca="false">INDEX(Bases!$B$5:$B$83,$T418)</f>
        <v>Tireur</v>
      </c>
      <c r="C418" s="10" t="str">
        <f aca="false">INDEX(Bases!$E$5:$E$83,$T418)</f>
        <v>Soutien (arme 2)</v>
      </c>
      <c r="D418" s="10" t="str">
        <f aca="false">INDEX(Bases!$F$5:$F$83,$T418)</f>
        <v>Buff</v>
      </c>
      <c r="E418" s="11" t="str">
        <f aca="false">INDEX(Bases!$C$5:$C$83,$T418)</f>
        <v>Roulade</v>
      </c>
      <c r="F418" s="10" t="str">
        <f aca="false">INDEX(Éléments!$A$5:$A$14,$U418)</f>
        <v>Électricité</v>
      </c>
      <c r="G418" s="12" t="str">
        <f aca="false">IF(OR($F418="Neutre",$C418="Passif"),$E418,INDEX(Bases!$D$5:$D$83,$T418)&amp;" "&amp;INDEX(Éléments!$D$5:$D$14,$U418))</f>
        <v>Roulade de foudre</v>
      </c>
      <c r="H418" s="10" t="str">
        <f aca="false">INDEX(Bases!$G$5:$G$83,$T418)</f>
        <v>Soi</v>
      </c>
      <c r="I418" s="13" t="n">
        <f aca="false">INDEX(Bases!$H$5:$H$83,$T418)</f>
        <v>2</v>
      </c>
      <c r="J418" s="10" t="str">
        <f aca="false">INDEX(Bases!$I$5:$I$83,$T418)</f>
        <v>Non</v>
      </c>
      <c r="K418" s="14" t="n">
        <f aca="false">INDEX(Bases!$J$5:$J$83,$T418)</f>
        <v>0</v>
      </c>
      <c r="L418" s="10" t="str">
        <f aca="false">INDEX(Bases!$K$5:$K$83,$T418)</f>
        <v>Force</v>
      </c>
      <c r="M418" s="11" t="str">
        <f aca="false">INDEX(Bases!$L$5:$L$83,$T418)</f>
        <v>+40 % d'esquive pendant 1 tour.</v>
      </c>
      <c r="N418" s="11" t="str">
        <f aca="false">IF($C418="Passif","—",IF($C418="Attaque (arme 1)",INDEX(Éléments!$F$5:$F$14,$U418),INDEX(Éléments!$G$5:$G$14,$U418)))</f>
        <v>La prochaine attaque du lanceur inflige +15 % de dégâts.</v>
      </c>
      <c r="O418" s="10" t="str">
        <f aca="false">INDEX(Bases!$M$5:$M$83,$T418)</f>
        <v>Active</v>
      </c>
      <c r="P418" s="13" t="n">
        <f aca="false">INDEX(Bases!$N$5:$N$83,$T418)</f>
        <v>10</v>
      </c>
      <c r="Q418" s="15" t="n">
        <f aca="false">INDEX(Éléments!$C$5:$C$14,$U418)</f>
        <v>80</v>
      </c>
      <c r="R418" s="11" t="str">
        <f aca="false">"Niv. "&amp;$P418&amp;IF($Q418&gt;0," · étage "&amp;$Q418&amp;" terminé","")</f>
        <v>Niv. 10 · étage 80 terminé</v>
      </c>
      <c r="S418" s="14" t="n">
        <f aca="false">IF(ISNUMBER($I418),$K418*IF($H418="Zone",Paramètres!$B$8,1)/MAX(1,$I418),0)</f>
        <v>0</v>
      </c>
      <c r="T418" s="16" t="n">
        <v>56</v>
      </c>
      <c r="U418" s="16" t="n">
        <v>8</v>
      </c>
    </row>
    <row r="419" customFormat="false" ht="15" hidden="false" customHeight="true" outlineLevel="0" collapsed="false">
      <c r="A419" s="9" t="s">
        <v>488</v>
      </c>
      <c r="B419" s="10" t="str">
        <f aca="false">INDEX(Bases!$B$5:$B$83,$T419)</f>
        <v>Tireur</v>
      </c>
      <c r="C419" s="10" t="str">
        <f aca="false">INDEX(Bases!$E$5:$E$83,$T419)</f>
        <v>Soutien (arme 2)</v>
      </c>
      <c r="D419" s="10" t="str">
        <f aca="false">INDEX(Bases!$F$5:$F$83,$T419)</f>
        <v>Buff</v>
      </c>
      <c r="E419" s="11" t="str">
        <f aca="false">INDEX(Bases!$C$5:$C$83,$T419)</f>
        <v>Roulade</v>
      </c>
      <c r="F419" s="10" t="str">
        <f aca="false">INDEX(Éléments!$A$5:$A$14,$U419)</f>
        <v>Lumière</v>
      </c>
      <c r="G419" s="12" t="str">
        <f aca="false">IF(OR($F419="Neutre",$C419="Passif"),$E419,INDEX(Bases!$D$5:$D$83,$T419)&amp;" "&amp;INDEX(Éléments!$D$5:$D$14,$U419))</f>
        <v>Roulade de lumière</v>
      </c>
      <c r="H419" s="10" t="str">
        <f aca="false">INDEX(Bases!$G$5:$G$83,$T419)</f>
        <v>Soi</v>
      </c>
      <c r="I419" s="13" t="n">
        <f aca="false">INDEX(Bases!$H$5:$H$83,$T419)</f>
        <v>2</v>
      </c>
      <c r="J419" s="10" t="str">
        <f aca="false">INDEX(Bases!$I$5:$I$83,$T419)</f>
        <v>Non</v>
      </c>
      <c r="K419" s="14" t="n">
        <f aca="false">INDEX(Bases!$J$5:$J$83,$T419)</f>
        <v>0</v>
      </c>
      <c r="L419" s="10" t="str">
        <f aca="false">INDEX(Bases!$K$5:$K$83,$T419)</f>
        <v>Force</v>
      </c>
      <c r="M419" s="11" t="str">
        <f aca="false">INDEX(Bases!$L$5:$L$83,$T419)</f>
        <v>+40 % d'esquive pendant 1 tour.</v>
      </c>
      <c r="N419" s="11" t="str">
        <f aca="false">IF($C419="Passif","—",IF($C419="Attaque (arme 1)",INDEX(Éléments!$F$5:$F$14,$U419),INDEX(Éléments!$G$5:$G$14,$U419)))</f>
        <v>+20 % sur les soins et boucliers de la compétence.</v>
      </c>
      <c r="O419" s="10" t="str">
        <f aca="false">INDEX(Bases!$M$5:$M$83,$T419)</f>
        <v>Active</v>
      </c>
      <c r="P419" s="13" t="n">
        <f aca="false">INDEX(Bases!$N$5:$N$83,$T419)</f>
        <v>10</v>
      </c>
      <c r="Q419" s="15" t="n">
        <f aca="false">INDEX(Éléments!$C$5:$C$14,$U419)</f>
        <v>90</v>
      </c>
      <c r="R419" s="11" t="str">
        <f aca="false">"Niv. "&amp;$P419&amp;IF($Q419&gt;0," · étage "&amp;$Q419&amp;" terminé","")</f>
        <v>Niv. 10 · étage 90 terminé</v>
      </c>
      <c r="S419" s="14" t="n">
        <f aca="false">IF(ISNUMBER($I419),$K419*IF($H419="Zone",Paramètres!$B$8,1)/MAX(1,$I419),0)</f>
        <v>0</v>
      </c>
      <c r="T419" s="16" t="n">
        <v>56</v>
      </c>
      <c r="U419" s="16" t="n">
        <v>9</v>
      </c>
    </row>
    <row r="420" customFormat="false" ht="15" hidden="false" customHeight="true" outlineLevel="0" collapsed="false">
      <c r="A420" s="9" t="s">
        <v>489</v>
      </c>
      <c r="B420" s="10" t="str">
        <f aca="false">INDEX(Bases!$B$5:$B$83,$T420)</f>
        <v>Tireur</v>
      </c>
      <c r="C420" s="10" t="str">
        <f aca="false">INDEX(Bases!$E$5:$E$83,$T420)</f>
        <v>Soutien (arme 2)</v>
      </c>
      <c r="D420" s="10" t="str">
        <f aca="false">INDEX(Bases!$F$5:$F$83,$T420)</f>
        <v>Buff</v>
      </c>
      <c r="E420" s="11" t="str">
        <f aca="false">INDEX(Bases!$C$5:$C$83,$T420)</f>
        <v>Roulade</v>
      </c>
      <c r="F420" s="10" t="str">
        <f aca="false">INDEX(Éléments!$A$5:$A$14,$U420)</f>
        <v>Ombre</v>
      </c>
      <c r="G420" s="12" t="str">
        <f aca="false">IF(OR($F420="Neutre",$C420="Passif"),$E420,INDEX(Bases!$D$5:$D$83,$T420)&amp;" "&amp;INDEX(Éléments!$D$5:$D$14,$U420))</f>
        <v>Roulade d'ombre</v>
      </c>
      <c r="H420" s="10" t="str">
        <f aca="false">INDEX(Bases!$G$5:$G$83,$T420)</f>
        <v>Soi</v>
      </c>
      <c r="I420" s="13" t="n">
        <f aca="false">INDEX(Bases!$H$5:$H$83,$T420)</f>
        <v>2</v>
      </c>
      <c r="J420" s="10" t="str">
        <f aca="false">INDEX(Bases!$I$5:$I$83,$T420)</f>
        <v>Non</v>
      </c>
      <c r="K420" s="14" t="n">
        <f aca="false">INDEX(Bases!$J$5:$J$83,$T420)</f>
        <v>0</v>
      </c>
      <c r="L420" s="10" t="str">
        <f aca="false">INDEX(Bases!$K$5:$K$83,$T420)</f>
        <v>Force</v>
      </c>
      <c r="M420" s="11" t="str">
        <f aca="false">INDEX(Bases!$L$5:$L$83,$T420)</f>
        <v>+40 % d'esquive pendant 1 tour.</v>
      </c>
      <c r="N420" s="11" t="str">
        <f aca="false">IF($C420="Passif","—",IF($C420="Attaque (arme 1)",INDEX(Éléments!$F$5:$F$14,$U420),INDEX(Éléments!$G$5:$G$14,$U420)))</f>
        <v>Les ennemis qui frappent le lanceur subissent Corruption (25 %).</v>
      </c>
      <c r="O420" s="10" t="str">
        <f aca="false">INDEX(Bases!$M$5:$M$83,$T420)</f>
        <v>Active</v>
      </c>
      <c r="P420" s="13" t="n">
        <f aca="false">INDEX(Bases!$N$5:$N$83,$T420)</f>
        <v>10</v>
      </c>
      <c r="Q420" s="15" t="n">
        <f aca="false">INDEX(Éléments!$C$5:$C$14,$U420)</f>
        <v>100</v>
      </c>
      <c r="R420" s="11" t="str">
        <f aca="false">"Niv. "&amp;$P420&amp;IF($Q420&gt;0," · étage "&amp;$Q420&amp;" terminé","")</f>
        <v>Niv. 10 · étage 100 terminé</v>
      </c>
      <c r="S420" s="14" t="n">
        <f aca="false">IF(ISNUMBER($I420),$K420*IF($H420="Zone",Paramètres!$B$8,1)/MAX(1,$I420),0)</f>
        <v>0</v>
      </c>
      <c r="T420" s="16" t="n">
        <v>56</v>
      </c>
      <c r="U420" s="16" t="n">
        <v>10</v>
      </c>
    </row>
    <row r="421" customFormat="false" ht="15" hidden="false" customHeight="true" outlineLevel="0" collapsed="false">
      <c r="A421" s="9" t="s">
        <v>490</v>
      </c>
      <c r="B421" s="10" t="str">
        <f aca="false">INDEX(Bases!$B$5:$B$83,$T421)</f>
        <v>Tireur</v>
      </c>
      <c r="C421" s="10" t="str">
        <f aca="false">INDEX(Bases!$E$5:$E$83,$T421)</f>
        <v>Soutien (arme 2)</v>
      </c>
      <c r="D421" s="10" t="str">
        <f aca="false">INDEX(Bases!$F$5:$F$83,$T421)</f>
        <v>Debuff</v>
      </c>
      <c r="E421" s="11" t="str">
        <f aca="false">INDEX(Bases!$C$5:$C$83,$T421)</f>
        <v>Flèche marquante</v>
      </c>
      <c r="F421" s="10" t="str">
        <f aca="false">INDEX(Éléments!$A$5:$A$14,$U421)</f>
        <v>Neutre</v>
      </c>
      <c r="G421" s="12" t="str">
        <f aca="false">IF(OR($F421="Neutre",$C421="Passif"),$E421,INDEX(Bases!$D$5:$D$83,$T421)&amp;" "&amp;INDEX(Éléments!$D$5:$D$14,$U421))</f>
        <v>Flèche marquante</v>
      </c>
      <c r="H421" s="10" t="str">
        <f aca="false">INDEX(Bases!$G$5:$G$83,$T421)</f>
        <v>Mono</v>
      </c>
      <c r="I421" s="13" t="n">
        <f aca="false">INDEX(Bases!$H$5:$H$83,$T421)</f>
        <v>2</v>
      </c>
      <c r="J421" s="10" t="str">
        <f aca="false">INDEX(Bases!$I$5:$I$83,$T421)</f>
        <v>Non</v>
      </c>
      <c r="K421" s="14" t="n">
        <f aca="false">INDEX(Bases!$J$5:$J$83,$T421)</f>
        <v>0.4</v>
      </c>
      <c r="L421" s="10" t="str">
        <f aca="false">INDEX(Bases!$K$5:$K$83,$T421)</f>
        <v>Force</v>
      </c>
      <c r="M421" s="11" t="str">
        <f aca="false">INDEX(Bases!$L$5:$L$83,$T421)</f>
        <v>Marqué : la cible subit +15 % de dégâts pendant 2 tours.</v>
      </c>
      <c r="N421" s="11" t="str">
        <f aca="false">IF($C421="Passif","—",IF($C421="Attaque (arme 1)",INDEX(Éléments!$F$5:$F$14,$U421),INDEX(Éléments!$G$5:$G$14,$U421)))</f>
        <v>Aucun bonus élémentaire : effet de base seul.</v>
      </c>
      <c r="O421" s="10" t="str">
        <f aca="false">INDEX(Bases!$M$5:$M$83,$T421)</f>
        <v>Active</v>
      </c>
      <c r="P421" s="13" t="n">
        <f aca="false">INDEX(Bases!$N$5:$N$83,$T421)</f>
        <v>15</v>
      </c>
      <c r="Q421" s="15" t="n">
        <f aca="false">INDEX(Éléments!$C$5:$C$14,$U421)</f>
        <v>0</v>
      </c>
      <c r="R421" s="11" t="str">
        <f aca="false">"Niv. "&amp;$P421&amp;IF($Q421&gt;0," · étage "&amp;$Q421&amp;" terminé","")</f>
        <v>Niv. 15</v>
      </c>
      <c r="S421" s="14" t="n">
        <f aca="false">IF(ISNUMBER($I421),$K421*IF($H421="Zone",Paramètres!$B$8,1)/MAX(1,$I421),0)</f>
        <v>0.2</v>
      </c>
      <c r="T421" s="16" t="n">
        <v>57</v>
      </c>
      <c r="U421" s="16" t="n">
        <v>1</v>
      </c>
    </row>
    <row r="422" customFormat="false" ht="15" hidden="false" customHeight="true" outlineLevel="0" collapsed="false">
      <c r="A422" s="9" t="s">
        <v>491</v>
      </c>
      <c r="B422" s="10" t="str">
        <f aca="false">INDEX(Bases!$B$5:$B$83,$T422)</f>
        <v>Tireur</v>
      </c>
      <c r="C422" s="10" t="str">
        <f aca="false">INDEX(Bases!$E$5:$E$83,$T422)</f>
        <v>Soutien (arme 2)</v>
      </c>
      <c r="D422" s="10" t="str">
        <f aca="false">INDEX(Bases!$F$5:$F$83,$T422)</f>
        <v>Debuff</v>
      </c>
      <c r="E422" s="11" t="str">
        <f aca="false">INDEX(Bases!$C$5:$C$83,$T422)</f>
        <v>Flèche marquante</v>
      </c>
      <c r="F422" s="10" t="str">
        <f aca="false">INDEX(Éléments!$A$5:$A$14,$U422)</f>
        <v>Terre</v>
      </c>
      <c r="G422" s="12" t="str">
        <f aca="false">IF(OR($F422="Neutre",$C422="Passif"),$E422,INDEX(Bases!$D$5:$D$83,$T422)&amp;" "&amp;INDEX(Éléments!$D$5:$D$14,$U422))</f>
        <v>Marque de pierre</v>
      </c>
      <c r="H422" s="10" t="str">
        <f aca="false">INDEX(Bases!$G$5:$G$83,$T422)</f>
        <v>Mono</v>
      </c>
      <c r="I422" s="13" t="n">
        <f aca="false">INDEX(Bases!$H$5:$H$83,$T422)</f>
        <v>2</v>
      </c>
      <c r="J422" s="10" t="str">
        <f aca="false">INDEX(Bases!$I$5:$I$83,$T422)</f>
        <v>Non</v>
      </c>
      <c r="K422" s="14" t="n">
        <f aca="false">INDEX(Bases!$J$5:$J$83,$T422)</f>
        <v>0.4</v>
      </c>
      <c r="L422" s="10" t="str">
        <f aca="false">INDEX(Bases!$K$5:$K$83,$T422)</f>
        <v>Force</v>
      </c>
      <c r="M422" s="11" t="str">
        <f aca="false">INDEX(Bases!$L$5:$L$83,$T422)</f>
        <v>Marqué : la cible subit +15 % de dégâts pendant 2 tours.</v>
      </c>
      <c r="N422" s="11" t="str">
        <f aca="false">IF($C422="Passif","—",IF($C422="Attaque (arme 1)",INDEX(Éléments!$F$5:$F$14,$U422),INDEX(Éléments!$G$5:$G$14,$U422)))</f>
        <v>+15 % d'Armure pendant la durée de l'effet.</v>
      </c>
      <c r="O422" s="10" t="str">
        <f aca="false">INDEX(Bases!$M$5:$M$83,$T422)</f>
        <v>Active</v>
      </c>
      <c r="P422" s="13" t="n">
        <f aca="false">INDEX(Bases!$N$5:$N$83,$T422)</f>
        <v>15</v>
      </c>
      <c r="Q422" s="15" t="n">
        <f aca="false">INDEX(Éléments!$C$5:$C$14,$U422)</f>
        <v>20</v>
      </c>
      <c r="R422" s="11" t="str">
        <f aca="false">"Niv. "&amp;$P422&amp;IF($Q422&gt;0," · étage "&amp;$Q422&amp;" terminé","")</f>
        <v>Niv. 15 · étage 20 terminé</v>
      </c>
      <c r="S422" s="14" t="n">
        <f aca="false">IF(ISNUMBER($I422),$K422*IF($H422="Zone",Paramètres!$B$8,1)/MAX(1,$I422),0)</f>
        <v>0.2</v>
      </c>
      <c r="T422" s="16" t="n">
        <v>57</v>
      </c>
      <c r="U422" s="16" t="n">
        <v>2</v>
      </c>
    </row>
    <row r="423" customFormat="false" ht="15" hidden="false" customHeight="true" outlineLevel="0" collapsed="false">
      <c r="A423" s="9" t="s">
        <v>492</v>
      </c>
      <c r="B423" s="10" t="str">
        <f aca="false">INDEX(Bases!$B$5:$B$83,$T423)</f>
        <v>Tireur</v>
      </c>
      <c r="C423" s="10" t="str">
        <f aca="false">INDEX(Bases!$E$5:$E$83,$T423)</f>
        <v>Soutien (arme 2)</v>
      </c>
      <c r="D423" s="10" t="str">
        <f aca="false">INDEX(Bases!$F$5:$F$83,$T423)</f>
        <v>Debuff</v>
      </c>
      <c r="E423" s="11" t="str">
        <f aca="false">INDEX(Bases!$C$5:$C$83,$T423)</f>
        <v>Flèche marquante</v>
      </c>
      <c r="F423" s="10" t="str">
        <f aca="false">INDEX(Éléments!$A$5:$A$14,$U423)</f>
        <v>Feu</v>
      </c>
      <c r="G423" s="12" t="str">
        <f aca="false">IF(OR($F423="Neutre",$C423="Passif"),$E423,INDEX(Bases!$D$5:$D$83,$T423)&amp;" "&amp;INDEX(Éléments!$D$5:$D$14,$U423))</f>
        <v>Marque de feu</v>
      </c>
      <c r="H423" s="10" t="str">
        <f aca="false">INDEX(Bases!$G$5:$G$83,$T423)</f>
        <v>Mono</v>
      </c>
      <c r="I423" s="13" t="n">
        <f aca="false">INDEX(Bases!$H$5:$H$83,$T423)</f>
        <v>2</v>
      </c>
      <c r="J423" s="10" t="str">
        <f aca="false">INDEX(Bases!$I$5:$I$83,$T423)</f>
        <v>Non</v>
      </c>
      <c r="K423" s="14" t="n">
        <f aca="false">INDEX(Bases!$J$5:$J$83,$T423)</f>
        <v>0.4</v>
      </c>
      <c r="L423" s="10" t="str">
        <f aca="false">INDEX(Bases!$K$5:$K$83,$T423)</f>
        <v>Force</v>
      </c>
      <c r="M423" s="11" t="str">
        <f aca="false">INDEX(Bases!$L$5:$L$83,$T423)</f>
        <v>Marqué : la cible subit +15 % de dégâts pendant 2 tours.</v>
      </c>
      <c r="N423" s="11" t="str">
        <f aca="false">IF($C423="Passif","—",IF($C423="Attaque (arme 1)",INDEX(Éléments!$F$5:$F$14,$U423),INDEX(Éléments!$G$5:$G$14,$U423)))</f>
        <v>Les ennemis qui frappent le lanceur ont 40 % de subir Brûlure (pendant la durée).</v>
      </c>
      <c r="O423" s="10" t="str">
        <f aca="false">INDEX(Bases!$M$5:$M$83,$T423)</f>
        <v>Active</v>
      </c>
      <c r="P423" s="13" t="n">
        <f aca="false">INDEX(Bases!$N$5:$N$83,$T423)</f>
        <v>15</v>
      </c>
      <c r="Q423" s="15" t="n">
        <f aca="false">INDEX(Éléments!$C$5:$C$14,$U423)</f>
        <v>30</v>
      </c>
      <c r="R423" s="11" t="str">
        <f aca="false">"Niv. "&amp;$P423&amp;IF($Q423&gt;0," · étage "&amp;$Q423&amp;" terminé","")</f>
        <v>Niv. 15 · étage 30 terminé</v>
      </c>
      <c r="S423" s="14" t="n">
        <f aca="false">IF(ISNUMBER($I423),$K423*IF($H423="Zone",Paramètres!$B$8,1)/MAX(1,$I423),0)</f>
        <v>0.2</v>
      </c>
      <c r="T423" s="16" t="n">
        <v>57</v>
      </c>
      <c r="U423" s="16" t="n">
        <v>3</v>
      </c>
    </row>
    <row r="424" customFormat="false" ht="15" hidden="false" customHeight="true" outlineLevel="0" collapsed="false">
      <c r="A424" s="9" t="s">
        <v>493</v>
      </c>
      <c r="B424" s="10" t="str">
        <f aca="false">INDEX(Bases!$B$5:$B$83,$T424)</f>
        <v>Tireur</v>
      </c>
      <c r="C424" s="10" t="str">
        <f aca="false">INDEX(Bases!$E$5:$E$83,$T424)</f>
        <v>Soutien (arme 2)</v>
      </c>
      <c r="D424" s="10" t="str">
        <f aca="false">INDEX(Bases!$F$5:$F$83,$T424)</f>
        <v>Debuff</v>
      </c>
      <c r="E424" s="11" t="str">
        <f aca="false">INDEX(Bases!$C$5:$C$83,$T424)</f>
        <v>Flèche marquante</v>
      </c>
      <c r="F424" s="10" t="str">
        <f aca="false">INDEX(Éléments!$A$5:$A$14,$U424)</f>
        <v>Vent</v>
      </c>
      <c r="G424" s="12" t="str">
        <f aca="false">IF(OR($F424="Neutre",$C424="Passif"),$E424,INDEX(Bases!$D$5:$D$83,$T424)&amp;" "&amp;INDEX(Éléments!$D$5:$D$14,$U424))</f>
        <v>Marque de vent</v>
      </c>
      <c r="H424" s="10" t="str">
        <f aca="false">INDEX(Bases!$G$5:$G$83,$T424)</f>
        <v>Mono</v>
      </c>
      <c r="I424" s="13" t="n">
        <f aca="false">INDEX(Bases!$H$5:$H$83,$T424)</f>
        <v>2</v>
      </c>
      <c r="J424" s="10" t="str">
        <f aca="false">INDEX(Bases!$I$5:$I$83,$T424)</f>
        <v>Non</v>
      </c>
      <c r="K424" s="14" t="n">
        <f aca="false">INDEX(Bases!$J$5:$J$83,$T424)</f>
        <v>0.4</v>
      </c>
      <c r="L424" s="10" t="str">
        <f aca="false">INDEX(Bases!$K$5:$K$83,$T424)</f>
        <v>Force</v>
      </c>
      <c r="M424" s="11" t="str">
        <f aca="false">INDEX(Bases!$L$5:$L$83,$T424)</f>
        <v>Marqué : la cible subit +15 % de dégâts pendant 2 tours.</v>
      </c>
      <c r="N424" s="11" t="str">
        <f aca="false">IF($C424="Passif","—",IF($C424="Attaque (arme 1)",INDEX(Éléments!$F$5:$F$14,$U424),INDEX(Éléments!$G$5:$G$14,$U424)))</f>
        <v>+10 % d'Agilité (esquive) pendant la durée de l'effet.</v>
      </c>
      <c r="O424" s="10" t="str">
        <f aca="false">INDEX(Bases!$M$5:$M$83,$T424)</f>
        <v>Active</v>
      </c>
      <c r="P424" s="13" t="n">
        <f aca="false">INDEX(Bases!$N$5:$N$83,$T424)</f>
        <v>15</v>
      </c>
      <c r="Q424" s="15" t="n">
        <f aca="false">INDEX(Éléments!$C$5:$C$14,$U424)</f>
        <v>40</v>
      </c>
      <c r="R424" s="11" t="str">
        <f aca="false">"Niv. "&amp;$P424&amp;IF($Q424&gt;0," · étage "&amp;$Q424&amp;" terminé","")</f>
        <v>Niv. 15 · étage 40 terminé</v>
      </c>
      <c r="S424" s="14" t="n">
        <f aca="false">IF(ISNUMBER($I424),$K424*IF($H424="Zone",Paramètres!$B$8,1)/MAX(1,$I424),0)</f>
        <v>0.2</v>
      </c>
      <c r="T424" s="16" t="n">
        <v>57</v>
      </c>
      <c r="U424" s="16" t="n">
        <v>4</v>
      </c>
    </row>
    <row r="425" customFormat="false" ht="15" hidden="false" customHeight="true" outlineLevel="0" collapsed="false">
      <c r="A425" s="9" t="s">
        <v>494</v>
      </c>
      <c r="B425" s="10" t="str">
        <f aca="false">INDEX(Bases!$B$5:$B$83,$T425)</f>
        <v>Tireur</v>
      </c>
      <c r="C425" s="10" t="str">
        <f aca="false">INDEX(Bases!$E$5:$E$83,$T425)</f>
        <v>Soutien (arme 2)</v>
      </c>
      <c r="D425" s="10" t="str">
        <f aca="false">INDEX(Bases!$F$5:$F$83,$T425)</f>
        <v>Debuff</v>
      </c>
      <c r="E425" s="11" t="str">
        <f aca="false">INDEX(Bases!$C$5:$C$83,$T425)</f>
        <v>Flèche marquante</v>
      </c>
      <c r="F425" s="10" t="str">
        <f aca="false">INDEX(Éléments!$A$5:$A$14,$U425)</f>
        <v>Acide</v>
      </c>
      <c r="G425" s="12" t="str">
        <f aca="false">IF(OR($F425="Neutre",$C425="Passif"),$E425,INDEX(Bases!$D$5:$D$83,$T425)&amp;" "&amp;INDEX(Éléments!$D$5:$D$14,$U425))</f>
        <v>Marque d'acide</v>
      </c>
      <c r="H425" s="10" t="str">
        <f aca="false">INDEX(Bases!$G$5:$G$83,$T425)</f>
        <v>Mono</v>
      </c>
      <c r="I425" s="13" t="n">
        <f aca="false">INDEX(Bases!$H$5:$H$83,$T425)</f>
        <v>2</v>
      </c>
      <c r="J425" s="10" t="str">
        <f aca="false">INDEX(Bases!$I$5:$I$83,$T425)</f>
        <v>Non</v>
      </c>
      <c r="K425" s="14" t="n">
        <f aca="false">INDEX(Bases!$J$5:$J$83,$T425)</f>
        <v>0.4</v>
      </c>
      <c r="L425" s="10" t="str">
        <f aca="false">INDEX(Bases!$K$5:$K$83,$T425)</f>
        <v>Force</v>
      </c>
      <c r="M425" s="11" t="str">
        <f aca="false">INDEX(Bases!$L$5:$L$83,$T425)</f>
        <v>Marqué : la cible subit +15 % de dégâts pendant 2 tours.</v>
      </c>
      <c r="N425" s="11" t="str">
        <f aca="false">IF($C425="Passif","—",IF($C425="Attaque (arme 1)",INDEX(Éléments!$F$5:$F$14,$U425),INDEX(Éléments!$G$5:$G$14,$U425)))</f>
        <v>Les ennemis qui frappent le lanceur prennent 1 pile de Corrosion (40 %).</v>
      </c>
      <c r="O425" s="10" t="str">
        <f aca="false">INDEX(Bases!$M$5:$M$83,$T425)</f>
        <v>Active</v>
      </c>
      <c r="P425" s="13" t="n">
        <f aca="false">INDEX(Bases!$N$5:$N$83,$T425)</f>
        <v>15</v>
      </c>
      <c r="Q425" s="15" t="n">
        <f aca="false">INDEX(Éléments!$C$5:$C$14,$U425)</f>
        <v>50</v>
      </c>
      <c r="R425" s="11" t="str">
        <f aca="false">"Niv. "&amp;$P425&amp;IF($Q425&gt;0," · étage "&amp;$Q425&amp;" terminé","")</f>
        <v>Niv. 15 · étage 50 terminé</v>
      </c>
      <c r="S425" s="14" t="n">
        <f aca="false">IF(ISNUMBER($I425),$K425*IF($H425="Zone",Paramètres!$B$8,1)/MAX(1,$I425),0)</f>
        <v>0.2</v>
      </c>
      <c r="T425" s="16" t="n">
        <v>57</v>
      </c>
      <c r="U425" s="16" t="n">
        <v>5</v>
      </c>
    </row>
    <row r="426" customFormat="false" ht="15" hidden="false" customHeight="true" outlineLevel="0" collapsed="false">
      <c r="A426" s="9" t="s">
        <v>495</v>
      </c>
      <c r="B426" s="10" t="str">
        <f aca="false">INDEX(Bases!$B$5:$B$83,$T426)</f>
        <v>Tireur</v>
      </c>
      <c r="C426" s="10" t="str">
        <f aca="false">INDEX(Bases!$E$5:$E$83,$T426)</f>
        <v>Soutien (arme 2)</v>
      </c>
      <c r="D426" s="10" t="str">
        <f aca="false">INDEX(Bases!$F$5:$F$83,$T426)</f>
        <v>Debuff</v>
      </c>
      <c r="E426" s="11" t="str">
        <f aca="false">INDEX(Bases!$C$5:$C$83,$T426)</f>
        <v>Flèche marquante</v>
      </c>
      <c r="F426" s="10" t="str">
        <f aca="false">INDEX(Éléments!$A$5:$A$14,$U426)</f>
        <v>Eau</v>
      </c>
      <c r="G426" s="12" t="str">
        <f aca="false">IF(OR($F426="Neutre",$C426="Passif"),$E426,INDEX(Bases!$D$5:$D$83,$T426)&amp;" "&amp;INDEX(Éléments!$D$5:$D$14,$U426))</f>
        <v>Marque d'eau</v>
      </c>
      <c r="H426" s="10" t="str">
        <f aca="false">INDEX(Bases!$G$5:$G$83,$T426)</f>
        <v>Mono</v>
      </c>
      <c r="I426" s="13" t="n">
        <f aca="false">INDEX(Bases!$H$5:$H$83,$T426)</f>
        <v>2</v>
      </c>
      <c r="J426" s="10" t="str">
        <f aca="false">INDEX(Bases!$I$5:$I$83,$T426)</f>
        <v>Non</v>
      </c>
      <c r="K426" s="14" t="n">
        <f aca="false">INDEX(Bases!$J$5:$J$83,$T426)</f>
        <v>0.4</v>
      </c>
      <c r="L426" s="10" t="str">
        <f aca="false">INDEX(Bases!$K$5:$K$83,$T426)</f>
        <v>Force</v>
      </c>
      <c r="M426" s="11" t="str">
        <f aca="false">INDEX(Bases!$L$5:$L$83,$T426)</f>
        <v>Marqué : la cible subit +15 % de dégâts pendant 2 tours.</v>
      </c>
      <c r="N426" s="11" t="str">
        <f aca="false">IF($C426="Passif","—",IF($C426="Attaque (arme 1)",INDEX(Éléments!$F$5:$F$14,$U426),INDEX(Éléments!$G$5:$G$14,$U426)))</f>
        <v>Soin supplémentaire de 4 % des PV max ; retire Brûlure du lanceur.</v>
      </c>
      <c r="O426" s="10" t="str">
        <f aca="false">INDEX(Bases!$M$5:$M$83,$T426)</f>
        <v>Active</v>
      </c>
      <c r="P426" s="13" t="n">
        <f aca="false">INDEX(Bases!$N$5:$N$83,$T426)</f>
        <v>15</v>
      </c>
      <c r="Q426" s="15" t="n">
        <f aca="false">INDEX(Éléments!$C$5:$C$14,$U426)</f>
        <v>60</v>
      </c>
      <c r="R426" s="11" t="str">
        <f aca="false">"Niv. "&amp;$P426&amp;IF($Q426&gt;0," · étage "&amp;$Q426&amp;" terminé","")</f>
        <v>Niv. 15 · étage 60 terminé</v>
      </c>
      <c r="S426" s="14" t="n">
        <f aca="false">IF(ISNUMBER($I426),$K426*IF($H426="Zone",Paramètres!$B$8,1)/MAX(1,$I426),0)</f>
        <v>0.2</v>
      </c>
      <c r="T426" s="16" t="n">
        <v>57</v>
      </c>
      <c r="U426" s="16" t="n">
        <v>6</v>
      </c>
    </row>
    <row r="427" customFormat="false" ht="15" hidden="false" customHeight="true" outlineLevel="0" collapsed="false">
      <c r="A427" s="9" t="s">
        <v>496</v>
      </c>
      <c r="B427" s="10" t="str">
        <f aca="false">INDEX(Bases!$B$5:$B$83,$T427)</f>
        <v>Tireur</v>
      </c>
      <c r="C427" s="10" t="str">
        <f aca="false">INDEX(Bases!$E$5:$E$83,$T427)</f>
        <v>Soutien (arme 2)</v>
      </c>
      <c r="D427" s="10" t="str">
        <f aca="false">INDEX(Bases!$F$5:$F$83,$T427)</f>
        <v>Debuff</v>
      </c>
      <c r="E427" s="11" t="str">
        <f aca="false">INDEX(Bases!$C$5:$C$83,$T427)</f>
        <v>Flèche marquante</v>
      </c>
      <c r="F427" s="10" t="str">
        <f aca="false">INDEX(Éléments!$A$5:$A$14,$U427)</f>
        <v>Glace</v>
      </c>
      <c r="G427" s="12" t="str">
        <f aca="false">IF(OR($F427="Neutre",$C427="Passif"),$E427,INDEX(Bases!$D$5:$D$83,$T427)&amp;" "&amp;INDEX(Éléments!$D$5:$D$14,$U427))</f>
        <v>Marque de glace</v>
      </c>
      <c r="H427" s="10" t="str">
        <f aca="false">INDEX(Bases!$G$5:$G$83,$T427)</f>
        <v>Mono</v>
      </c>
      <c r="I427" s="13" t="n">
        <f aca="false">INDEX(Bases!$H$5:$H$83,$T427)</f>
        <v>2</v>
      </c>
      <c r="J427" s="10" t="str">
        <f aca="false">INDEX(Bases!$I$5:$I$83,$T427)</f>
        <v>Non</v>
      </c>
      <c r="K427" s="14" t="n">
        <f aca="false">INDEX(Bases!$J$5:$J$83,$T427)</f>
        <v>0.4</v>
      </c>
      <c r="L427" s="10" t="str">
        <f aca="false">INDEX(Bases!$K$5:$K$83,$T427)</f>
        <v>Force</v>
      </c>
      <c r="M427" s="11" t="str">
        <f aca="false">INDEX(Bases!$L$5:$L$83,$T427)</f>
        <v>Marqué : la cible subit +15 % de dégâts pendant 2 tours.</v>
      </c>
      <c r="N427" s="11" t="str">
        <f aca="false">IF($C427="Passif","—",IF($C427="Attaque (arme 1)",INDEX(Éléments!$F$5:$F$14,$U427),INDEX(Éléments!$G$5:$G$14,$U427)))</f>
        <v>Les ennemis qui frappent le lanceur prennent 1 pile de Froid (40 %).</v>
      </c>
      <c r="O427" s="10" t="str">
        <f aca="false">INDEX(Bases!$M$5:$M$83,$T427)</f>
        <v>Active</v>
      </c>
      <c r="P427" s="13" t="n">
        <f aca="false">INDEX(Bases!$N$5:$N$83,$T427)</f>
        <v>15</v>
      </c>
      <c r="Q427" s="15" t="n">
        <f aca="false">INDEX(Éléments!$C$5:$C$14,$U427)</f>
        <v>70</v>
      </c>
      <c r="R427" s="11" t="str">
        <f aca="false">"Niv. "&amp;$P427&amp;IF($Q427&gt;0," · étage "&amp;$Q427&amp;" terminé","")</f>
        <v>Niv. 15 · étage 70 terminé</v>
      </c>
      <c r="S427" s="14" t="n">
        <f aca="false">IF(ISNUMBER($I427),$K427*IF($H427="Zone",Paramètres!$B$8,1)/MAX(1,$I427),0)</f>
        <v>0.2</v>
      </c>
      <c r="T427" s="16" t="n">
        <v>57</v>
      </c>
      <c r="U427" s="16" t="n">
        <v>7</v>
      </c>
    </row>
    <row r="428" customFormat="false" ht="15" hidden="false" customHeight="true" outlineLevel="0" collapsed="false">
      <c r="A428" s="9" t="s">
        <v>497</v>
      </c>
      <c r="B428" s="10" t="str">
        <f aca="false">INDEX(Bases!$B$5:$B$83,$T428)</f>
        <v>Tireur</v>
      </c>
      <c r="C428" s="10" t="str">
        <f aca="false">INDEX(Bases!$E$5:$E$83,$T428)</f>
        <v>Soutien (arme 2)</v>
      </c>
      <c r="D428" s="10" t="str">
        <f aca="false">INDEX(Bases!$F$5:$F$83,$T428)</f>
        <v>Debuff</v>
      </c>
      <c r="E428" s="11" t="str">
        <f aca="false">INDEX(Bases!$C$5:$C$83,$T428)</f>
        <v>Flèche marquante</v>
      </c>
      <c r="F428" s="10" t="str">
        <f aca="false">INDEX(Éléments!$A$5:$A$14,$U428)</f>
        <v>Électricité</v>
      </c>
      <c r="G428" s="12" t="str">
        <f aca="false">IF(OR($F428="Neutre",$C428="Passif"),$E428,INDEX(Bases!$D$5:$D$83,$T428)&amp;" "&amp;INDEX(Éléments!$D$5:$D$14,$U428))</f>
        <v>Marque de foudre</v>
      </c>
      <c r="H428" s="10" t="str">
        <f aca="false">INDEX(Bases!$G$5:$G$83,$T428)</f>
        <v>Mono</v>
      </c>
      <c r="I428" s="13" t="n">
        <f aca="false">INDEX(Bases!$H$5:$H$83,$T428)</f>
        <v>2</v>
      </c>
      <c r="J428" s="10" t="str">
        <f aca="false">INDEX(Bases!$I$5:$I$83,$T428)</f>
        <v>Non</v>
      </c>
      <c r="K428" s="14" t="n">
        <f aca="false">INDEX(Bases!$J$5:$J$83,$T428)</f>
        <v>0.4</v>
      </c>
      <c r="L428" s="10" t="str">
        <f aca="false">INDEX(Bases!$K$5:$K$83,$T428)</f>
        <v>Force</v>
      </c>
      <c r="M428" s="11" t="str">
        <f aca="false">INDEX(Bases!$L$5:$L$83,$T428)</f>
        <v>Marqué : la cible subit +15 % de dégâts pendant 2 tours.</v>
      </c>
      <c r="N428" s="11" t="str">
        <f aca="false">IF($C428="Passif","—",IF($C428="Attaque (arme 1)",INDEX(Éléments!$F$5:$F$14,$U428),INDEX(Éléments!$G$5:$G$14,$U428)))</f>
        <v>La prochaine attaque du lanceur inflige +15 % de dégâts.</v>
      </c>
      <c r="O428" s="10" t="str">
        <f aca="false">INDEX(Bases!$M$5:$M$83,$T428)</f>
        <v>Active</v>
      </c>
      <c r="P428" s="13" t="n">
        <f aca="false">INDEX(Bases!$N$5:$N$83,$T428)</f>
        <v>15</v>
      </c>
      <c r="Q428" s="15" t="n">
        <f aca="false">INDEX(Éléments!$C$5:$C$14,$U428)</f>
        <v>80</v>
      </c>
      <c r="R428" s="11" t="str">
        <f aca="false">"Niv. "&amp;$P428&amp;IF($Q428&gt;0," · étage "&amp;$Q428&amp;" terminé","")</f>
        <v>Niv. 15 · étage 80 terminé</v>
      </c>
      <c r="S428" s="14" t="n">
        <f aca="false">IF(ISNUMBER($I428),$K428*IF($H428="Zone",Paramètres!$B$8,1)/MAX(1,$I428),0)</f>
        <v>0.2</v>
      </c>
      <c r="T428" s="16" t="n">
        <v>57</v>
      </c>
      <c r="U428" s="16" t="n">
        <v>8</v>
      </c>
    </row>
    <row r="429" customFormat="false" ht="15" hidden="false" customHeight="true" outlineLevel="0" collapsed="false">
      <c r="A429" s="9" t="s">
        <v>498</v>
      </c>
      <c r="B429" s="10" t="str">
        <f aca="false">INDEX(Bases!$B$5:$B$83,$T429)</f>
        <v>Tireur</v>
      </c>
      <c r="C429" s="10" t="str">
        <f aca="false">INDEX(Bases!$E$5:$E$83,$T429)</f>
        <v>Soutien (arme 2)</v>
      </c>
      <c r="D429" s="10" t="str">
        <f aca="false">INDEX(Bases!$F$5:$F$83,$T429)</f>
        <v>Debuff</v>
      </c>
      <c r="E429" s="11" t="str">
        <f aca="false">INDEX(Bases!$C$5:$C$83,$T429)</f>
        <v>Flèche marquante</v>
      </c>
      <c r="F429" s="10" t="str">
        <f aca="false">INDEX(Éléments!$A$5:$A$14,$U429)</f>
        <v>Lumière</v>
      </c>
      <c r="G429" s="12" t="str">
        <f aca="false">IF(OR($F429="Neutre",$C429="Passif"),$E429,INDEX(Bases!$D$5:$D$83,$T429)&amp;" "&amp;INDEX(Éléments!$D$5:$D$14,$U429))</f>
        <v>Marque de lumière</v>
      </c>
      <c r="H429" s="10" t="str">
        <f aca="false">INDEX(Bases!$G$5:$G$83,$T429)</f>
        <v>Mono</v>
      </c>
      <c r="I429" s="13" t="n">
        <f aca="false">INDEX(Bases!$H$5:$H$83,$T429)</f>
        <v>2</v>
      </c>
      <c r="J429" s="10" t="str">
        <f aca="false">INDEX(Bases!$I$5:$I$83,$T429)</f>
        <v>Non</v>
      </c>
      <c r="K429" s="14" t="n">
        <f aca="false">INDEX(Bases!$J$5:$J$83,$T429)</f>
        <v>0.4</v>
      </c>
      <c r="L429" s="10" t="str">
        <f aca="false">INDEX(Bases!$K$5:$K$83,$T429)</f>
        <v>Force</v>
      </c>
      <c r="M429" s="11" t="str">
        <f aca="false">INDEX(Bases!$L$5:$L$83,$T429)</f>
        <v>Marqué : la cible subit +15 % de dégâts pendant 2 tours.</v>
      </c>
      <c r="N429" s="11" t="str">
        <f aca="false">IF($C429="Passif","—",IF($C429="Attaque (arme 1)",INDEX(Éléments!$F$5:$F$14,$U429),INDEX(Éléments!$G$5:$G$14,$U429)))</f>
        <v>+20 % sur les soins et boucliers de la compétence.</v>
      </c>
      <c r="O429" s="10" t="str">
        <f aca="false">INDEX(Bases!$M$5:$M$83,$T429)</f>
        <v>Active</v>
      </c>
      <c r="P429" s="13" t="n">
        <f aca="false">INDEX(Bases!$N$5:$N$83,$T429)</f>
        <v>15</v>
      </c>
      <c r="Q429" s="15" t="n">
        <f aca="false">INDEX(Éléments!$C$5:$C$14,$U429)</f>
        <v>90</v>
      </c>
      <c r="R429" s="11" t="str">
        <f aca="false">"Niv. "&amp;$P429&amp;IF($Q429&gt;0," · étage "&amp;$Q429&amp;" terminé","")</f>
        <v>Niv. 15 · étage 90 terminé</v>
      </c>
      <c r="S429" s="14" t="n">
        <f aca="false">IF(ISNUMBER($I429),$K429*IF($H429="Zone",Paramètres!$B$8,1)/MAX(1,$I429),0)</f>
        <v>0.2</v>
      </c>
      <c r="T429" s="16" t="n">
        <v>57</v>
      </c>
      <c r="U429" s="16" t="n">
        <v>9</v>
      </c>
    </row>
    <row r="430" customFormat="false" ht="15" hidden="false" customHeight="true" outlineLevel="0" collapsed="false">
      <c r="A430" s="9" t="s">
        <v>499</v>
      </c>
      <c r="B430" s="10" t="str">
        <f aca="false">INDEX(Bases!$B$5:$B$83,$T430)</f>
        <v>Tireur</v>
      </c>
      <c r="C430" s="10" t="str">
        <f aca="false">INDEX(Bases!$E$5:$E$83,$T430)</f>
        <v>Soutien (arme 2)</v>
      </c>
      <c r="D430" s="10" t="str">
        <f aca="false">INDEX(Bases!$F$5:$F$83,$T430)</f>
        <v>Debuff</v>
      </c>
      <c r="E430" s="11" t="str">
        <f aca="false">INDEX(Bases!$C$5:$C$83,$T430)</f>
        <v>Flèche marquante</v>
      </c>
      <c r="F430" s="10" t="str">
        <f aca="false">INDEX(Éléments!$A$5:$A$14,$U430)</f>
        <v>Ombre</v>
      </c>
      <c r="G430" s="12" t="str">
        <f aca="false">IF(OR($F430="Neutre",$C430="Passif"),$E430,INDEX(Bases!$D$5:$D$83,$T430)&amp;" "&amp;INDEX(Éléments!$D$5:$D$14,$U430))</f>
        <v>Marque d'ombre</v>
      </c>
      <c r="H430" s="10" t="str">
        <f aca="false">INDEX(Bases!$G$5:$G$83,$T430)</f>
        <v>Mono</v>
      </c>
      <c r="I430" s="13" t="n">
        <f aca="false">INDEX(Bases!$H$5:$H$83,$T430)</f>
        <v>2</v>
      </c>
      <c r="J430" s="10" t="str">
        <f aca="false">INDEX(Bases!$I$5:$I$83,$T430)</f>
        <v>Non</v>
      </c>
      <c r="K430" s="14" t="n">
        <f aca="false">INDEX(Bases!$J$5:$J$83,$T430)</f>
        <v>0.4</v>
      </c>
      <c r="L430" s="10" t="str">
        <f aca="false">INDEX(Bases!$K$5:$K$83,$T430)</f>
        <v>Force</v>
      </c>
      <c r="M430" s="11" t="str">
        <f aca="false">INDEX(Bases!$L$5:$L$83,$T430)</f>
        <v>Marqué : la cible subit +15 % de dégâts pendant 2 tours.</v>
      </c>
      <c r="N430" s="11" t="str">
        <f aca="false">IF($C430="Passif","—",IF($C430="Attaque (arme 1)",INDEX(Éléments!$F$5:$F$14,$U430),INDEX(Éléments!$G$5:$G$14,$U430)))</f>
        <v>Les ennemis qui frappent le lanceur subissent Corruption (25 %).</v>
      </c>
      <c r="O430" s="10" t="str">
        <f aca="false">INDEX(Bases!$M$5:$M$83,$T430)</f>
        <v>Active</v>
      </c>
      <c r="P430" s="13" t="n">
        <f aca="false">INDEX(Bases!$N$5:$N$83,$T430)</f>
        <v>15</v>
      </c>
      <c r="Q430" s="15" t="n">
        <f aca="false">INDEX(Éléments!$C$5:$C$14,$U430)</f>
        <v>100</v>
      </c>
      <c r="R430" s="11" t="str">
        <f aca="false">"Niv. "&amp;$P430&amp;IF($Q430&gt;0," · étage "&amp;$Q430&amp;" terminé","")</f>
        <v>Niv. 15 · étage 100 terminé</v>
      </c>
      <c r="S430" s="14" t="n">
        <f aca="false">IF(ISNUMBER($I430),$K430*IF($H430="Zone",Paramètres!$B$8,1)/MAX(1,$I430),0)</f>
        <v>0.2</v>
      </c>
      <c r="T430" s="16" t="n">
        <v>57</v>
      </c>
      <c r="U430" s="16" t="n">
        <v>10</v>
      </c>
    </row>
    <row r="431" customFormat="false" ht="15" hidden="false" customHeight="true" outlineLevel="0" collapsed="false">
      <c r="A431" s="9" t="s">
        <v>500</v>
      </c>
      <c r="B431" s="10" t="str">
        <f aca="false">INDEX(Bases!$B$5:$B$83,$T431)</f>
        <v>Tireur</v>
      </c>
      <c r="C431" s="10" t="str">
        <f aca="false">INDEX(Bases!$E$5:$E$83,$T431)</f>
        <v>Soutien (arme 2)</v>
      </c>
      <c r="D431" s="10" t="str">
        <f aca="false">INDEX(Bases!$F$5:$F$83,$T431)</f>
        <v>Debuff</v>
      </c>
      <c r="E431" s="11" t="str">
        <f aca="false">INDEX(Bases!$C$5:$C$83,$T431)</f>
        <v>Piège à loup</v>
      </c>
      <c r="F431" s="10" t="str">
        <f aca="false">INDEX(Éléments!$A$5:$A$14,$U431)</f>
        <v>Neutre</v>
      </c>
      <c r="G431" s="12" t="str">
        <f aca="false">IF(OR($F431="Neutre",$C431="Passif"),$E431,INDEX(Bases!$D$5:$D$83,$T431)&amp;" "&amp;INDEX(Éléments!$D$5:$D$14,$U431))</f>
        <v>Piège à loup</v>
      </c>
      <c r="H431" s="10" t="str">
        <f aca="false">INDEX(Bases!$G$5:$G$83,$T431)</f>
        <v>Mono</v>
      </c>
      <c r="I431" s="13" t="n">
        <f aca="false">INDEX(Bases!$H$5:$H$83,$T431)</f>
        <v>2</v>
      </c>
      <c r="J431" s="10" t="str">
        <f aca="false">INDEX(Bases!$I$5:$I$83,$T431)</f>
        <v>Non</v>
      </c>
      <c r="K431" s="14" t="n">
        <f aca="false">INDEX(Bases!$J$5:$J$83,$T431)</f>
        <v>0.5</v>
      </c>
      <c r="L431" s="10" t="str">
        <f aca="false">INDEX(Bases!$K$5:$K$83,$T431)</f>
        <v>Force</v>
      </c>
      <c r="M431" s="11" t="str">
        <f aca="false">INDEX(Bases!$L$5:$L$83,$T431)</f>
        <v>Enraciné (−15 % Agilité) + Saignement pendant 3 tours.</v>
      </c>
      <c r="N431" s="11" t="str">
        <f aca="false">IF($C431="Passif","—",IF($C431="Attaque (arme 1)",INDEX(Éléments!$F$5:$F$14,$U431),INDEX(Éléments!$G$5:$G$14,$U431)))</f>
        <v>Aucun bonus élémentaire : effet de base seul.</v>
      </c>
      <c r="O431" s="10" t="str">
        <f aca="false">INDEX(Bases!$M$5:$M$83,$T431)</f>
        <v>Active</v>
      </c>
      <c r="P431" s="13" t="n">
        <f aca="false">INDEX(Bases!$N$5:$N$83,$T431)</f>
        <v>20</v>
      </c>
      <c r="Q431" s="15" t="n">
        <f aca="false">INDEX(Éléments!$C$5:$C$14,$U431)</f>
        <v>0</v>
      </c>
      <c r="R431" s="11" t="str">
        <f aca="false">"Niv. "&amp;$P431&amp;IF($Q431&gt;0," · étage "&amp;$Q431&amp;" terminé","")</f>
        <v>Niv. 20</v>
      </c>
      <c r="S431" s="14" t="n">
        <f aca="false">IF(ISNUMBER($I431),$K431*IF($H431="Zone",Paramètres!$B$8,1)/MAX(1,$I431),0)</f>
        <v>0.25</v>
      </c>
      <c r="T431" s="16" t="n">
        <v>58</v>
      </c>
      <c r="U431" s="16" t="n">
        <v>1</v>
      </c>
    </row>
    <row r="432" customFormat="false" ht="15" hidden="false" customHeight="true" outlineLevel="0" collapsed="false">
      <c r="A432" s="9" t="s">
        <v>501</v>
      </c>
      <c r="B432" s="10" t="str">
        <f aca="false">INDEX(Bases!$B$5:$B$83,$T432)</f>
        <v>Tireur</v>
      </c>
      <c r="C432" s="10" t="str">
        <f aca="false">INDEX(Bases!$E$5:$E$83,$T432)</f>
        <v>Soutien (arme 2)</v>
      </c>
      <c r="D432" s="10" t="str">
        <f aca="false">INDEX(Bases!$F$5:$F$83,$T432)</f>
        <v>Debuff</v>
      </c>
      <c r="E432" s="11" t="str">
        <f aca="false">INDEX(Bases!$C$5:$C$83,$T432)</f>
        <v>Piège à loup</v>
      </c>
      <c r="F432" s="10" t="str">
        <f aca="false">INDEX(Éléments!$A$5:$A$14,$U432)</f>
        <v>Terre</v>
      </c>
      <c r="G432" s="12" t="str">
        <f aca="false">IF(OR($F432="Neutre",$C432="Passif"),$E432,INDEX(Bases!$D$5:$D$83,$T432)&amp;" "&amp;INDEX(Éléments!$D$5:$D$14,$U432))</f>
        <v>Piège de pierre</v>
      </c>
      <c r="H432" s="10" t="str">
        <f aca="false">INDEX(Bases!$G$5:$G$83,$T432)</f>
        <v>Mono</v>
      </c>
      <c r="I432" s="13" t="n">
        <f aca="false">INDEX(Bases!$H$5:$H$83,$T432)</f>
        <v>2</v>
      </c>
      <c r="J432" s="10" t="str">
        <f aca="false">INDEX(Bases!$I$5:$I$83,$T432)</f>
        <v>Non</v>
      </c>
      <c r="K432" s="14" t="n">
        <f aca="false">INDEX(Bases!$J$5:$J$83,$T432)</f>
        <v>0.5</v>
      </c>
      <c r="L432" s="10" t="str">
        <f aca="false">INDEX(Bases!$K$5:$K$83,$T432)</f>
        <v>Force</v>
      </c>
      <c r="M432" s="11" t="str">
        <f aca="false">INDEX(Bases!$L$5:$L$83,$T432)</f>
        <v>Enraciné (−15 % Agilité) + Saignement pendant 3 tours.</v>
      </c>
      <c r="N432" s="11" t="str">
        <f aca="false">IF($C432="Passif","—",IF($C432="Attaque (arme 1)",INDEX(Éléments!$F$5:$F$14,$U432),INDEX(Éléments!$G$5:$G$14,$U432)))</f>
        <v>+15 % d'Armure pendant la durée de l'effet.</v>
      </c>
      <c r="O432" s="10" t="str">
        <f aca="false">INDEX(Bases!$M$5:$M$83,$T432)</f>
        <v>Active</v>
      </c>
      <c r="P432" s="13" t="n">
        <f aca="false">INDEX(Bases!$N$5:$N$83,$T432)</f>
        <v>20</v>
      </c>
      <c r="Q432" s="15" t="n">
        <f aca="false">INDEX(Éléments!$C$5:$C$14,$U432)</f>
        <v>20</v>
      </c>
      <c r="R432" s="11" t="str">
        <f aca="false">"Niv. "&amp;$P432&amp;IF($Q432&gt;0," · étage "&amp;$Q432&amp;" terminé","")</f>
        <v>Niv. 20 · étage 20 terminé</v>
      </c>
      <c r="S432" s="14" t="n">
        <f aca="false">IF(ISNUMBER($I432),$K432*IF($H432="Zone",Paramètres!$B$8,1)/MAX(1,$I432),0)</f>
        <v>0.25</v>
      </c>
      <c r="T432" s="16" t="n">
        <v>58</v>
      </c>
      <c r="U432" s="16" t="n">
        <v>2</v>
      </c>
    </row>
    <row r="433" customFormat="false" ht="15" hidden="false" customHeight="true" outlineLevel="0" collapsed="false">
      <c r="A433" s="9" t="s">
        <v>502</v>
      </c>
      <c r="B433" s="10" t="str">
        <f aca="false">INDEX(Bases!$B$5:$B$83,$T433)</f>
        <v>Tireur</v>
      </c>
      <c r="C433" s="10" t="str">
        <f aca="false">INDEX(Bases!$E$5:$E$83,$T433)</f>
        <v>Soutien (arme 2)</v>
      </c>
      <c r="D433" s="10" t="str">
        <f aca="false">INDEX(Bases!$F$5:$F$83,$T433)</f>
        <v>Debuff</v>
      </c>
      <c r="E433" s="11" t="str">
        <f aca="false">INDEX(Bases!$C$5:$C$83,$T433)</f>
        <v>Piège à loup</v>
      </c>
      <c r="F433" s="10" t="str">
        <f aca="false">INDEX(Éléments!$A$5:$A$14,$U433)</f>
        <v>Feu</v>
      </c>
      <c r="G433" s="12" t="str">
        <f aca="false">IF(OR($F433="Neutre",$C433="Passif"),$E433,INDEX(Bases!$D$5:$D$83,$T433)&amp;" "&amp;INDEX(Éléments!$D$5:$D$14,$U433))</f>
        <v>Piège de feu</v>
      </c>
      <c r="H433" s="10" t="str">
        <f aca="false">INDEX(Bases!$G$5:$G$83,$T433)</f>
        <v>Mono</v>
      </c>
      <c r="I433" s="13" t="n">
        <f aca="false">INDEX(Bases!$H$5:$H$83,$T433)</f>
        <v>2</v>
      </c>
      <c r="J433" s="10" t="str">
        <f aca="false">INDEX(Bases!$I$5:$I$83,$T433)</f>
        <v>Non</v>
      </c>
      <c r="K433" s="14" t="n">
        <f aca="false">INDEX(Bases!$J$5:$J$83,$T433)</f>
        <v>0.5</v>
      </c>
      <c r="L433" s="10" t="str">
        <f aca="false">INDEX(Bases!$K$5:$K$83,$T433)</f>
        <v>Force</v>
      </c>
      <c r="M433" s="11" t="str">
        <f aca="false">INDEX(Bases!$L$5:$L$83,$T433)</f>
        <v>Enraciné (−15 % Agilité) + Saignement pendant 3 tours.</v>
      </c>
      <c r="N433" s="11" t="str">
        <f aca="false">IF($C433="Passif","—",IF($C433="Attaque (arme 1)",INDEX(Éléments!$F$5:$F$14,$U433),INDEX(Éléments!$G$5:$G$14,$U433)))</f>
        <v>Les ennemis qui frappent le lanceur ont 40 % de subir Brûlure (pendant la durée).</v>
      </c>
      <c r="O433" s="10" t="str">
        <f aca="false">INDEX(Bases!$M$5:$M$83,$T433)</f>
        <v>Active</v>
      </c>
      <c r="P433" s="13" t="n">
        <f aca="false">INDEX(Bases!$N$5:$N$83,$T433)</f>
        <v>20</v>
      </c>
      <c r="Q433" s="15" t="n">
        <f aca="false">INDEX(Éléments!$C$5:$C$14,$U433)</f>
        <v>30</v>
      </c>
      <c r="R433" s="11" t="str">
        <f aca="false">"Niv. "&amp;$P433&amp;IF($Q433&gt;0," · étage "&amp;$Q433&amp;" terminé","")</f>
        <v>Niv. 20 · étage 30 terminé</v>
      </c>
      <c r="S433" s="14" t="n">
        <f aca="false">IF(ISNUMBER($I433),$K433*IF($H433="Zone",Paramètres!$B$8,1)/MAX(1,$I433),0)</f>
        <v>0.25</v>
      </c>
      <c r="T433" s="16" t="n">
        <v>58</v>
      </c>
      <c r="U433" s="16" t="n">
        <v>3</v>
      </c>
    </row>
    <row r="434" customFormat="false" ht="15" hidden="false" customHeight="true" outlineLevel="0" collapsed="false">
      <c r="A434" s="9" t="s">
        <v>503</v>
      </c>
      <c r="B434" s="10" t="str">
        <f aca="false">INDEX(Bases!$B$5:$B$83,$T434)</f>
        <v>Tireur</v>
      </c>
      <c r="C434" s="10" t="str">
        <f aca="false">INDEX(Bases!$E$5:$E$83,$T434)</f>
        <v>Soutien (arme 2)</v>
      </c>
      <c r="D434" s="10" t="str">
        <f aca="false">INDEX(Bases!$F$5:$F$83,$T434)</f>
        <v>Debuff</v>
      </c>
      <c r="E434" s="11" t="str">
        <f aca="false">INDEX(Bases!$C$5:$C$83,$T434)</f>
        <v>Piège à loup</v>
      </c>
      <c r="F434" s="10" t="str">
        <f aca="false">INDEX(Éléments!$A$5:$A$14,$U434)</f>
        <v>Vent</v>
      </c>
      <c r="G434" s="12" t="str">
        <f aca="false">IF(OR($F434="Neutre",$C434="Passif"),$E434,INDEX(Bases!$D$5:$D$83,$T434)&amp;" "&amp;INDEX(Éléments!$D$5:$D$14,$U434))</f>
        <v>Piège de vent</v>
      </c>
      <c r="H434" s="10" t="str">
        <f aca="false">INDEX(Bases!$G$5:$G$83,$T434)</f>
        <v>Mono</v>
      </c>
      <c r="I434" s="13" t="n">
        <f aca="false">INDEX(Bases!$H$5:$H$83,$T434)</f>
        <v>2</v>
      </c>
      <c r="J434" s="10" t="str">
        <f aca="false">INDEX(Bases!$I$5:$I$83,$T434)</f>
        <v>Non</v>
      </c>
      <c r="K434" s="14" t="n">
        <f aca="false">INDEX(Bases!$J$5:$J$83,$T434)</f>
        <v>0.5</v>
      </c>
      <c r="L434" s="10" t="str">
        <f aca="false">INDEX(Bases!$K$5:$K$83,$T434)</f>
        <v>Force</v>
      </c>
      <c r="M434" s="11" t="str">
        <f aca="false">INDEX(Bases!$L$5:$L$83,$T434)</f>
        <v>Enraciné (−15 % Agilité) + Saignement pendant 3 tours.</v>
      </c>
      <c r="N434" s="11" t="str">
        <f aca="false">IF($C434="Passif","—",IF($C434="Attaque (arme 1)",INDEX(Éléments!$F$5:$F$14,$U434),INDEX(Éléments!$G$5:$G$14,$U434)))</f>
        <v>+10 % d'Agilité (esquive) pendant la durée de l'effet.</v>
      </c>
      <c r="O434" s="10" t="str">
        <f aca="false">INDEX(Bases!$M$5:$M$83,$T434)</f>
        <v>Active</v>
      </c>
      <c r="P434" s="13" t="n">
        <f aca="false">INDEX(Bases!$N$5:$N$83,$T434)</f>
        <v>20</v>
      </c>
      <c r="Q434" s="15" t="n">
        <f aca="false">INDEX(Éléments!$C$5:$C$14,$U434)</f>
        <v>40</v>
      </c>
      <c r="R434" s="11" t="str">
        <f aca="false">"Niv. "&amp;$P434&amp;IF($Q434&gt;0," · étage "&amp;$Q434&amp;" terminé","")</f>
        <v>Niv. 20 · étage 40 terminé</v>
      </c>
      <c r="S434" s="14" t="n">
        <f aca="false">IF(ISNUMBER($I434),$K434*IF($H434="Zone",Paramètres!$B$8,1)/MAX(1,$I434),0)</f>
        <v>0.25</v>
      </c>
      <c r="T434" s="16" t="n">
        <v>58</v>
      </c>
      <c r="U434" s="16" t="n">
        <v>4</v>
      </c>
    </row>
    <row r="435" customFormat="false" ht="15" hidden="false" customHeight="true" outlineLevel="0" collapsed="false">
      <c r="A435" s="9" t="s">
        <v>504</v>
      </c>
      <c r="B435" s="10" t="str">
        <f aca="false">INDEX(Bases!$B$5:$B$83,$T435)</f>
        <v>Tireur</v>
      </c>
      <c r="C435" s="10" t="str">
        <f aca="false">INDEX(Bases!$E$5:$E$83,$T435)</f>
        <v>Soutien (arme 2)</v>
      </c>
      <c r="D435" s="10" t="str">
        <f aca="false">INDEX(Bases!$F$5:$F$83,$T435)</f>
        <v>Debuff</v>
      </c>
      <c r="E435" s="11" t="str">
        <f aca="false">INDEX(Bases!$C$5:$C$83,$T435)</f>
        <v>Piège à loup</v>
      </c>
      <c r="F435" s="10" t="str">
        <f aca="false">INDEX(Éléments!$A$5:$A$14,$U435)</f>
        <v>Acide</v>
      </c>
      <c r="G435" s="12" t="str">
        <f aca="false">IF(OR($F435="Neutre",$C435="Passif"),$E435,INDEX(Bases!$D$5:$D$83,$T435)&amp;" "&amp;INDEX(Éléments!$D$5:$D$14,$U435))</f>
        <v>Piège d'acide</v>
      </c>
      <c r="H435" s="10" t="str">
        <f aca="false">INDEX(Bases!$G$5:$G$83,$T435)</f>
        <v>Mono</v>
      </c>
      <c r="I435" s="13" t="n">
        <f aca="false">INDEX(Bases!$H$5:$H$83,$T435)</f>
        <v>2</v>
      </c>
      <c r="J435" s="10" t="str">
        <f aca="false">INDEX(Bases!$I$5:$I$83,$T435)</f>
        <v>Non</v>
      </c>
      <c r="K435" s="14" t="n">
        <f aca="false">INDEX(Bases!$J$5:$J$83,$T435)</f>
        <v>0.5</v>
      </c>
      <c r="L435" s="10" t="str">
        <f aca="false">INDEX(Bases!$K$5:$K$83,$T435)</f>
        <v>Force</v>
      </c>
      <c r="M435" s="11" t="str">
        <f aca="false">INDEX(Bases!$L$5:$L$83,$T435)</f>
        <v>Enraciné (−15 % Agilité) + Saignement pendant 3 tours.</v>
      </c>
      <c r="N435" s="11" t="str">
        <f aca="false">IF($C435="Passif","—",IF($C435="Attaque (arme 1)",INDEX(Éléments!$F$5:$F$14,$U435),INDEX(Éléments!$G$5:$G$14,$U435)))</f>
        <v>Les ennemis qui frappent le lanceur prennent 1 pile de Corrosion (40 %).</v>
      </c>
      <c r="O435" s="10" t="str">
        <f aca="false">INDEX(Bases!$M$5:$M$83,$T435)</f>
        <v>Active</v>
      </c>
      <c r="P435" s="13" t="n">
        <f aca="false">INDEX(Bases!$N$5:$N$83,$T435)</f>
        <v>20</v>
      </c>
      <c r="Q435" s="15" t="n">
        <f aca="false">INDEX(Éléments!$C$5:$C$14,$U435)</f>
        <v>50</v>
      </c>
      <c r="R435" s="11" t="str">
        <f aca="false">"Niv. "&amp;$P435&amp;IF($Q435&gt;0," · étage "&amp;$Q435&amp;" terminé","")</f>
        <v>Niv. 20 · étage 50 terminé</v>
      </c>
      <c r="S435" s="14" t="n">
        <f aca="false">IF(ISNUMBER($I435),$K435*IF($H435="Zone",Paramètres!$B$8,1)/MAX(1,$I435),0)</f>
        <v>0.25</v>
      </c>
      <c r="T435" s="16" t="n">
        <v>58</v>
      </c>
      <c r="U435" s="16" t="n">
        <v>5</v>
      </c>
    </row>
    <row r="436" customFormat="false" ht="15" hidden="false" customHeight="true" outlineLevel="0" collapsed="false">
      <c r="A436" s="9" t="s">
        <v>505</v>
      </c>
      <c r="B436" s="10" t="str">
        <f aca="false">INDEX(Bases!$B$5:$B$83,$T436)</f>
        <v>Tireur</v>
      </c>
      <c r="C436" s="10" t="str">
        <f aca="false">INDEX(Bases!$E$5:$E$83,$T436)</f>
        <v>Soutien (arme 2)</v>
      </c>
      <c r="D436" s="10" t="str">
        <f aca="false">INDEX(Bases!$F$5:$F$83,$T436)</f>
        <v>Debuff</v>
      </c>
      <c r="E436" s="11" t="str">
        <f aca="false">INDEX(Bases!$C$5:$C$83,$T436)</f>
        <v>Piège à loup</v>
      </c>
      <c r="F436" s="10" t="str">
        <f aca="false">INDEX(Éléments!$A$5:$A$14,$U436)</f>
        <v>Eau</v>
      </c>
      <c r="G436" s="12" t="str">
        <f aca="false">IF(OR($F436="Neutre",$C436="Passif"),$E436,INDEX(Bases!$D$5:$D$83,$T436)&amp;" "&amp;INDEX(Éléments!$D$5:$D$14,$U436))</f>
        <v>Piège d'eau</v>
      </c>
      <c r="H436" s="10" t="str">
        <f aca="false">INDEX(Bases!$G$5:$G$83,$T436)</f>
        <v>Mono</v>
      </c>
      <c r="I436" s="13" t="n">
        <f aca="false">INDEX(Bases!$H$5:$H$83,$T436)</f>
        <v>2</v>
      </c>
      <c r="J436" s="10" t="str">
        <f aca="false">INDEX(Bases!$I$5:$I$83,$T436)</f>
        <v>Non</v>
      </c>
      <c r="K436" s="14" t="n">
        <f aca="false">INDEX(Bases!$J$5:$J$83,$T436)</f>
        <v>0.5</v>
      </c>
      <c r="L436" s="10" t="str">
        <f aca="false">INDEX(Bases!$K$5:$K$83,$T436)</f>
        <v>Force</v>
      </c>
      <c r="M436" s="11" t="str">
        <f aca="false">INDEX(Bases!$L$5:$L$83,$T436)</f>
        <v>Enraciné (−15 % Agilité) + Saignement pendant 3 tours.</v>
      </c>
      <c r="N436" s="11" t="str">
        <f aca="false">IF($C436="Passif","—",IF($C436="Attaque (arme 1)",INDEX(Éléments!$F$5:$F$14,$U436),INDEX(Éléments!$G$5:$G$14,$U436)))</f>
        <v>Soin supplémentaire de 4 % des PV max ; retire Brûlure du lanceur.</v>
      </c>
      <c r="O436" s="10" t="str">
        <f aca="false">INDEX(Bases!$M$5:$M$83,$T436)</f>
        <v>Active</v>
      </c>
      <c r="P436" s="13" t="n">
        <f aca="false">INDEX(Bases!$N$5:$N$83,$T436)</f>
        <v>20</v>
      </c>
      <c r="Q436" s="15" t="n">
        <f aca="false">INDEX(Éléments!$C$5:$C$14,$U436)</f>
        <v>60</v>
      </c>
      <c r="R436" s="11" t="str">
        <f aca="false">"Niv. "&amp;$P436&amp;IF($Q436&gt;0," · étage "&amp;$Q436&amp;" terminé","")</f>
        <v>Niv. 20 · étage 60 terminé</v>
      </c>
      <c r="S436" s="14" t="n">
        <f aca="false">IF(ISNUMBER($I436),$K436*IF($H436="Zone",Paramètres!$B$8,1)/MAX(1,$I436),0)</f>
        <v>0.25</v>
      </c>
      <c r="T436" s="16" t="n">
        <v>58</v>
      </c>
      <c r="U436" s="16" t="n">
        <v>6</v>
      </c>
    </row>
    <row r="437" customFormat="false" ht="15" hidden="false" customHeight="true" outlineLevel="0" collapsed="false">
      <c r="A437" s="9" t="s">
        <v>506</v>
      </c>
      <c r="B437" s="10" t="str">
        <f aca="false">INDEX(Bases!$B$5:$B$83,$T437)</f>
        <v>Tireur</v>
      </c>
      <c r="C437" s="10" t="str">
        <f aca="false">INDEX(Bases!$E$5:$E$83,$T437)</f>
        <v>Soutien (arme 2)</v>
      </c>
      <c r="D437" s="10" t="str">
        <f aca="false">INDEX(Bases!$F$5:$F$83,$T437)</f>
        <v>Debuff</v>
      </c>
      <c r="E437" s="11" t="str">
        <f aca="false">INDEX(Bases!$C$5:$C$83,$T437)</f>
        <v>Piège à loup</v>
      </c>
      <c r="F437" s="10" t="str">
        <f aca="false">INDEX(Éléments!$A$5:$A$14,$U437)</f>
        <v>Glace</v>
      </c>
      <c r="G437" s="12" t="str">
        <f aca="false">IF(OR($F437="Neutre",$C437="Passif"),$E437,INDEX(Bases!$D$5:$D$83,$T437)&amp;" "&amp;INDEX(Éléments!$D$5:$D$14,$U437))</f>
        <v>Piège de glace</v>
      </c>
      <c r="H437" s="10" t="str">
        <f aca="false">INDEX(Bases!$G$5:$G$83,$T437)</f>
        <v>Mono</v>
      </c>
      <c r="I437" s="13" t="n">
        <f aca="false">INDEX(Bases!$H$5:$H$83,$T437)</f>
        <v>2</v>
      </c>
      <c r="J437" s="10" t="str">
        <f aca="false">INDEX(Bases!$I$5:$I$83,$T437)</f>
        <v>Non</v>
      </c>
      <c r="K437" s="14" t="n">
        <f aca="false">INDEX(Bases!$J$5:$J$83,$T437)</f>
        <v>0.5</v>
      </c>
      <c r="L437" s="10" t="str">
        <f aca="false">INDEX(Bases!$K$5:$K$83,$T437)</f>
        <v>Force</v>
      </c>
      <c r="M437" s="11" t="str">
        <f aca="false">INDEX(Bases!$L$5:$L$83,$T437)</f>
        <v>Enraciné (−15 % Agilité) + Saignement pendant 3 tours.</v>
      </c>
      <c r="N437" s="11" t="str">
        <f aca="false">IF($C437="Passif","—",IF($C437="Attaque (arme 1)",INDEX(Éléments!$F$5:$F$14,$U437),INDEX(Éléments!$G$5:$G$14,$U437)))</f>
        <v>Les ennemis qui frappent le lanceur prennent 1 pile de Froid (40 %).</v>
      </c>
      <c r="O437" s="10" t="str">
        <f aca="false">INDEX(Bases!$M$5:$M$83,$T437)</f>
        <v>Active</v>
      </c>
      <c r="P437" s="13" t="n">
        <f aca="false">INDEX(Bases!$N$5:$N$83,$T437)</f>
        <v>20</v>
      </c>
      <c r="Q437" s="15" t="n">
        <f aca="false">INDEX(Éléments!$C$5:$C$14,$U437)</f>
        <v>70</v>
      </c>
      <c r="R437" s="11" t="str">
        <f aca="false">"Niv. "&amp;$P437&amp;IF($Q437&gt;0," · étage "&amp;$Q437&amp;" terminé","")</f>
        <v>Niv. 20 · étage 70 terminé</v>
      </c>
      <c r="S437" s="14" t="n">
        <f aca="false">IF(ISNUMBER($I437),$K437*IF($H437="Zone",Paramètres!$B$8,1)/MAX(1,$I437),0)</f>
        <v>0.25</v>
      </c>
      <c r="T437" s="16" t="n">
        <v>58</v>
      </c>
      <c r="U437" s="16" t="n">
        <v>7</v>
      </c>
    </row>
    <row r="438" customFormat="false" ht="15" hidden="false" customHeight="true" outlineLevel="0" collapsed="false">
      <c r="A438" s="9" t="s">
        <v>507</v>
      </c>
      <c r="B438" s="10" t="str">
        <f aca="false">INDEX(Bases!$B$5:$B$83,$T438)</f>
        <v>Tireur</v>
      </c>
      <c r="C438" s="10" t="str">
        <f aca="false">INDEX(Bases!$E$5:$E$83,$T438)</f>
        <v>Soutien (arme 2)</v>
      </c>
      <c r="D438" s="10" t="str">
        <f aca="false">INDEX(Bases!$F$5:$F$83,$T438)</f>
        <v>Debuff</v>
      </c>
      <c r="E438" s="11" t="str">
        <f aca="false">INDEX(Bases!$C$5:$C$83,$T438)</f>
        <v>Piège à loup</v>
      </c>
      <c r="F438" s="10" t="str">
        <f aca="false">INDEX(Éléments!$A$5:$A$14,$U438)</f>
        <v>Électricité</v>
      </c>
      <c r="G438" s="12" t="str">
        <f aca="false">IF(OR($F438="Neutre",$C438="Passif"),$E438,INDEX(Bases!$D$5:$D$83,$T438)&amp;" "&amp;INDEX(Éléments!$D$5:$D$14,$U438))</f>
        <v>Piège de foudre</v>
      </c>
      <c r="H438" s="10" t="str">
        <f aca="false">INDEX(Bases!$G$5:$G$83,$T438)</f>
        <v>Mono</v>
      </c>
      <c r="I438" s="13" t="n">
        <f aca="false">INDEX(Bases!$H$5:$H$83,$T438)</f>
        <v>2</v>
      </c>
      <c r="J438" s="10" t="str">
        <f aca="false">INDEX(Bases!$I$5:$I$83,$T438)</f>
        <v>Non</v>
      </c>
      <c r="K438" s="14" t="n">
        <f aca="false">INDEX(Bases!$J$5:$J$83,$T438)</f>
        <v>0.5</v>
      </c>
      <c r="L438" s="10" t="str">
        <f aca="false">INDEX(Bases!$K$5:$K$83,$T438)</f>
        <v>Force</v>
      </c>
      <c r="M438" s="11" t="str">
        <f aca="false">INDEX(Bases!$L$5:$L$83,$T438)</f>
        <v>Enraciné (−15 % Agilité) + Saignement pendant 3 tours.</v>
      </c>
      <c r="N438" s="11" t="str">
        <f aca="false">IF($C438="Passif","—",IF($C438="Attaque (arme 1)",INDEX(Éléments!$F$5:$F$14,$U438),INDEX(Éléments!$G$5:$G$14,$U438)))</f>
        <v>La prochaine attaque du lanceur inflige +15 % de dégâts.</v>
      </c>
      <c r="O438" s="10" t="str">
        <f aca="false">INDEX(Bases!$M$5:$M$83,$T438)</f>
        <v>Active</v>
      </c>
      <c r="P438" s="13" t="n">
        <f aca="false">INDEX(Bases!$N$5:$N$83,$T438)</f>
        <v>20</v>
      </c>
      <c r="Q438" s="15" t="n">
        <f aca="false">INDEX(Éléments!$C$5:$C$14,$U438)</f>
        <v>80</v>
      </c>
      <c r="R438" s="11" t="str">
        <f aca="false">"Niv. "&amp;$P438&amp;IF($Q438&gt;0," · étage "&amp;$Q438&amp;" terminé","")</f>
        <v>Niv. 20 · étage 80 terminé</v>
      </c>
      <c r="S438" s="14" t="n">
        <f aca="false">IF(ISNUMBER($I438),$K438*IF($H438="Zone",Paramètres!$B$8,1)/MAX(1,$I438),0)</f>
        <v>0.25</v>
      </c>
      <c r="T438" s="16" t="n">
        <v>58</v>
      </c>
      <c r="U438" s="16" t="n">
        <v>8</v>
      </c>
    </row>
    <row r="439" customFormat="false" ht="15" hidden="false" customHeight="true" outlineLevel="0" collapsed="false">
      <c r="A439" s="9" t="s">
        <v>508</v>
      </c>
      <c r="B439" s="10" t="str">
        <f aca="false">INDEX(Bases!$B$5:$B$83,$T439)</f>
        <v>Tireur</v>
      </c>
      <c r="C439" s="10" t="str">
        <f aca="false">INDEX(Bases!$E$5:$E$83,$T439)</f>
        <v>Soutien (arme 2)</v>
      </c>
      <c r="D439" s="10" t="str">
        <f aca="false">INDEX(Bases!$F$5:$F$83,$T439)</f>
        <v>Debuff</v>
      </c>
      <c r="E439" s="11" t="str">
        <f aca="false">INDEX(Bases!$C$5:$C$83,$T439)</f>
        <v>Piège à loup</v>
      </c>
      <c r="F439" s="10" t="str">
        <f aca="false">INDEX(Éléments!$A$5:$A$14,$U439)</f>
        <v>Lumière</v>
      </c>
      <c r="G439" s="12" t="str">
        <f aca="false">IF(OR($F439="Neutre",$C439="Passif"),$E439,INDEX(Bases!$D$5:$D$83,$T439)&amp;" "&amp;INDEX(Éléments!$D$5:$D$14,$U439))</f>
        <v>Piège de lumière</v>
      </c>
      <c r="H439" s="10" t="str">
        <f aca="false">INDEX(Bases!$G$5:$G$83,$T439)</f>
        <v>Mono</v>
      </c>
      <c r="I439" s="13" t="n">
        <f aca="false">INDEX(Bases!$H$5:$H$83,$T439)</f>
        <v>2</v>
      </c>
      <c r="J439" s="10" t="str">
        <f aca="false">INDEX(Bases!$I$5:$I$83,$T439)</f>
        <v>Non</v>
      </c>
      <c r="K439" s="14" t="n">
        <f aca="false">INDEX(Bases!$J$5:$J$83,$T439)</f>
        <v>0.5</v>
      </c>
      <c r="L439" s="10" t="str">
        <f aca="false">INDEX(Bases!$K$5:$K$83,$T439)</f>
        <v>Force</v>
      </c>
      <c r="M439" s="11" t="str">
        <f aca="false">INDEX(Bases!$L$5:$L$83,$T439)</f>
        <v>Enraciné (−15 % Agilité) + Saignement pendant 3 tours.</v>
      </c>
      <c r="N439" s="11" t="str">
        <f aca="false">IF($C439="Passif","—",IF($C439="Attaque (arme 1)",INDEX(Éléments!$F$5:$F$14,$U439),INDEX(Éléments!$G$5:$G$14,$U439)))</f>
        <v>+20 % sur les soins et boucliers de la compétence.</v>
      </c>
      <c r="O439" s="10" t="str">
        <f aca="false">INDEX(Bases!$M$5:$M$83,$T439)</f>
        <v>Active</v>
      </c>
      <c r="P439" s="13" t="n">
        <f aca="false">INDEX(Bases!$N$5:$N$83,$T439)</f>
        <v>20</v>
      </c>
      <c r="Q439" s="15" t="n">
        <f aca="false">INDEX(Éléments!$C$5:$C$14,$U439)</f>
        <v>90</v>
      </c>
      <c r="R439" s="11" t="str">
        <f aca="false">"Niv. "&amp;$P439&amp;IF($Q439&gt;0," · étage "&amp;$Q439&amp;" terminé","")</f>
        <v>Niv. 20 · étage 90 terminé</v>
      </c>
      <c r="S439" s="14" t="n">
        <f aca="false">IF(ISNUMBER($I439),$K439*IF($H439="Zone",Paramètres!$B$8,1)/MAX(1,$I439),0)</f>
        <v>0.25</v>
      </c>
      <c r="T439" s="16" t="n">
        <v>58</v>
      </c>
      <c r="U439" s="16" t="n">
        <v>9</v>
      </c>
    </row>
    <row r="440" customFormat="false" ht="15" hidden="false" customHeight="true" outlineLevel="0" collapsed="false">
      <c r="A440" s="9" t="s">
        <v>509</v>
      </c>
      <c r="B440" s="10" t="str">
        <f aca="false">INDEX(Bases!$B$5:$B$83,$T440)</f>
        <v>Tireur</v>
      </c>
      <c r="C440" s="10" t="str">
        <f aca="false">INDEX(Bases!$E$5:$E$83,$T440)</f>
        <v>Soutien (arme 2)</v>
      </c>
      <c r="D440" s="10" t="str">
        <f aca="false">INDEX(Bases!$F$5:$F$83,$T440)</f>
        <v>Debuff</v>
      </c>
      <c r="E440" s="11" t="str">
        <f aca="false">INDEX(Bases!$C$5:$C$83,$T440)</f>
        <v>Piège à loup</v>
      </c>
      <c r="F440" s="10" t="str">
        <f aca="false">INDEX(Éléments!$A$5:$A$14,$U440)</f>
        <v>Ombre</v>
      </c>
      <c r="G440" s="12" t="str">
        <f aca="false">IF(OR($F440="Neutre",$C440="Passif"),$E440,INDEX(Bases!$D$5:$D$83,$T440)&amp;" "&amp;INDEX(Éléments!$D$5:$D$14,$U440))</f>
        <v>Piège d'ombre</v>
      </c>
      <c r="H440" s="10" t="str">
        <f aca="false">INDEX(Bases!$G$5:$G$83,$T440)</f>
        <v>Mono</v>
      </c>
      <c r="I440" s="13" t="n">
        <f aca="false">INDEX(Bases!$H$5:$H$83,$T440)</f>
        <v>2</v>
      </c>
      <c r="J440" s="10" t="str">
        <f aca="false">INDEX(Bases!$I$5:$I$83,$T440)</f>
        <v>Non</v>
      </c>
      <c r="K440" s="14" t="n">
        <f aca="false">INDEX(Bases!$J$5:$J$83,$T440)</f>
        <v>0.5</v>
      </c>
      <c r="L440" s="10" t="str">
        <f aca="false">INDEX(Bases!$K$5:$K$83,$T440)</f>
        <v>Force</v>
      </c>
      <c r="M440" s="11" t="str">
        <f aca="false">INDEX(Bases!$L$5:$L$83,$T440)</f>
        <v>Enraciné (−15 % Agilité) + Saignement pendant 3 tours.</v>
      </c>
      <c r="N440" s="11" t="str">
        <f aca="false">IF($C440="Passif","—",IF($C440="Attaque (arme 1)",INDEX(Éléments!$F$5:$F$14,$U440),INDEX(Éléments!$G$5:$G$14,$U440)))</f>
        <v>Les ennemis qui frappent le lanceur subissent Corruption (25 %).</v>
      </c>
      <c r="O440" s="10" t="str">
        <f aca="false">INDEX(Bases!$M$5:$M$83,$T440)</f>
        <v>Active</v>
      </c>
      <c r="P440" s="13" t="n">
        <f aca="false">INDEX(Bases!$N$5:$N$83,$T440)</f>
        <v>20</v>
      </c>
      <c r="Q440" s="15" t="n">
        <f aca="false">INDEX(Éléments!$C$5:$C$14,$U440)</f>
        <v>100</v>
      </c>
      <c r="R440" s="11" t="str">
        <f aca="false">"Niv. "&amp;$P440&amp;IF($Q440&gt;0," · étage "&amp;$Q440&amp;" terminé","")</f>
        <v>Niv. 20 · étage 100 terminé</v>
      </c>
      <c r="S440" s="14" t="n">
        <f aca="false">IF(ISNUMBER($I440),$K440*IF($H440="Zone",Paramètres!$B$8,1)/MAX(1,$I440),0)</f>
        <v>0.25</v>
      </c>
      <c r="T440" s="16" t="n">
        <v>58</v>
      </c>
      <c r="U440" s="16" t="n">
        <v>10</v>
      </c>
    </row>
    <row r="441" customFormat="false" ht="15" hidden="false" customHeight="true" outlineLevel="0" collapsed="false">
      <c r="A441" s="9" t="s">
        <v>510</v>
      </c>
      <c r="B441" s="10" t="str">
        <f aca="false">INDEX(Bases!$B$5:$B$83,$T441)</f>
        <v>Tireur</v>
      </c>
      <c r="C441" s="10" t="str">
        <f aca="false">INDEX(Bases!$E$5:$E$83,$T441)</f>
        <v>Soutien (arme 2)</v>
      </c>
      <c r="D441" s="10" t="str">
        <f aca="false">INDEX(Bases!$F$5:$F$83,$T441)</f>
        <v>Soin</v>
      </c>
      <c r="E441" s="11" t="str">
        <f aca="false">INDEX(Bases!$C$5:$C$83,$T441)</f>
        <v>Remède</v>
      </c>
      <c r="F441" s="10" t="str">
        <f aca="false">INDEX(Éléments!$A$5:$A$14,$U441)</f>
        <v>Neutre</v>
      </c>
      <c r="G441" s="12" t="str">
        <f aca="false">IF(OR($F441="Neutre",$C441="Passif"),$E441,INDEX(Bases!$D$5:$D$83,$T441)&amp;" "&amp;INDEX(Éléments!$D$5:$D$14,$U441))</f>
        <v>Remède</v>
      </c>
      <c r="H441" s="10" t="str">
        <f aca="false">INDEX(Bases!$G$5:$G$83,$T441)</f>
        <v>Soi</v>
      </c>
      <c r="I441" s="13" t="n">
        <f aca="false">INDEX(Bases!$H$5:$H$83,$T441)</f>
        <v>2</v>
      </c>
      <c r="J441" s="10" t="str">
        <f aca="false">INDEX(Bases!$I$5:$I$83,$T441)</f>
        <v>Non</v>
      </c>
      <c r="K441" s="14" t="n">
        <f aca="false">INDEX(Bases!$J$5:$J$83,$T441)</f>
        <v>0</v>
      </c>
      <c r="L441" s="10" t="str">
        <f aca="false">INDEX(Bases!$K$5:$K$83,$T441)</f>
        <v>Force</v>
      </c>
      <c r="M441" s="11" t="str">
        <f aca="false">INDEX(Bases!$L$5:$L$83,$T441)</f>
        <v>Soigne 15 % des PV max.</v>
      </c>
      <c r="N441" s="11" t="str">
        <f aca="false">IF($C441="Passif","—",IF($C441="Attaque (arme 1)",INDEX(Éléments!$F$5:$F$14,$U441),INDEX(Éléments!$G$5:$G$14,$U441)))</f>
        <v>Aucun bonus élémentaire : effet de base seul.</v>
      </c>
      <c r="O441" s="10" t="str">
        <f aca="false">INDEX(Bases!$M$5:$M$83,$T441)</f>
        <v>Active</v>
      </c>
      <c r="P441" s="13" t="n">
        <f aca="false">INDEX(Bases!$N$5:$N$83,$T441)</f>
        <v>28</v>
      </c>
      <c r="Q441" s="15" t="n">
        <f aca="false">INDEX(Éléments!$C$5:$C$14,$U441)</f>
        <v>0</v>
      </c>
      <c r="R441" s="11" t="str">
        <f aca="false">"Niv. "&amp;$P441&amp;IF($Q441&gt;0," · étage "&amp;$Q441&amp;" terminé","")</f>
        <v>Niv. 28</v>
      </c>
      <c r="S441" s="14" t="n">
        <f aca="false">IF(ISNUMBER($I441),$K441*IF($H441="Zone",Paramètres!$B$8,1)/MAX(1,$I441),0)</f>
        <v>0</v>
      </c>
      <c r="T441" s="16" t="n">
        <v>59</v>
      </c>
      <c r="U441" s="16" t="n">
        <v>1</v>
      </c>
    </row>
    <row r="442" customFormat="false" ht="15" hidden="false" customHeight="true" outlineLevel="0" collapsed="false">
      <c r="A442" s="9" t="s">
        <v>511</v>
      </c>
      <c r="B442" s="10" t="str">
        <f aca="false">INDEX(Bases!$B$5:$B$83,$T442)</f>
        <v>Tireur</v>
      </c>
      <c r="C442" s="10" t="str">
        <f aca="false">INDEX(Bases!$E$5:$E$83,$T442)</f>
        <v>Soutien (arme 2)</v>
      </c>
      <c r="D442" s="10" t="str">
        <f aca="false">INDEX(Bases!$F$5:$F$83,$T442)</f>
        <v>Soin</v>
      </c>
      <c r="E442" s="11" t="str">
        <f aca="false">INDEX(Bases!$C$5:$C$83,$T442)</f>
        <v>Remède</v>
      </c>
      <c r="F442" s="10" t="str">
        <f aca="false">INDEX(Éléments!$A$5:$A$14,$U442)</f>
        <v>Terre</v>
      </c>
      <c r="G442" s="12" t="str">
        <f aca="false">IF(OR($F442="Neutre",$C442="Passif"),$E442,INDEX(Bases!$D$5:$D$83,$T442)&amp;" "&amp;INDEX(Éléments!$D$5:$D$14,$U442))</f>
        <v>Remède de pierre</v>
      </c>
      <c r="H442" s="10" t="str">
        <f aca="false">INDEX(Bases!$G$5:$G$83,$T442)</f>
        <v>Soi</v>
      </c>
      <c r="I442" s="13" t="n">
        <f aca="false">INDEX(Bases!$H$5:$H$83,$T442)</f>
        <v>2</v>
      </c>
      <c r="J442" s="10" t="str">
        <f aca="false">INDEX(Bases!$I$5:$I$83,$T442)</f>
        <v>Non</v>
      </c>
      <c r="K442" s="14" t="n">
        <f aca="false">INDEX(Bases!$J$5:$J$83,$T442)</f>
        <v>0</v>
      </c>
      <c r="L442" s="10" t="str">
        <f aca="false">INDEX(Bases!$K$5:$K$83,$T442)</f>
        <v>Force</v>
      </c>
      <c r="M442" s="11" t="str">
        <f aca="false">INDEX(Bases!$L$5:$L$83,$T442)</f>
        <v>Soigne 15 % des PV max.</v>
      </c>
      <c r="N442" s="11" t="str">
        <f aca="false">IF($C442="Passif","—",IF($C442="Attaque (arme 1)",INDEX(Éléments!$F$5:$F$14,$U442),INDEX(Éléments!$G$5:$G$14,$U442)))</f>
        <v>+15 % d'Armure pendant la durée de l'effet.</v>
      </c>
      <c r="O442" s="10" t="str">
        <f aca="false">INDEX(Bases!$M$5:$M$83,$T442)</f>
        <v>Active</v>
      </c>
      <c r="P442" s="13" t="n">
        <f aca="false">INDEX(Bases!$N$5:$N$83,$T442)</f>
        <v>28</v>
      </c>
      <c r="Q442" s="15" t="n">
        <f aca="false">INDEX(Éléments!$C$5:$C$14,$U442)</f>
        <v>20</v>
      </c>
      <c r="R442" s="11" t="str">
        <f aca="false">"Niv. "&amp;$P442&amp;IF($Q442&gt;0," · étage "&amp;$Q442&amp;" terminé","")</f>
        <v>Niv. 28 · étage 20 terminé</v>
      </c>
      <c r="S442" s="14" t="n">
        <f aca="false">IF(ISNUMBER($I442),$K442*IF($H442="Zone",Paramètres!$B$8,1)/MAX(1,$I442),0)</f>
        <v>0</v>
      </c>
      <c r="T442" s="16" t="n">
        <v>59</v>
      </c>
      <c r="U442" s="16" t="n">
        <v>2</v>
      </c>
    </row>
    <row r="443" customFormat="false" ht="15" hidden="false" customHeight="true" outlineLevel="0" collapsed="false">
      <c r="A443" s="9" t="s">
        <v>512</v>
      </c>
      <c r="B443" s="10" t="str">
        <f aca="false">INDEX(Bases!$B$5:$B$83,$T443)</f>
        <v>Tireur</v>
      </c>
      <c r="C443" s="10" t="str">
        <f aca="false">INDEX(Bases!$E$5:$E$83,$T443)</f>
        <v>Soutien (arme 2)</v>
      </c>
      <c r="D443" s="10" t="str">
        <f aca="false">INDEX(Bases!$F$5:$F$83,$T443)</f>
        <v>Soin</v>
      </c>
      <c r="E443" s="11" t="str">
        <f aca="false">INDEX(Bases!$C$5:$C$83,$T443)</f>
        <v>Remède</v>
      </c>
      <c r="F443" s="10" t="str">
        <f aca="false">INDEX(Éléments!$A$5:$A$14,$U443)</f>
        <v>Feu</v>
      </c>
      <c r="G443" s="12" t="str">
        <f aca="false">IF(OR($F443="Neutre",$C443="Passif"),$E443,INDEX(Bases!$D$5:$D$83,$T443)&amp;" "&amp;INDEX(Éléments!$D$5:$D$14,$U443))</f>
        <v>Remède de feu</v>
      </c>
      <c r="H443" s="10" t="str">
        <f aca="false">INDEX(Bases!$G$5:$G$83,$T443)</f>
        <v>Soi</v>
      </c>
      <c r="I443" s="13" t="n">
        <f aca="false">INDEX(Bases!$H$5:$H$83,$T443)</f>
        <v>2</v>
      </c>
      <c r="J443" s="10" t="str">
        <f aca="false">INDEX(Bases!$I$5:$I$83,$T443)</f>
        <v>Non</v>
      </c>
      <c r="K443" s="14" t="n">
        <f aca="false">INDEX(Bases!$J$5:$J$83,$T443)</f>
        <v>0</v>
      </c>
      <c r="L443" s="10" t="str">
        <f aca="false">INDEX(Bases!$K$5:$K$83,$T443)</f>
        <v>Force</v>
      </c>
      <c r="M443" s="11" t="str">
        <f aca="false">INDEX(Bases!$L$5:$L$83,$T443)</f>
        <v>Soigne 15 % des PV max.</v>
      </c>
      <c r="N443" s="11" t="str">
        <f aca="false">IF($C443="Passif","—",IF($C443="Attaque (arme 1)",INDEX(Éléments!$F$5:$F$14,$U443),INDEX(Éléments!$G$5:$G$14,$U443)))</f>
        <v>Les ennemis qui frappent le lanceur ont 40 % de subir Brûlure (pendant la durée).</v>
      </c>
      <c r="O443" s="10" t="str">
        <f aca="false">INDEX(Bases!$M$5:$M$83,$T443)</f>
        <v>Active</v>
      </c>
      <c r="P443" s="13" t="n">
        <f aca="false">INDEX(Bases!$N$5:$N$83,$T443)</f>
        <v>28</v>
      </c>
      <c r="Q443" s="15" t="n">
        <f aca="false">INDEX(Éléments!$C$5:$C$14,$U443)</f>
        <v>30</v>
      </c>
      <c r="R443" s="11" t="str">
        <f aca="false">"Niv. "&amp;$P443&amp;IF($Q443&gt;0," · étage "&amp;$Q443&amp;" terminé","")</f>
        <v>Niv. 28 · étage 30 terminé</v>
      </c>
      <c r="S443" s="14" t="n">
        <f aca="false">IF(ISNUMBER($I443),$K443*IF($H443="Zone",Paramètres!$B$8,1)/MAX(1,$I443),0)</f>
        <v>0</v>
      </c>
      <c r="T443" s="16" t="n">
        <v>59</v>
      </c>
      <c r="U443" s="16" t="n">
        <v>3</v>
      </c>
    </row>
    <row r="444" customFormat="false" ht="15" hidden="false" customHeight="true" outlineLevel="0" collapsed="false">
      <c r="A444" s="9" t="s">
        <v>513</v>
      </c>
      <c r="B444" s="10" t="str">
        <f aca="false">INDEX(Bases!$B$5:$B$83,$T444)</f>
        <v>Tireur</v>
      </c>
      <c r="C444" s="10" t="str">
        <f aca="false">INDEX(Bases!$E$5:$E$83,$T444)</f>
        <v>Soutien (arme 2)</v>
      </c>
      <c r="D444" s="10" t="str">
        <f aca="false">INDEX(Bases!$F$5:$F$83,$T444)</f>
        <v>Soin</v>
      </c>
      <c r="E444" s="11" t="str">
        <f aca="false">INDEX(Bases!$C$5:$C$83,$T444)</f>
        <v>Remède</v>
      </c>
      <c r="F444" s="10" t="str">
        <f aca="false">INDEX(Éléments!$A$5:$A$14,$U444)</f>
        <v>Vent</v>
      </c>
      <c r="G444" s="12" t="str">
        <f aca="false">IF(OR($F444="Neutre",$C444="Passif"),$E444,INDEX(Bases!$D$5:$D$83,$T444)&amp;" "&amp;INDEX(Éléments!$D$5:$D$14,$U444))</f>
        <v>Remède de vent</v>
      </c>
      <c r="H444" s="10" t="str">
        <f aca="false">INDEX(Bases!$G$5:$G$83,$T444)</f>
        <v>Soi</v>
      </c>
      <c r="I444" s="13" t="n">
        <f aca="false">INDEX(Bases!$H$5:$H$83,$T444)</f>
        <v>2</v>
      </c>
      <c r="J444" s="10" t="str">
        <f aca="false">INDEX(Bases!$I$5:$I$83,$T444)</f>
        <v>Non</v>
      </c>
      <c r="K444" s="14" t="n">
        <f aca="false">INDEX(Bases!$J$5:$J$83,$T444)</f>
        <v>0</v>
      </c>
      <c r="L444" s="10" t="str">
        <f aca="false">INDEX(Bases!$K$5:$K$83,$T444)</f>
        <v>Force</v>
      </c>
      <c r="M444" s="11" t="str">
        <f aca="false">INDEX(Bases!$L$5:$L$83,$T444)</f>
        <v>Soigne 15 % des PV max.</v>
      </c>
      <c r="N444" s="11" t="str">
        <f aca="false">IF($C444="Passif","—",IF($C444="Attaque (arme 1)",INDEX(Éléments!$F$5:$F$14,$U444),INDEX(Éléments!$G$5:$G$14,$U444)))</f>
        <v>+10 % d'Agilité (esquive) pendant la durée de l'effet.</v>
      </c>
      <c r="O444" s="10" t="str">
        <f aca="false">INDEX(Bases!$M$5:$M$83,$T444)</f>
        <v>Active</v>
      </c>
      <c r="P444" s="13" t="n">
        <f aca="false">INDEX(Bases!$N$5:$N$83,$T444)</f>
        <v>28</v>
      </c>
      <c r="Q444" s="15" t="n">
        <f aca="false">INDEX(Éléments!$C$5:$C$14,$U444)</f>
        <v>40</v>
      </c>
      <c r="R444" s="11" t="str">
        <f aca="false">"Niv. "&amp;$P444&amp;IF($Q444&gt;0," · étage "&amp;$Q444&amp;" terminé","")</f>
        <v>Niv. 28 · étage 40 terminé</v>
      </c>
      <c r="S444" s="14" t="n">
        <f aca="false">IF(ISNUMBER($I444),$K444*IF($H444="Zone",Paramètres!$B$8,1)/MAX(1,$I444),0)</f>
        <v>0</v>
      </c>
      <c r="T444" s="16" t="n">
        <v>59</v>
      </c>
      <c r="U444" s="16" t="n">
        <v>4</v>
      </c>
    </row>
    <row r="445" customFormat="false" ht="15" hidden="false" customHeight="true" outlineLevel="0" collapsed="false">
      <c r="A445" s="9" t="s">
        <v>514</v>
      </c>
      <c r="B445" s="10" t="str">
        <f aca="false">INDEX(Bases!$B$5:$B$83,$T445)</f>
        <v>Tireur</v>
      </c>
      <c r="C445" s="10" t="str">
        <f aca="false">INDEX(Bases!$E$5:$E$83,$T445)</f>
        <v>Soutien (arme 2)</v>
      </c>
      <c r="D445" s="10" t="str">
        <f aca="false">INDEX(Bases!$F$5:$F$83,$T445)</f>
        <v>Soin</v>
      </c>
      <c r="E445" s="11" t="str">
        <f aca="false">INDEX(Bases!$C$5:$C$83,$T445)</f>
        <v>Remède</v>
      </c>
      <c r="F445" s="10" t="str">
        <f aca="false">INDEX(Éléments!$A$5:$A$14,$U445)</f>
        <v>Acide</v>
      </c>
      <c r="G445" s="12" t="str">
        <f aca="false">IF(OR($F445="Neutre",$C445="Passif"),$E445,INDEX(Bases!$D$5:$D$83,$T445)&amp;" "&amp;INDEX(Éléments!$D$5:$D$14,$U445))</f>
        <v>Remède d'acide</v>
      </c>
      <c r="H445" s="10" t="str">
        <f aca="false">INDEX(Bases!$G$5:$G$83,$T445)</f>
        <v>Soi</v>
      </c>
      <c r="I445" s="13" t="n">
        <f aca="false">INDEX(Bases!$H$5:$H$83,$T445)</f>
        <v>2</v>
      </c>
      <c r="J445" s="10" t="str">
        <f aca="false">INDEX(Bases!$I$5:$I$83,$T445)</f>
        <v>Non</v>
      </c>
      <c r="K445" s="14" t="n">
        <f aca="false">INDEX(Bases!$J$5:$J$83,$T445)</f>
        <v>0</v>
      </c>
      <c r="L445" s="10" t="str">
        <f aca="false">INDEX(Bases!$K$5:$K$83,$T445)</f>
        <v>Force</v>
      </c>
      <c r="M445" s="11" t="str">
        <f aca="false">INDEX(Bases!$L$5:$L$83,$T445)</f>
        <v>Soigne 15 % des PV max.</v>
      </c>
      <c r="N445" s="11" t="str">
        <f aca="false">IF($C445="Passif","—",IF($C445="Attaque (arme 1)",INDEX(Éléments!$F$5:$F$14,$U445),INDEX(Éléments!$G$5:$G$14,$U445)))</f>
        <v>Les ennemis qui frappent le lanceur prennent 1 pile de Corrosion (40 %).</v>
      </c>
      <c r="O445" s="10" t="str">
        <f aca="false">INDEX(Bases!$M$5:$M$83,$T445)</f>
        <v>Active</v>
      </c>
      <c r="P445" s="13" t="n">
        <f aca="false">INDEX(Bases!$N$5:$N$83,$T445)</f>
        <v>28</v>
      </c>
      <c r="Q445" s="15" t="n">
        <f aca="false">INDEX(Éléments!$C$5:$C$14,$U445)</f>
        <v>50</v>
      </c>
      <c r="R445" s="11" t="str">
        <f aca="false">"Niv. "&amp;$P445&amp;IF($Q445&gt;0," · étage "&amp;$Q445&amp;" terminé","")</f>
        <v>Niv. 28 · étage 50 terminé</v>
      </c>
      <c r="S445" s="14" t="n">
        <f aca="false">IF(ISNUMBER($I445),$K445*IF($H445="Zone",Paramètres!$B$8,1)/MAX(1,$I445),0)</f>
        <v>0</v>
      </c>
      <c r="T445" s="16" t="n">
        <v>59</v>
      </c>
      <c r="U445" s="16" t="n">
        <v>5</v>
      </c>
    </row>
    <row r="446" customFormat="false" ht="15" hidden="false" customHeight="true" outlineLevel="0" collapsed="false">
      <c r="A446" s="9" t="s">
        <v>515</v>
      </c>
      <c r="B446" s="10" t="str">
        <f aca="false">INDEX(Bases!$B$5:$B$83,$T446)</f>
        <v>Tireur</v>
      </c>
      <c r="C446" s="10" t="str">
        <f aca="false">INDEX(Bases!$E$5:$E$83,$T446)</f>
        <v>Soutien (arme 2)</v>
      </c>
      <c r="D446" s="10" t="str">
        <f aca="false">INDEX(Bases!$F$5:$F$83,$T446)</f>
        <v>Soin</v>
      </c>
      <c r="E446" s="11" t="str">
        <f aca="false">INDEX(Bases!$C$5:$C$83,$T446)</f>
        <v>Remède</v>
      </c>
      <c r="F446" s="10" t="str">
        <f aca="false">INDEX(Éléments!$A$5:$A$14,$U446)</f>
        <v>Eau</v>
      </c>
      <c r="G446" s="12" t="str">
        <f aca="false">IF(OR($F446="Neutre",$C446="Passif"),$E446,INDEX(Bases!$D$5:$D$83,$T446)&amp;" "&amp;INDEX(Éléments!$D$5:$D$14,$U446))</f>
        <v>Remède d'eau</v>
      </c>
      <c r="H446" s="10" t="str">
        <f aca="false">INDEX(Bases!$G$5:$G$83,$T446)</f>
        <v>Soi</v>
      </c>
      <c r="I446" s="13" t="n">
        <f aca="false">INDEX(Bases!$H$5:$H$83,$T446)</f>
        <v>2</v>
      </c>
      <c r="J446" s="10" t="str">
        <f aca="false">INDEX(Bases!$I$5:$I$83,$T446)</f>
        <v>Non</v>
      </c>
      <c r="K446" s="14" t="n">
        <f aca="false">INDEX(Bases!$J$5:$J$83,$T446)</f>
        <v>0</v>
      </c>
      <c r="L446" s="10" t="str">
        <f aca="false">INDEX(Bases!$K$5:$K$83,$T446)</f>
        <v>Force</v>
      </c>
      <c r="M446" s="11" t="str">
        <f aca="false">INDEX(Bases!$L$5:$L$83,$T446)</f>
        <v>Soigne 15 % des PV max.</v>
      </c>
      <c r="N446" s="11" t="str">
        <f aca="false">IF($C446="Passif","—",IF($C446="Attaque (arme 1)",INDEX(Éléments!$F$5:$F$14,$U446),INDEX(Éléments!$G$5:$G$14,$U446)))</f>
        <v>Soin supplémentaire de 4 % des PV max ; retire Brûlure du lanceur.</v>
      </c>
      <c r="O446" s="10" t="str">
        <f aca="false">INDEX(Bases!$M$5:$M$83,$T446)</f>
        <v>Active</v>
      </c>
      <c r="P446" s="13" t="n">
        <f aca="false">INDEX(Bases!$N$5:$N$83,$T446)</f>
        <v>28</v>
      </c>
      <c r="Q446" s="15" t="n">
        <f aca="false">INDEX(Éléments!$C$5:$C$14,$U446)</f>
        <v>60</v>
      </c>
      <c r="R446" s="11" t="str">
        <f aca="false">"Niv. "&amp;$P446&amp;IF($Q446&gt;0," · étage "&amp;$Q446&amp;" terminé","")</f>
        <v>Niv. 28 · étage 60 terminé</v>
      </c>
      <c r="S446" s="14" t="n">
        <f aca="false">IF(ISNUMBER($I446),$K446*IF($H446="Zone",Paramètres!$B$8,1)/MAX(1,$I446),0)</f>
        <v>0</v>
      </c>
      <c r="T446" s="16" t="n">
        <v>59</v>
      </c>
      <c r="U446" s="16" t="n">
        <v>6</v>
      </c>
    </row>
    <row r="447" customFormat="false" ht="15" hidden="false" customHeight="true" outlineLevel="0" collapsed="false">
      <c r="A447" s="9" t="s">
        <v>516</v>
      </c>
      <c r="B447" s="10" t="str">
        <f aca="false">INDEX(Bases!$B$5:$B$83,$T447)</f>
        <v>Tireur</v>
      </c>
      <c r="C447" s="10" t="str">
        <f aca="false">INDEX(Bases!$E$5:$E$83,$T447)</f>
        <v>Soutien (arme 2)</v>
      </c>
      <c r="D447" s="10" t="str">
        <f aca="false">INDEX(Bases!$F$5:$F$83,$T447)</f>
        <v>Soin</v>
      </c>
      <c r="E447" s="11" t="str">
        <f aca="false">INDEX(Bases!$C$5:$C$83,$T447)</f>
        <v>Remède</v>
      </c>
      <c r="F447" s="10" t="str">
        <f aca="false">INDEX(Éléments!$A$5:$A$14,$U447)</f>
        <v>Glace</v>
      </c>
      <c r="G447" s="12" t="str">
        <f aca="false">IF(OR($F447="Neutre",$C447="Passif"),$E447,INDEX(Bases!$D$5:$D$83,$T447)&amp;" "&amp;INDEX(Éléments!$D$5:$D$14,$U447))</f>
        <v>Remède de glace</v>
      </c>
      <c r="H447" s="10" t="str">
        <f aca="false">INDEX(Bases!$G$5:$G$83,$T447)</f>
        <v>Soi</v>
      </c>
      <c r="I447" s="13" t="n">
        <f aca="false">INDEX(Bases!$H$5:$H$83,$T447)</f>
        <v>2</v>
      </c>
      <c r="J447" s="10" t="str">
        <f aca="false">INDEX(Bases!$I$5:$I$83,$T447)</f>
        <v>Non</v>
      </c>
      <c r="K447" s="14" t="n">
        <f aca="false">INDEX(Bases!$J$5:$J$83,$T447)</f>
        <v>0</v>
      </c>
      <c r="L447" s="10" t="str">
        <f aca="false">INDEX(Bases!$K$5:$K$83,$T447)</f>
        <v>Force</v>
      </c>
      <c r="M447" s="11" t="str">
        <f aca="false">INDEX(Bases!$L$5:$L$83,$T447)</f>
        <v>Soigne 15 % des PV max.</v>
      </c>
      <c r="N447" s="11" t="str">
        <f aca="false">IF($C447="Passif","—",IF($C447="Attaque (arme 1)",INDEX(Éléments!$F$5:$F$14,$U447),INDEX(Éléments!$G$5:$G$14,$U447)))</f>
        <v>Les ennemis qui frappent le lanceur prennent 1 pile de Froid (40 %).</v>
      </c>
      <c r="O447" s="10" t="str">
        <f aca="false">INDEX(Bases!$M$5:$M$83,$T447)</f>
        <v>Active</v>
      </c>
      <c r="P447" s="13" t="n">
        <f aca="false">INDEX(Bases!$N$5:$N$83,$T447)</f>
        <v>28</v>
      </c>
      <c r="Q447" s="15" t="n">
        <f aca="false">INDEX(Éléments!$C$5:$C$14,$U447)</f>
        <v>70</v>
      </c>
      <c r="R447" s="11" t="str">
        <f aca="false">"Niv. "&amp;$P447&amp;IF($Q447&gt;0," · étage "&amp;$Q447&amp;" terminé","")</f>
        <v>Niv. 28 · étage 70 terminé</v>
      </c>
      <c r="S447" s="14" t="n">
        <f aca="false">IF(ISNUMBER($I447),$K447*IF($H447="Zone",Paramètres!$B$8,1)/MAX(1,$I447),0)</f>
        <v>0</v>
      </c>
      <c r="T447" s="16" t="n">
        <v>59</v>
      </c>
      <c r="U447" s="16" t="n">
        <v>7</v>
      </c>
    </row>
    <row r="448" customFormat="false" ht="15" hidden="false" customHeight="true" outlineLevel="0" collapsed="false">
      <c r="A448" s="9" t="s">
        <v>517</v>
      </c>
      <c r="B448" s="10" t="str">
        <f aca="false">INDEX(Bases!$B$5:$B$83,$T448)</f>
        <v>Tireur</v>
      </c>
      <c r="C448" s="10" t="str">
        <f aca="false">INDEX(Bases!$E$5:$E$83,$T448)</f>
        <v>Soutien (arme 2)</v>
      </c>
      <c r="D448" s="10" t="str">
        <f aca="false">INDEX(Bases!$F$5:$F$83,$T448)</f>
        <v>Soin</v>
      </c>
      <c r="E448" s="11" t="str">
        <f aca="false">INDEX(Bases!$C$5:$C$83,$T448)</f>
        <v>Remède</v>
      </c>
      <c r="F448" s="10" t="str">
        <f aca="false">INDEX(Éléments!$A$5:$A$14,$U448)</f>
        <v>Électricité</v>
      </c>
      <c r="G448" s="12" t="str">
        <f aca="false">IF(OR($F448="Neutre",$C448="Passif"),$E448,INDEX(Bases!$D$5:$D$83,$T448)&amp;" "&amp;INDEX(Éléments!$D$5:$D$14,$U448))</f>
        <v>Remède de foudre</v>
      </c>
      <c r="H448" s="10" t="str">
        <f aca="false">INDEX(Bases!$G$5:$G$83,$T448)</f>
        <v>Soi</v>
      </c>
      <c r="I448" s="13" t="n">
        <f aca="false">INDEX(Bases!$H$5:$H$83,$T448)</f>
        <v>2</v>
      </c>
      <c r="J448" s="10" t="str">
        <f aca="false">INDEX(Bases!$I$5:$I$83,$T448)</f>
        <v>Non</v>
      </c>
      <c r="K448" s="14" t="n">
        <f aca="false">INDEX(Bases!$J$5:$J$83,$T448)</f>
        <v>0</v>
      </c>
      <c r="L448" s="10" t="str">
        <f aca="false">INDEX(Bases!$K$5:$K$83,$T448)</f>
        <v>Force</v>
      </c>
      <c r="M448" s="11" t="str">
        <f aca="false">INDEX(Bases!$L$5:$L$83,$T448)</f>
        <v>Soigne 15 % des PV max.</v>
      </c>
      <c r="N448" s="11" t="str">
        <f aca="false">IF($C448="Passif","—",IF($C448="Attaque (arme 1)",INDEX(Éléments!$F$5:$F$14,$U448),INDEX(Éléments!$G$5:$G$14,$U448)))</f>
        <v>La prochaine attaque du lanceur inflige +15 % de dégâts.</v>
      </c>
      <c r="O448" s="10" t="str">
        <f aca="false">INDEX(Bases!$M$5:$M$83,$T448)</f>
        <v>Active</v>
      </c>
      <c r="P448" s="13" t="n">
        <f aca="false">INDEX(Bases!$N$5:$N$83,$T448)</f>
        <v>28</v>
      </c>
      <c r="Q448" s="15" t="n">
        <f aca="false">INDEX(Éléments!$C$5:$C$14,$U448)</f>
        <v>80</v>
      </c>
      <c r="R448" s="11" t="str">
        <f aca="false">"Niv. "&amp;$P448&amp;IF($Q448&gt;0," · étage "&amp;$Q448&amp;" terminé","")</f>
        <v>Niv. 28 · étage 80 terminé</v>
      </c>
      <c r="S448" s="14" t="n">
        <f aca="false">IF(ISNUMBER($I448),$K448*IF($H448="Zone",Paramètres!$B$8,1)/MAX(1,$I448),0)</f>
        <v>0</v>
      </c>
      <c r="T448" s="16" t="n">
        <v>59</v>
      </c>
      <c r="U448" s="16" t="n">
        <v>8</v>
      </c>
    </row>
    <row r="449" customFormat="false" ht="15" hidden="false" customHeight="true" outlineLevel="0" collapsed="false">
      <c r="A449" s="9" t="s">
        <v>518</v>
      </c>
      <c r="B449" s="10" t="str">
        <f aca="false">INDEX(Bases!$B$5:$B$83,$T449)</f>
        <v>Tireur</v>
      </c>
      <c r="C449" s="10" t="str">
        <f aca="false">INDEX(Bases!$E$5:$E$83,$T449)</f>
        <v>Soutien (arme 2)</v>
      </c>
      <c r="D449" s="10" t="str">
        <f aca="false">INDEX(Bases!$F$5:$F$83,$T449)</f>
        <v>Soin</v>
      </c>
      <c r="E449" s="11" t="str">
        <f aca="false">INDEX(Bases!$C$5:$C$83,$T449)</f>
        <v>Remède</v>
      </c>
      <c r="F449" s="10" t="str">
        <f aca="false">INDEX(Éléments!$A$5:$A$14,$U449)</f>
        <v>Lumière</v>
      </c>
      <c r="G449" s="12" t="str">
        <f aca="false">IF(OR($F449="Neutre",$C449="Passif"),$E449,INDEX(Bases!$D$5:$D$83,$T449)&amp;" "&amp;INDEX(Éléments!$D$5:$D$14,$U449))</f>
        <v>Remède de lumière</v>
      </c>
      <c r="H449" s="10" t="str">
        <f aca="false">INDEX(Bases!$G$5:$G$83,$T449)</f>
        <v>Soi</v>
      </c>
      <c r="I449" s="13" t="n">
        <f aca="false">INDEX(Bases!$H$5:$H$83,$T449)</f>
        <v>2</v>
      </c>
      <c r="J449" s="10" t="str">
        <f aca="false">INDEX(Bases!$I$5:$I$83,$T449)</f>
        <v>Non</v>
      </c>
      <c r="K449" s="14" t="n">
        <f aca="false">INDEX(Bases!$J$5:$J$83,$T449)</f>
        <v>0</v>
      </c>
      <c r="L449" s="10" t="str">
        <f aca="false">INDEX(Bases!$K$5:$K$83,$T449)</f>
        <v>Force</v>
      </c>
      <c r="M449" s="11" t="str">
        <f aca="false">INDEX(Bases!$L$5:$L$83,$T449)</f>
        <v>Soigne 15 % des PV max.</v>
      </c>
      <c r="N449" s="11" t="str">
        <f aca="false">IF($C449="Passif","—",IF($C449="Attaque (arme 1)",INDEX(Éléments!$F$5:$F$14,$U449),INDEX(Éléments!$G$5:$G$14,$U449)))</f>
        <v>+20 % sur les soins et boucliers de la compétence.</v>
      </c>
      <c r="O449" s="10" t="str">
        <f aca="false">INDEX(Bases!$M$5:$M$83,$T449)</f>
        <v>Active</v>
      </c>
      <c r="P449" s="13" t="n">
        <f aca="false">INDEX(Bases!$N$5:$N$83,$T449)</f>
        <v>28</v>
      </c>
      <c r="Q449" s="15" t="n">
        <f aca="false">INDEX(Éléments!$C$5:$C$14,$U449)</f>
        <v>90</v>
      </c>
      <c r="R449" s="11" t="str">
        <f aca="false">"Niv. "&amp;$P449&amp;IF($Q449&gt;0," · étage "&amp;$Q449&amp;" terminé","")</f>
        <v>Niv. 28 · étage 90 terminé</v>
      </c>
      <c r="S449" s="14" t="n">
        <f aca="false">IF(ISNUMBER($I449),$K449*IF($H449="Zone",Paramètres!$B$8,1)/MAX(1,$I449),0)</f>
        <v>0</v>
      </c>
      <c r="T449" s="16" t="n">
        <v>59</v>
      </c>
      <c r="U449" s="16" t="n">
        <v>9</v>
      </c>
    </row>
    <row r="450" customFormat="false" ht="15" hidden="false" customHeight="true" outlineLevel="0" collapsed="false">
      <c r="A450" s="9" t="s">
        <v>519</v>
      </c>
      <c r="B450" s="10" t="str">
        <f aca="false">INDEX(Bases!$B$5:$B$83,$T450)</f>
        <v>Tireur</v>
      </c>
      <c r="C450" s="10" t="str">
        <f aca="false">INDEX(Bases!$E$5:$E$83,$T450)</f>
        <v>Soutien (arme 2)</v>
      </c>
      <c r="D450" s="10" t="str">
        <f aca="false">INDEX(Bases!$F$5:$F$83,$T450)</f>
        <v>Soin</v>
      </c>
      <c r="E450" s="11" t="str">
        <f aca="false">INDEX(Bases!$C$5:$C$83,$T450)</f>
        <v>Remède</v>
      </c>
      <c r="F450" s="10" t="str">
        <f aca="false">INDEX(Éléments!$A$5:$A$14,$U450)</f>
        <v>Ombre</v>
      </c>
      <c r="G450" s="12" t="str">
        <f aca="false">IF(OR($F450="Neutre",$C450="Passif"),$E450,INDEX(Bases!$D$5:$D$83,$T450)&amp;" "&amp;INDEX(Éléments!$D$5:$D$14,$U450))</f>
        <v>Remède d'ombre</v>
      </c>
      <c r="H450" s="10" t="str">
        <f aca="false">INDEX(Bases!$G$5:$G$83,$T450)</f>
        <v>Soi</v>
      </c>
      <c r="I450" s="13" t="n">
        <f aca="false">INDEX(Bases!$H$5:$H$83,$T450)</f>
        <v>2</v>
      </c>
      <c r="J450" s="10" t="str">
        <f aca="false">INDEX(Bases!$I$5:$I$83,$T450)</f>
        <v>Non</v>
      </c>
      <c r="K450" s="14" t="n">
        <f aca="false">INDEX(Bases!$J$5:$J$83,$T450)</f>
        <v>0</v>
      </c>
      <c r="L450" s="10" t="str">
        <f aca="false">INDEX(Bases!$K$5:$K$83,$T450)</f>
        <v>Force</v>
      </c>
      <c r="M450" s="11" t="str">
        <f aca="false">INDEX(Bases!$L$5:$L$83,$T450)</f>
        <v>Soigne 15 % des PV max.</v>
      </c>
      <c r="N450" s="11" t="str">
        <f aca="false">IF($C450="Passif","—",IF($C450="Attaque (arme 1)",INDEX(Éléments!$F$5:$F$14,$U450),INDEX(Éléments!$G$5:$G$14,$U450)))</f>
        <v>Les ennemis qui frappent le lanceur subissent Corruption (25 %).</v>
      </c>
      <c r="O450" s="10" t="str">
        <f aca="false">INDEX(Bases!$M$5:$M$83,$T450)</f>
        <v>Active</v>
      </c>
      <c r="P450" s="13" t="n">
        <f aca="false">INDEX(Bases!$N$5:$N$83,$T450)</f>
        <v>28</v>
      </c>
      <c r="Q450" s="15" t="n">
        <f aca="false">INDEX(Éléments!$C$5:$C$14,$U450)</f>
        <v>100</v>
      </c>
      <c r="R450" s="11" t="str">
        <f aca="false">"Niv. "&amp;$P450&amp;IF($Q450&gt;0," · étage "&amp;$Q450&amp;" terminé","")</f>
        <v>Niv. 28 · étage 100 terminé</v>
      </c>
      <c r="S450" s="14" t="n">
        <f aca="false">IF(ISNUMBER($I450),$K450*IF($H450="Zone",Paramètres!$B$8,1)/MAX(1,$I450),0)</f>
        <v>0</v>
      </c>
      <c r="T450" s="16" t="n">
        <v>59</v>
      </c>
      <c r="U450" s="16" t="n">
        <v>10</v>
      </c>
    </row>
    <row r="451" customFormat="false" ht="15" hidden="false" customHeight="true" outlineLevel="0" collapsed="false">
      <c r="A451" s="9" t="s">
        <v>520</v>
      </c>
      <c r="B451" s="10" t="str">
        <f aca="false">INDEX(Bases!$B$5:$B$83,$T451)</f>
        <v>Tireur</v>
      </c>
      <c r="C451" s="10" t="str">
        <f aca="false">INDEX(Bases!$E$5:$E$83,$T451)</f>
        <v>Soutien (arme 2)</v>
      </c>
      <c r="D451" s="10" t="str">
        <f aca="false">INDEX(Bases!$F$5:$F$83,$T451)</f>
        <v>Buff</v>
      </c>
      <c r="E451" s="11" t="str">
        <f aca="false">INDEX(Bases!$C$5:$C$83,$T451)</f>
        <v>Visée</v>
      </c>
      <c r="F451" s="10" t="str">
        <f aca="false">INDEX(Éléments!$A$5:$A$14,$U451)</f>
        <v>Neutre</v>
      </c>
      <c r="G451" s="12" t="str">
        <f aca="false">IF(OR($F451="Neutre",$C451="Passif"),$E451,INDEX(Bases!$D$5:$D$83,$T451)&amp;" "&amp;INDEX(Éléments!$D$5:$D$14,$U451))</f>
        <v>Visée</v>
      </c>
      <c r="H451" s="10" t="str">
        <f aca="false">INDEX(Bases!$G$5:$G$83,$T451)</f>
        <v>Soi</v>
      </c>
      <c r="I451" s="13" t="n">
        <f aca="false">INDEX(Bases!$H$5:$H$83,$T451)</f>
        <v>2</v>
      </c>
      <c r="J451" s="10" t="str">
        <f aca="false">INDEX(Bases!$I$5:$I$83,$T451)</f>
        <v>Non</v>
      </c>
      <c r="K451" s="14" t="n">
        <f aca="false">INDEX(Bases!$J$5:$J$83,$T451)</f>
        <v>0</v>
      </c>
      <c r="L451" s="10" t="str">
        <f aca="false">INDEX(Bases!$K$5:$K$83,$T451)</f>
        <v>Force</v>
      </c>
      <c r="M451" s="11" t="str">
        <f aca="false">INDEX(Bases!$L$5:$L$83,$T451)</f>
        <v>La prochaine attaque inflige +50 % de dégâts.</v>
      </c>
      <c r="N451" s="11" t="str">
        <f aca="false">IF($C451="Passif","—",IF($C451="Attaque (arme 1)",INDEX(Éléments!$F$5:$F$14,$U451),INDEX(Éléments!$G$5:$G$14,$U451)))</f>
        <v>Aucun bonus élémentaire : effet de base seul.</v>
      </c>
      <c r="O451" s="10" t="str">
        <f aca="false">INDEX(Bases!$M$5:$M$83,$T451)</f>
        <v>Active</v>
      </c>
      <c r="P451" s="13" t="n">
        <f aca="false">INDEX(Bases!$N$5:$N$83,$T451)</f>
        <v>40</v>
      </c>
      <c r="Q451" s="15" t="n">
        <f aca="false">INDEX(Éléments!$C$5:$C$14,$U451)</f>
        <v>0</v>
      </c>
      <c r="R451" s="11" t="str">
        <f aca="false">"Niv. "&amp;$P451&amp;IF($Q451&gt;0," · étage "&amp;$Q451&amp;" terminé","")</f>
        <v>Niv. 40</v>
      </c>
      <c r="S451" s="14" t="n">
        <f aca="false">IF(ISNUMBER($I451),$K451*IF($H451="Zone",Paramètres!$B$8,1)/MAX(1,$I451),0)</f>
        <v>0</v>
      </c>
      <c r="T451" s="16" t="n">
        <v>60</v>
      </c>
      <c r="U451" s="16" t="n">
        <v>1</v>
      </c>
    </row>
    <row r="452" customFormat="false" ht="15" hidden="false" customHeight="true" outlineLevel="0" collapsed="false">
      <c r="A452" s="9" t="s">
        <v>521</v>
      </c>
      <c r="B452" s="10" t="str">
        <f aca="false">INDEX(Bases!$B$5:$B$83,$T452)</f>
        <v>Tireur</v>
      </c>
      <c r="C452" s="10" t="str">
        <f aca="false">INDEX(Bases!$E$5:$E$83,$T452)</f>
        <v>Soutien (arme 2)</v>
      </c>
      <c r="D452" s="10" t="str">
        <f aca="false">INDEX(Bases!$F$5:$F$83,$T452)</f>
        <v>Buff</v>
      </c>
      <c r="E452" s="11" t="str">
        <f aca="false">INDEX(Bases!$C$5:$C$83,$T452)</f>
        <v>Visée</v>
      </c>
      <c r="F452" s="10" t="str">
        <f aca="false">INDEX(Éléments!$A$5:$A$14,$U452)</f>
        <v>Terre</v>
      </c>
      <c r="G452" s="12" t="str">
        <f aca="false">IF(OR($F452="Neutre",$C452="Passif"),$E452,INDEX(Bases!$D$5:$D$83,$T452)&amp;" "&amp;INDEX(Éléments!$D$5:$D$14,$U452))</f>
        <v>Visée de pierre</v>
      </c>
      <c r="H452" s="10" t="str">
        <f aca="false">INDEX(Bases!$G$5:$G$83,$T452)</f>
        <v>Soi</v>
      </c>
      <c r="I452" s="13" t="n">
        <f aca="false">INDEX(Bases!$H$5:$H$83,$T452)</f>
        <v>2</v>
      </c>
      <c r="J452" s="10" t="str">
        <f aca="false">INDEX(Bases!$I$5:$I$83,$T452)</f>
        <v>Non</v>
      </c>
      <c r="K452" s="14" t="n">
        <f aca="false">INDEX(Bases!$J$5:$J$83,$T452)</f>
        <v>0</v>
      </c>
      <c r="L452" s="10" t="str">
        <f aca="false">INDEX(Bases!$K$5:$K$83,$T452)</f>
        <v>Force</v>
      </c>
      <c r="M452" s="11" t="str">
        <f aca="false">INDEX(Bases!$L$5:$L$83,$T452)</f>
        <v>La prochaine attaque inflige +50 % de dégâts.</v>
      </c>
      <c r="N452" s="11" t="str">
        <f aca="false">IF($C452="Passif","—",IF($C452="Attaque (arme 1)",INDEX(Éléments!$F$5:$F$14,$U452),INDEX(Éléments!$G$5:$G$14,$U452)))</f>
        <v>+15 % d'Armure pendant la durée de l'effet.</v>
      </c>
      <c r="O452" s="10" t="str">
        <f aca="false">INDEX(Bases!$M$5:$M$83,$T452)</f>
        <v>Active</v>
      </c>
      <c r="P452" s="13" t="n">
        <f aca="false">INDEX(Bases!$N$5:$N$83,$T452)</f>
        <v>40</v>
      </c>
      <c r="Q452" s="15" t="n">
        <f aca="false">INDEX(Éléments!$C$5:$C$14,$U452)</f>
        <v>20</v>
      </c>
      <c r="R452" s="11" t="str">
        <f aca="false">"Niv. "&amp;$P452&amp;IF($Q452&gt;0," · étage "&amp;$Q452&amp;" terminé","")</f>
        <v>Niv. 40 · étage 20 terminé</v>
      </c>
      <c r="S452" s="14" t="n">
        <f aca="false">IF(ISNUMBER($I452),$K452*IF($H452="Zone",Paramètres!$B$8,1)/MAX(1,$I452),0)</f>
        <v>0</v>
      </c>
      <c r="T452" s="16" t="n">
        <v>60</v>
      </c>
      <c r="U452" s="16" t="n">
        <v>2</v>
      </c>
    </row>
    <row r="453" customFormat="false" ht="15" hidden="false" customHeight="true" outlineLevel="0" collapsed="false">
      <c r="A453" s="9" t="s">
        <v>522</v>
      </c>
      <c r="B453" s="10" t="str">
        <f aca="false">INDEX(Bases!$B$5:$B$83,$T453)</f>
        <v>Tireur</v>
      </c>
      <c r="C453" s="10" t="str">
        <f aca="false">INDEX(Bases!$E$5:$E$83,$T453)</f>
        <v>Soutien (arme 2)</v>
      </c>
      <c r="D453" s="10" t="str">
        <f aca="false">INDEX(Bases!$F$5:$F$83,$T453)</f>
        <v>Buff</v>
      </c>
      <c r="E453" s="11" t="str">
        <f aca="false">INDEX(Bases!$C$5:$C$83,$T453)</f>
        <v>Visée</v>
      </c>
      <c r="F453" s="10" t="str">
        <f aca="false">INDEX(Éléments!$A$5:$A$14,$U453)</f>
        <v>Feu</v>
      </c>
      <c r="G453" s="12" t="str">
        <f aca="false">IF(OR($F453="Neutre",$C453="Passif"),$E453,INDEX(Bases!$D$5:$D$83,$T453)&amp;" "&amp;INDEX(Éléments!$D$5:$D$14,$U453))</f>
        <v>Visée de feu</v>
      </c>
      <c r="H453" s="10" t="str">
        <f aca="false">INDEX(Bases!$G$5:$G$83,$T453)</f>
        <v>Soi</v>
      </c>
      <c r="I453" s="13" t="n">
        <f aca="false">INDEX(Bases!$H$5:$H$83,$T453)</f>
        <v>2</v>
      </c>
      <c r="J453" s="10" t="str">
        <f aca="false">INDEX(Bases!$I$5:$I$83,$T453)</f>
        <v>Non</v>
      </c>
      <c r="K453" s="14" t="n">
        <f aca="false">INDEX(Bases!$J$5:$J$83,$T453)</f>
        <v>0</v>
      </c>
      <c r="L453" s="10" t="str">
        <f aca="false">INDEX(Bases!$K$5:$K$83,$T453)</f>
        <v>Force</v>
      </c>
      <c r="M453" s="11" t="str">
        <f aca="false">INDEX(Bases!$L$5:$L$83,$T453)</f>
        <v>La prochaine attaque inflige +50 % de dégâts.</v>
      </c>
      <c r="N453" s="11" t="str">
        <f aca="false">IF($C453="Passif","—",IF($C453="Attaque (arme 1)",INDEX(Éléments!$F$5:$F$14,$U453),INDEX(Éléments!$G$5:$G$14,$U453)))</f>
        <v>Les ennemis qui frappent le lanceur ont 40 % de subir Brûlure (pendant la durée).</v>
      </c>
      <c r="O453" s="10" t="str">
        <f aca="false">INDEX(Bases!$M$5:$M$83,$T453)</f>
        <v>Active</v>
      </c>
      <c r="P453" s="13" t="n">
        <f aca="false">INDEX(Bases!$N$5:$N$83,$T453)</f>
        <v>40</v>
      </c>
      <c r="Q453" s="15" t="n">
        <f aca="false">INDEX(Éléments!$C$5:$C$14,$U453)</f>
        <v>30</v>
      </c>
      <c r="R453" s="11" t="str">
        <f aca="false">"Niv. "&amp;$P453&amp;IF($Q453&gt;0," · étage "&amp;$Q453&amp;" terminé","")</f>
        <v>Niv. 40 · étage 30 terminé</v>
      </c>
      <c r="S453" s="14" t="n">
        <f aca="false">IF(ISNUMBER($I453),$K453*IF($H453="Zone",Paramètres!$B$8,1)/MAX(1,$I453),0)</f>
        <v>0</v>
      </c>
      <c r="T453" s="16" t="n">
        <v>60</v>
      </c>
      <c r="U453" s="16" t="n">
        <v>3</v>
      </c>
    </row>
    <row r="454" customFormat="false" ht="15" hidden="false" customHeight="true" outlineLevel="0" collapsed="false">
      <c r="A454" s="9" t="s">
        <v>523</v>
      </c>
      <c r="B454" s="10" t="str">
        <f aca="false">INDEX(Bases!$B$5:$B$83,$T454)</f>
        <v>Tireur</v>
      </c>
      <c r="C454" s="10" t="str">
        <f aca="false">INDEX(Bases!$E$5:$E$83,$T454)</f>
        <v>Soutien (arme 2)</v>
      </c>
      <c r="D454" s="10" t="str">
        <f aca="false">INDEX(Bases!$F$5:$F$83,$T454)</f>
        <v>Buff</v>
      </c>
      <c r="E454" s="11" t="str">
        <f aca="false">INDEX(Bases!$C$5:$C$83,$T454)</f>
        <v>Visée</v>
      </c>
      <c r="F454" s="10" t="str">
        <f aca="false">INDEX(Éléments!$A$5:$A$14,$U454)</f>
        <v>Vent</v>
      </c>
      <c r="G454" s="12" t="str">
        <f aca="false">IF(OR($F454="Neutre",$C454="Passif"),$E454,INDEX(Bases!$D$5:$D$83,$T454)&amp;" "&amp;INDEX(Éléments!$D$5:$D$14,$U454))</f>
        <v>Visée de vent</v>
      </c>
      <c r="H454" s="10" t="str">
        <f aca="false">INDEX(Bases!$G$5:$G$83,$T454)</f>
        <v>Soi</v>
      </c>
      <c r="I454" s="13" t="n">
        <f aca="false">INDEX(Bases!$H$5:$H$83,$T454)</f>
        <v>2</v>
      </c>
      <c r="J454" s="10" t="str">
        <f aca="false">INDEX(Bases!$I$5:$I$83,$T454)</f>
        <v>Non</v>
      </c>
      <c r="K454" s="14" t="n">
        <f aca="false">INDEX(Bases!$J$5:$J$83,$T454)</f>
        <v>0</v>
      </c>
      <c r="L454" s="10" t="str">
        <f aca="false">INDEX(Bases!$K$5:$K$83,$T454)</f>
        <v>Force</v>
      </c>
      <c r="M454" s="11" t="str">
        <f aca="false">INDEX(Bases!$L$5:$L$83,$T454)</f>
        <v>La prochaine attaque inflige +50 % de dégâts.</v>
      </c>
      <c r="N454" s="11" t="str">
        <f aca="false">IF($C454="Passif","—",IF($C454="Attaque (arme 1)",INDEX(Éléments!$F$5:$F$14,$U454),INDEX(Éléments!$G$5:$G$14,$U454)))</f>
        <v>+10 % d'Agilité (esquive) pendant la durée de l'effet.</v>
      </c>
      <c r="O454" s="10" t="str">
        <f aca="false">INDEX(Bases!$M$5:$M$83,$T454)</f>
        <v>Active</v>
      </c>
      <c r="P454" s="13" t="n">
        <f aca="false">INDEX(Bases!$N$5:$N$83,$T454)</f>
        <v>40</v>
      </c>
      <c r="Q454" s="15" t="n">
        <f aca="false">INDEX(Éléments!$C$5:$C$14,$U454)</f>
        <v>40</v>
      </c>
      <c r="R454" s="11" t="str">
        <f aca="false">"Niv. "&amp;$P454&amp;IF($Q454&gt;0," · étage "&amp;$Q454&amp;" terminé","")</f>
        <v>Niv. 40 · étage 40 terminé</v>
      </c>
      <c r="S454" s="14" t="n">
        <f aca="false">IF(ISNUMBER($I454),$K454*IF($H454="Zone",Paramètres!$B$8,1)/MAX(1,$I454),0)</f>
        <v>0</v>
      </c>
      <c r="T454" s="16" t="n">
        <v>60</v>
      </c>
      <c r="U454" s="16" t="n">
        <v>4</v>
      </c>
    </row>
    <row r="455" customFormat="false" ht="15" hidden="false" customHeight="true" outlineLevel="0" collapsed="false">
      <c r="A455" s="9" t="s">
        <v>524</v>
      </c>
      <c r="B455" s="10" t="str">
        <f aca="false">INDEX(Bases!$B$5:$B$83,$T455)</f>
        <v>Tireur</v>
      </c>
      <c r="C455" s="10" t="str">
        <f aca="false">INDEX(Bases!$E$5:$E$83,$T455)</f>
        <v>Soutien (arme 2)</v>
      </c>
      <c r="D455" s="10" t="str">
        <f aca="false">INDEX(Bases!$F$5:$F$83,$T455)</f>
        <v>Buff</v>
      </c>
      <c r="E455" s="11" t="str">
        <f aca="false">INDEX(Bases!$C$5:$C$83,$T455)</f>
        <v>Visée</v>
      </c>
      <c r="F455" s="10" t="str">
        <f aca="false">INDEX(Éléments!$A$5:$A$14,$U455)</f>
        <v>Acide</v>
      </c>
      <c r="G455" s="12" t="str">
        <f aca="false">IF(OR($F455="Neutre",$C455="Passif"),$E455,INDEX(Bases!$D$5:$D$83,$T455)&amp;" "&amp;INDEX(Éléments!$D$5:$D$14,$U455))</f>
        <v>Visée d'acide</v>
      </c>
      <c r="H455" s="10" t="str">
        <f aca="false">INDEX(Bases!$G$5:$G$83,$T455)</f>
        <v>Soi</v>
      </c>
      <c r="I455" s="13" t="n">
        <f aca="false">INDEX(Bases!$H$5:$H$83,$T455)</f>
        <v>2</v>
      </c>
      <c r="J455" s="10" t="str">
        <f aca="false">INDEX(Bases!$I$5:$I$83,$T455)</f>
        <v>Non</v>
      </c>
      <c r="K455" s="14" t="n">
        <f aca="false">INDEX(Bases!$J$5:$J$83,$T455)</f>
        <v>0</v>
      </c>
      <c r="L455" s="10" t="str">
        <f aca="false">INDEX(Bases!$K$5:$K$83,$T455)</f>
        <v>Force</v>
      </c>
      <c r="M455" s="11" t="str">
        <f aca="false">INDEX(Bases!$L$5:$L$83,$T455)</f>
        <v>La prochaine attaque inflige +50 % de dégâts.</v>
      </c>
      <c r="N455" s="11" t="str">
        <f aca="false">IF($C455="Passif","—",IF($C455="Attaque (arme 1)",INDEX(Éléments!$F$5:$F$14,$U455),INDEX(Éléments!$G$5:$G$14,$U455)))</f>
        <v>Les ennemis qui frappent le lanceur prennent 1 pile de Corrosion (40 %).</v>
      </c>
      <c r="O455" s="10" t="str">
        <f aca="false">INDEX(Bases!$M$5:$M$83,$T455)</f>
        <v>Active</v>
      </c>
      <c r="P455" s="13" t="n">
        <f aca="false">INDEX(Bases!$N$5:$N$83,$T455)</f>
        <v>40</v>
      </c>
      <c r="Q455" s="15" t="n">
        <f aca="false">INDEX(Éléments!$C$5:$C$14,$U455)</f>
        <v>50</v>
      </c>
      <c r="R455" s="11" t="str">
        <f aca="false">"Niv. "&amp;$P455&amp;IF($Q455&gt;0," · étage "&amp;$Q455&amp;" terminé","")</f>
        <v>Niv. 40 · étage 50 terminé</v>
      </c>
      <c r="S455" s="14" t="n">
        <f aca="false">IF(ISNUMBER($I455),$K455*IF($H455="Zone",Paramètres!$B$8,1)/MAX(1,$I455),0)</f>
        <v>0</v>
      </c>
      <c r="T455" s="16" t="n">
        <v>60</v>
      </c>
      <c r="U455" s="16" t="n">
        <v>5</v>
      </c>
    </row>
    <row r="456" customFormat="false" ht="15" hidden="false" customHeight="true" outlineLevel="0" collapsed="false">
      <c r="A456" s="9" t="s">
        <v>525</v>
      </c>
      <c r="B456" s="10" t="str">
        <f aca="false">INDEX(Bases!$B$5:$B$83,$T456)</f>
        <v>Tireur</v>
      </c>
      <c r="C456" s="10" t="str">
        <f aca="false">INDEX(Bases!$E$5:$E$83,$T456)</f>
        <v>Soutien (arme 2)</v>
      </c>
      <c r="D456" s="10" t="str">
        <f aca="false">INDEX(Bases!$F$5:$F$83,$T456)</f>
        <v>Buff</v>
      </c>
      <c r="E456" s="11" t="str">
        <f aca="false">INDEX(Bases!$C$5:$C$83,$T456)</f>
        <v>Visée</v>
      </c>
      <c r="F456" s="10" t="str">
        <f aca="false">INDEX(Éléments!$A$5:$A$14,$U456)</f>
        <v>Eau</v>
      </c>
      <c r="G456" s="12" t="str">
        <f aca="false">IF(OR($F456="Neutre",$C456="Passif"),$E456,INDEX(Bases!$D$5:$D$83,$T456)&amp;" "&amp;INDEX(Éléments!$D$5:$D$14,$U456))</f>
        <v>Visée d'eau</v>
      </c>
      <c r="H456" s="10" t="str">
        <f aca="false">INDEX(Bases!$G$5:$G$83,$T456)</f>
        <v>Soi</v>
      </c>
      <c r="I456" s="13" t="n">
        <f aca="false">INDEX(Bases!$H$5:$H$83,$T456)</f>
        <v>2</v>
      </c>
      <c r="J456" s="10" t="str">
        <f aca="false">INDEX(Bases!$I$5:$I$83,$T456)</f>
        <v>Non</v>
      </c>
      <c r="K456" s="14" t="n">
        <f aca="false">INDEX(Bases!$J$5:$J$83,$T456)</f>
        <v>0</v>
      </c>
      <c r="L456" s="10" t="str">
        <f aca="false">INDEX(Bases!$K$5:$K$83,$T456)</f>
        <v>Force</v>
      </c>
      <c r="M456" s="11" t="str">
        <f aca="false">INDEX(Bases!$L$5:$L$83,$T456)</f>
        <v>La prochaine attaque inflige +50 % de dégâts.</v>
      </c>
      <c r="N456" s="11" t="str">
        <f aca="false">IF($C456="Passif","—",IF($C456="Attaque (arme 1)",INDEX(Éléments!$F$5:$F$14,$U456),INDEX(Éléments!$G$5:$G$14,$U456)))</f>
        <v>Soin supplémentaire de 4 % des PV max ; retire Brûlure du lanceur.</v>
      </c>
      <c r="O456" s="10" t="str">
        <f aca="false">INDEX(Bases!$M$5:$M$83,$T456)</f>
        <v>Active</v>
      </c>
      <c r="P456" s="13" t="n">
        <f aca="false">INDEX(Bases!$N$5:$N$83,$T456)</f>
        <v>40</v>
      </c>
      <c r="Q456" s="15" t="n">
        <f aca="false">INDEX(Éléments!$C$5:$C$14,$U456)</f>
        <v>60</v>
      </c>
      <c r="R456" s="11" t="str">
        <f aca="false">"Niv. "&amp;$P456&amp;IF($Q456&gt;0," · étage "&amp;$Q456&amp;" terminé","")</f>
        <v>Niv. 40 · étage 60 terminé</v>
      </c>
      <c r="S456" s="14" t="n">
        <f aca="false">IF(ISNUMBER($I456),$K456*IF($H456="Zone",Paramètres!$B$8,1)/MAX(1,$I456),0)</f>
        <v>0</v>
      </c>
      <c r="T456" s="16" t="n">
        <v>60</v>
      </c>
      <c r="U456" s="16" t="n">
        <v>6</v>
      </c>
    </row>
    <row r="457" customFormat="false" ht="15" hidden="false" customHeight="true" outlineLevel="0" collapsed="false">
      <c r="A457" s="9" t="s">
        <v>526</v>
      </c>
      <c r="B457" s="10" t="str">
        <f aca="false">INDEX(Bases!$B$5:$B$83,$T457)</f>
        <v>Tireur</v>
      </c>
      <c r="C457" s="10" t="str">
        <f aca="false">INDEX(Bases!$E$5:$E$83,$T457)</f>
        <v>Soutien (arme 2)</v>
      </c>
      <c r="D457" s="10" t="str">
        <f aca="false">INDEX(Bases!$F$5:$F$83,$T457)</f>
        <v>Buff</v>
      </c>
      <c r="E457" s="11" t="str">
        <f aca="false">INDEX(Bases!$C$5:$C$83,$T457)</f>
        <v>Visée</v>
      </c>
      <c r="F457" s="10" t="str">
        <f aca="false">INDEX(Éléments!$A$5:$A$14,$U457)</f>
        <v>Glace</v>
      </c>
      <c r="G457" s="12" t="str">
        <f aca="false">IF(OR($F457="Neutre",$C457="Passif"),$E457,INDEX(Bases!$D$5:$D$83,$T457)&amp;" "&amp;INDEX(Éléments!$D$5:$D$14,$U457))</f>
        <v>Visée de glace</v>
      </c>
      <c r="H457" s="10" t="str">
        <f aca="false">INDEX(Bases!$G$5:$G$83,$T457)</f>
        <v>Soi</v>
      </c>
      <c r="I457" s="13" t="n">
        <f aca="false">INDEX(Bases!$H$5:$H$83,$T457)</f>
        <v>2</v>
      </c>
      <c r="J457" s="10" t="str">
        <f aca="false">INDEX(Bases!$I$5:$I$83,$T457)</f>
        <v>Non</v>
      </c>
      <c r="K457" s="14" t="n">
        <f aca="false">INDEX(Bases!$J$5:$J$83,$T457)</f>
        <v>0</v>
      </c>
      <c r="L457" s="10" t="str">
        <f aca="false">INDEX(Bases!$K$5:$K$83,$T457)</f>
        <v>Force</v>
      </c>
      <c r="M457" s="11" t="str">
        <f aca="false">INDEX(Bases!$L$5:$L$83,$T457)</f>
        <v>La prochaine attaque inflige +50 % de dégâts.</v>
      </c>
      <c r="N457" s="11" t="str">
        <f aca="false">IF($C457="Passif","—",IF($C457="Attaque (arme 1)",INDEX(Éléments!$F$5:$F$14,$U457),INDEX(Éléments!$G$5:$G$14,$U457)))</f>
        <v>Les ennemis qui frappent le lanceur prennent 1 pile de Froid (40 %).</v>
      </c>
      <c r="O457" s="10" t="str">
        <f aca="false">INDEX(Bases!$M$5:$M$83,$T457)</f>
        <v>Active</v>
      </c>
      <c r="P457" s="13" t="n">
        <f aca="false">INDEX(Bases!$N$5:$N$83,$T457)</f>
        <v>40</v>
      </c>
      <c r="Q457" s="15" t="n">
        <f aca="false">INDEX(Éléments!$C$5:$C$14,$U457)</f>
        <v>70</v>
      </c>
      <c r="R457" s="11" t="str">
        <f aca="false">"Niv. "&amp;$P457&amp;IF($Q457&gt;0," · étage "&amp;$Q457&amp;" terminé","")</f>
        <v>Niv. 40 · étage 70 terminé</v>
      </c>
      <c r="S457" s="14" t="n">
        <f aca="false">IF(ISNUMBER($I457),$K457*IF($H457="Zone",Paramètres!$B$8,1)/MAX(1,$I457),0)</f>
        <v>0</v>
      </c>
      <c r="T457" s="16" t="n">
        <v>60</v>
      </c>
      <c r="U457" s="16" t="n">
        <v>7</v>
      </c>
    </row>
    <row r="458" customFormat="false" ht="15" hidden="false" customHeight="true" outlineLevel="0" collapsed="false">
      <c r="A458" s="9" t="s">
        <v>527</v>
      </c>
      <c r="B458" s="10" t="str">
        <f aca="false">INDEX(Bases!$B$5:$B$83,$T458)</f>
        <v>Tireur</v>
      </c>
      <c r="C458" s="10" t="str">
        <f aca="false">INDEX(Bases!$E$5:$E$83,$T458)</f>
        <v>Soutien (arme 2)</v>
      </c>
      <c r="D458" s="10" t="str">
        <f aca="false">INDEX(Bases!$F$5:$F$83,$T458)</f>
        <v>Buff</v>
      </c>
      <c r="E458" s="11" t="str">
        <f aca="false">INDEX(Bases!$C$5:$C$83,$T458)</f>
        <v>Visée</v>
      </c>
      <c r="F458" s="10" t="str">
        <f aca="false">INDEX(Éléments!$A$5:$A$14,$U458)</f>
        <v>Électricité</v>
      </c>
      <c r="G458" s="12" t="str">
        <f aca="false">IF(OR($F458="Neutre",$C458="Passif"),$E458,INDEX(Bases!$D$5:$D$83,$T458)&amp;" "&amp;INDEX(Éléments!$D$5:$D$14,$U458))</f>
        <v>Visée de foudre</v>
      </c>
      <c r="H458" s="10" t="str">
        <f aca="false">INDEX(Bases!$G$5:$G$83,$T458)</f>
        <v>Soi</v>
      </c>
      <c r="I458" s="13" t="n">
        <f aca="false">INDEX(Bases!$H$5:$H$83,$T458)</f>
        <v>2</v>
      </c>
      <c r="J458" s="10" t="str">
        <f aca="false">INDEX(Bases!$I$5:$I$83,$T458)</f>
        <v>Non</v>
      </c>
      <c r="K458" s="14" t="n">
        <f aca="false">INDEX(Bases!$J$5:$J$83,$T458)</f>
        <v>0</v>
      </c>
      <c r="L458" s="10" t="str">
        <f aca="false">INDEX(Bases!$K$5:$K$83,$T458)</f>
        <v>Force</v>
      </c>
      <c r="M458" s="11" t="str">
        <f aca="false">INDEX(Bases!$L$5:$L$83,$T458)</f>
        <v>La prochaine attaque inflige +50 % de dégâts.</v>
      </c>
      <c r="N458" s="11" t="str">
        <f aca="false">IF($C458="Passif","—",IF($C458="Attaque (arme 1)",INDEX(Éléments!$F$5:$F$14,$U458),INDEX(Éléments!$G$5:$G$14,$U458)))</f>
        <v>La prochaine attaque du lanceur inflige +15 % de dégâts.</v>
      </c>
      <c r="O458" s="10" t="str">
        <f aca="false">INDEX(Bases!$M$5:$M$83,$T458)</f>
        <v>Active</v>
      </c>
      <c r="P458" s="13" t="n">
        <f aca="false">INDEX(Bases!$N$5:$N$83,$T458)</f>
        <v>40</v>
      </c>
      <c r="Q458" s="15" t="n">
        <f aca="false">INDEX(Éléments!$C$5:$C$14,$U458)</f>
        <v>80</v>
      </c>
      <c r="R458" s="11" t="str">
        <f aca="false">"Niv. "&amp;$P458&amp;IF($Q458&gt;0," · étage "&amp;$Q458&amp;" terminé","")</f>
        <v>Niv. 40 · étage 80 terminé</v>
      </c>
      <c r="S458" s="14" t="n">
        <f aca="false">IF(ISNUMBER($I458),$K458*IF($H458="Zone",Paramètres!$B$8,1)/MAX(1,$I458),0)</f>
        <v>0</v>
      </c>
      <c r="T458" s="16" t="n">
        <v>60</v>
      </c>
      <c r="U458" s="16" t="n">
        <v>8</v>
      </c>
    </row>
    <row r="459" customFormat="false" ht="15" hidden="false" customHeight="true" outlineLevel="0" collapsed="false">
      <c r="A459" s="9" t="s">
        <v>528</v>
      </c>
      <c r="B459" s="10" t="str">
        <f aca="false">INDEX(Bases!$B$5:$B$83,$T459)</f>
        <v>Tireur</v>
      </c>
      <c r="C459" s="10" t="str">
        <f aca="false">INDEX(Bases!$E$5:$E$83,$T459)</f>
        <v>Soutien (arme 2)</v>
      </c>
      <c r="D459" s="10" t="str">
        <f aca="false">INDEX(Bases!$F$5:$F$83,$T459)</f>
        <v>Buff</v>
      </c>
      <c r="E459" s="11" t="str">
        <f aca="false">INDEX(Bases!$C$5:$C$83,$T459)</f>
        <v>Visée</v>
      </c>
      <c r="F459" s="10" t="str">
        <f aca="false">INDEX(Éléments!$A$5:$A$14,$U459)</f>
        <v>Lumière</v>
      </c>
      <c r="G459" s="12" t="str">
        <f aca="false">IF(OR($F459="Neutre",$C459="Passif"),$E459,INDEX(Bases!$D$5:$D$83,$T459)&amp;" "&amp;INDEX(Éléments!$D$5:$D$14,$U459))</f>
        <v>Visée de lumière</v>
      </c>
      <c r="H459" s="10" t="str">
        <f aca="false">INDEX(Bases!$G$5:$G$83,$T459)</f>
        <v>Soi</v>
      </c>
      <c r="I459" s="13" t="n">
        <f aca="false">INDEX(Bases!$H$5:$H$83,$T459)</f>
        <v>2</v>
      </c>
      <c r="J459" s="10" t="str">
        <f aca="false">INDEX(Bases!$I$5:$I$83,$T459)</f>
        <v>Non</v>
      </c>
      <c r="K459" s="14" t="n">
        <f aca="false">INDEX(Bases!$J$5:$J$83,$T459)</f>
        <v>0</v>
      </c>
      <c r="L459" s="10" t="str">
        <f aca="false">INDEX(Bases!$K$5:$K$83,$T459)</f>
        <v>Force</v>
      </c>
      <c r="M459" s="11" t="str">
        <f aca="false">INDEX(Bases!$L$5:$L$83,$T459)</f>
        <v>La prochaine attaque inflige +50 % de dégâts.</v>
      </c>
      <c r="N459" s="11" t="str">
        <f aca="false">IF($C459="Passif","—",IF($C459="Attaque (arme 1)",INDEX(Éléments!$F$5:$F$14,$U459),INDEX(Éléments!$G$5:$G$14,$U459)))</f>
        <v>+20 % sur les soins et boucliers de la compétence.</v>
      </c>
      <c r="O459" s="10" t="str">
        <f aca="false">INDEX(Bases!$M$5:$M$83,$T459)</f>
        <v>Active</v>
      </c>
      <c r="P459" s="13" t="n">
        <f aca="false">INDEX(Bases!$N$5:$N$83,$T459)</f>
        <v>40</v>
      </c>
      <c r="Q459" s="15" t="n">
        <f aca="false">INDEX(Éléments!$C$5:$C$14,$U459)</f>
        <v>90</v>
      </c>
      <c r="R459" s="11" t="str">
        <f aca="false">"Niv. "&amp;$P459&amp;IF($Q459&gt;0," · étage "&amp;$Q459&amp;" terminé","")</f>
        <v>Niv. 40 · étage 90 terminé</v>
      </c>
      <c r="S459" s="14" t="n">
        <f aca="false">IF(ISNUMBER($I459),$K459*IF($H459="Zone",Paramètres!$B$8,1)/MAX(1,$I459),0)</f>
        <v>0</v>
      </c>
      <c r="T459" s="16" t="n">
        <v>60</v>
      </c>
      <c r="U459" s="16" t="n">
        <v>9</v>
      </c>
    </row>
    <row r="460" customFormat="false" ht="15" hidden="false" customHeight="true" outlineLevel="0" collapsed="false">
      <c r="A460" s="9" t="s">
        <v>529</v>
      </c>
      <c r="B460" s="10" t="str">
        <f aca="false">INDEX(Bases!$B$5:$B$83,$T460)</f>
        <v>Tireur</v>
      </c>
      <c r="C460" s="10" t="str">
        <f aca="false">INDEX(Bases!$E$5:$E$83,$T460)</f>
        <v>Soutien (arme 2)</v>
      </c>
      <c r="D460" s="10" t="str">
        <f aca="false">INDEX(Bases!$F$5:$F$83,$T460)</f>
        <v>Buff</v>
      </c>
      <c r="E460" s="11" t="str">
        <f aca="false">INDEX(Bases!$C$5:$C$83,$T460)</f>
        <v>Visée</v>
      </c>
      <c r="F460" s="10" t="str">
        <f aca="false">INDEX(Éléments!$A$5:$A$14,$U460)</f>
        <v>Ombre</v>
      </c>
      <c r="G460" s="12" t="str">
        <f aca="false">IF(OR($F460="Neutre",$C460="Passif"),$E460,INDEX(Bases!$D$5:$D$83,$T460)&amp;" "&amp;INDEX(Éléments!$D$5:$D$14,$U460))</f>
        <v>Visée d'ombre</v>
      </c>
      <c r="H460" s="10" t="str">
        <f aca="false">INDEX(Bases!$G$5:$G$83,$T460)</f>
        <v>Soi</v>
      </c>
      <c r="I460" s="13" t="n">
        <f aca="false">INDEX(Bases!$H$5:$H$83,$T460)</f>
        <v>2</v>
      </c>
      <c r="J460" s="10" t="str">
        <f aca="false">INDEX(Bases!$I$5:$I$83,$T460)</f>
        <v>Non</v>
      </c>
      <c r="K460" s="14" t="n">
        <f aca="false">INDEX(Bases!$J$5:$J$83,$T460)</f>
        <v>0</v>
      </c>
      <c r="L460" s="10" t="str">
        <f aca="false">INDEX(Bases!$K$5:$K$83,$T460)</f>
        <v>Force</v>
      </c>
      <c r="M460" s="11" t="str">
        <f aca="false">INDEX(Bases!$L$5:$L$83,$T460)</f>
        <v>La prochaine attaque inflige +50 % de dégâts.</v>
      </c>
      <c r="N460" s="11" t="str">
        <f aca="false">IF($C460="Passif","—",IF($C460="Attaque (arme 1)",INDEX(Éléments!$F$5:$F$14,$U460),INDEX(Éléments!$G$5:$G$14,$U460)))</f>
        <v>Les ennemis qui frappent le lanceur subissent Corruption (25 %).</v>
      </c>
      <c r="O460" s="10" t="str">
        <f aca="false">INDEX(Bases!$M$5:$M$83,$T460)</f>
        <v>Active</v>
      </c>
      <c r="P460" s="13" t="n">
        <f aca="false">INDEX(Bases!$N$5:$N$83,$T460)</f>
        <v>40</v>
      </c>
      <c r="Q460" s="15" t="n">
        <f aca="false">INDEX(Éléments!$C$5:$C$14,$U460)</f>
        <v>100</v>
      </c>
      <c r="R460" s="11" t="str">
        <f aca="false">"Niv. "&amp;$P460&amp;IF($Q460&gt;0," · étage "&amp;$Q460&amp;" terminé","")</f>
        <v>Niv. 40 · étage 100 terminé</v>
      </c>
      <c r="S460" s="14" t="n">
        <f aca="false">IF(ISNUMBER($I460),$K460*IF($H460="Zone",Paramètres!$B$8,1)/MAX(1,$I460),0)</f>
        <v>0</v>
      </c>
      <c r="T460" s="16" t="n">
        <v>60</v>
      </c>
      <c r="U460" s="16" t="n">
        <v>10</v>
      </c>
    </row>
    <row r="461" customFormat="false" ht="15" hidden="false" customHeight="true" outlineLevel="0" collapsed="false">
      <c r="A461" s="9" t="s">
        <v>530</v>
      </c>
      <c r="B461" s="10" t="str">
        <f aca="false">INDEX(Bases!$B$5:$B$83,$T461)</f>
        <v>Tireur</v>
      </c>
      <c r="C461" s="10" t="str">
        <f aca="false">INDEX(Bases!$E$5:$E$83,$T461)</f>
        <v>Soutien (arme 2)</v>
      </c>
      <c r="D461" s="10" t="str">
        <f aca="false">INDEX(Bases!$F$5:$F$83,$T461)</f>
        <v>Buff</v>
      </c>
      <c r="E461" s="11" t="str">
        <f aca="false">INDEX(Bases!$C$5:$C$83,$T461)</f>
        <v>Instinct du prédateur</v>
      </c>
      <c r="F461" s="10" t="str">
        <f aca="false">INDEX(Éléments!$A$5:$A$14,$U461)</f>
        <v>Neutre</v>
      </c>
      <c r="G461" s="12" t="str">
        <f aca="false">IF(OR($F461="Neutre",$C461="Passif"),$E461,INDEX(Bases!$D$5:$D$83,$T461)&amp;" "&amp;INDEX(Éléments!$D$5:$D$14,$U461))</f>
        <v>Instinct du prédateur</v>
      </c>
      <c r="H461" s="10" t="str">
        <f aca="false">INDEX(Bases!$G$5:$G$83,$T461)</f>
        <v>Soi</v>
      </c>
      <c r="I461" s="13" t="n">
        <f aca="false">INDEX(Bases!$H$5:$H$83,$T461)</f>
        <v>3</v>
      </c>
      <c r="J461" s="10" t="str">
        <f aca="false">INDEX(Bases!$I$5:$I$83,$T461)</f>
        <v>Oui</v>
      </c>
      <c r="K461" s="14" t="n">
        <f aca="false">INDEX(Bases!$J$5:$J$83,$T461)</f>
        <v>0</v>
      </c>
      <c r="L461" s="10" t="str">
        <f aca="false">INDEX(Bases!$K$5:$K$83,$T461)</f>
        <v>Force</v>
      </c>
      <c r="M461" s="11" t="str">
        <f aca="false">INDEX(Bases!$L$5:$L$83,$T461)</f>
        <v>+30 % de dégâts et +20 % de chance de critique pendant 3 tours.</v>
      </c>
      <c r="N461" s="11" t="str">
        <f aca="false">IF($C461="Passif","—",IF($C461="Attaque (arme 1)",INDEX(Éléments!$F$5:$F$14,$U461),INDEX(Éléments!$G$5:$G$14,$U461)))</f>
        <v>Aucun bonus élémentaire : effet de base seul.</v>
      </c>
      <c r="O461" s="10" t="str">
        <f aca="false">INDEX(Bases!$M$5:$M$83,$T461)</f>
        <v>Active</v>
      </c>
      <c r="P461" s="13" t="n">
        <f aca="false">INDEX(Bases!$N$5:$N$83,$T461)</f>
        <v>50</v>
      </c>
      <c r="Q461" s="15" t="n">
        <f aca="false">INDEX(Éléments!$C$5:$C$14,$U461)</f>
        <v>0</v>
      </c>
      <c r="R461" s="11" t="str">
        <f aca="false">"Niv. "&amp;$P461&amp;IF($Q461&gt;0," · étage "&amp;$Q461&amp;" terminé","")</f>
        <v>Niv. 50</v>
      </c>
      <c r="S461" s="14" t="n">
        <f aca="false">IF(ISNUMBER($I461),$K461*IF($H461="Zone",Paramètres!$B$8,1)/MAX(1,$I461),0)</f>
        <v>0</v>
      </c>
      <c r="T461" s="16" t="n">
        <v>61</v>
      </c>
      <c r="U461" s="16" t="n">
        <v>1</v>
      </c>
    </row>
    <row r="462" customFormat="false" ht="15" hidden="false" customHeight="true" outlineLevel="0" collapsed="false">
      <c r="A462" s="9" t="s">
        <v>531</v>
      </c>
      <c r="B462" s="10" t="str">
        <f aca="false">INDEX(Bases!$B$5:$B$83,$T462)</f>
        <v>Tireur</v>
      </c>
      <c r="C462" s="10" t="str">
        <f aca="false">INDEX(Bases!$E$5:$E$83,$T462)</f>
        <v>Soutien (arme 2)</v>
      </c>
      <c r="D462" s="10" t="str">
        <f aca="false">INDEX(Bases!$F$5:$F$83,$T462)</f>
        <v>Buff</v>
      </c>
      <c r="E462" s="11" t="str">
        <f aca="false">INDEX(Bases!$C$5:$C$83,$T462)</f>
        <v>Instinct du prédateur</v>
      </c>
      <c r="F462" s="10" t="str">
        <f aca="false">INDEX(Éléments!$A$5:$A$14,$U462)</f>
        <v>Terre</v>
      </c>
      <c r="G462" s="12" t="str">
        <f aca="false">IF(OR($F462="Neutre",$C462="Passif"),$E462,INDEX(Bases!$D$5:$D$83,$T462)&amp;" "&amp;INDEX(Éléments!$D$5:$D$14,$U462))</f>
        <v>Instinct de pierre</v>
      </c>
      <c r="H462" s="10" t="str">
        <f aca="false">INDEX(Bases!$G$5:$G$83,$T462)</f>
        <v>Soi</v>
      </c>
      <c r="I462" s="13" t="n">
        <f aca="false">INDEX(Bases!$H$5:$H$83,$T462)</f>
        <v>3</v>
      </c>
      <c r="J462" s="10" t="str">
        <f aca="false">INDEX(Bases!$I$5:$I$83,$T462)</f>
        <v>Oui</v>
      </c>
      <c r="K462" s="14" t="n">
        <f aca="false">INDEX(Bases!$J$5:$J$83,$T462)</f>
        <v>0</v>
      </c>
      <c r="L462" s="10" t="str">
        <f aca="false">INDEX(Bases!$K$5:$K$83,$T462)</f>
        <v>Force</v>
      </c>
      <c r="M462" s="11" t="str">
        <f aca="false">INDEX(Bases!$L$5:$L$83,$T462)</f>
        <v>+30 % de dégâts et +20 % de chance de critique pendant 3 tours.</v>
      </c>
      <c r="N462" s="11" t="str">
        <f aca="false">IF($C462="Passif","—",IF($C462="Attaque (arme 1)",INDEX(Éléments!$F$5:$F$14,$U462),INDEX(Éléments!$G$5:$G$14,$U462)))</f>
        <v>+15 % d'Armure pendant la durée de l'effet.</v>
      </c>
      <c r="O462" s="10" t="str">
        <f aca="false">INDEX(Bases!$M$5:$M$83,$T462)</f>
        <v>Active</v>
      </c>
      <c r="P462" s="13" t="n">
        <f aca="false">INDEX(Bases!$N$5:$N$83,$T462)</f>
        <v>50</v>
      </c>
      <c r="Q462" s="15" t="n">
        <f aca="false">INDEX(Éléments!$C$5:$C$14,$U462)</f>
        <v>20</v>
      </c>
      <c r="R462" s="11" t="str">
        <f aca="false">"Niv. "&amp;$P462&amp;IF($Q462&gt;0," · étage "&amp;$Q462&amp;" terminé","")</f>
        <v>Niv. 50 · étage 20 terminé</v>
      </c>
      <c r="S462" s="14" t="n">
        <f aca="false">IF(ISNUMBER($I462),$K462*IF($H462="Zone",Paramètres!$B$8,1)/MAX(1,$I462),0)</f>
        <v>0</v>
      </c>
      <c r="T462" s="16" t="n">
        <v>61</v>
      </c>
      <c r="U462" s="16" t="n">
        <v>2</v>
      </c>
    </row>
    <row r="463" customFormat="false" ht="15" hidden="false" customHeight="true" outlineLevel="0" collapsed="false">
      <c r="A463" s="9" t="s">
        <v>532</v>
      </c>
      <c r="B463" s="10" t="str">
        <f aca="false">INDEX(Bases!$B$5:$B$83,$T463)</f>
        <v>Tireur</v>
      </c>
      <c r="C463" s="10" t="str">
        <f aca="false">INDEX(Bases!$E$5:$E$83,$T463)</f>
        <v>Soutien (arme 2)</v>
      </c>
      <c r="D463" s="10" t="str">
        <f aca="false">INDEX(Bases!$F$5:$F$83,$T463)</f>
        <v>Buff</v>
      </c>
      <c r="E463" s="11" t="str">
        <f aca="false">INDEX(Bases!$C$5:$C$83,$T463)</f>
        <v>Instinct du prédateur</v>
      </c>
      <c r="F463" s="10" t="str">
        <f aca="false">INDEX(Éléments!$A$5:$A$14,$U463)</f>
        <v>Feu</v>
      </c>
      <c r="G463" s="12" t="str">
        <f aca="false">IF(OR($F463="Neutre",$C463="Passif"),$E463,INDEX(Bases!$D$5:$D$83,$T463)&amp;" "&amp;INDEX(Éléments!$D$5:$D$14,$U463))</f>
        <v>Instinct de feu</v>
      </c>
      <c r="H463" s="10" t="str">
        <f aca="false">INDEX(Bases!$G$5:$G$83,$T463)</f>
        <v>Soi</v>
      </c>
      <c r="I463" s="13" t="n">
        <f aca="false">INDEX(Bases!$H$5:$H$83,$T463)</f>
        <v>3</v>
      </c>
      <c r="J463" s="10" t="str">
        <f aca="false">INDEX(Bases!$I$5:$I$83,$T463)</f>
        <v>Oui</v>
      </c>
      <c r="K463" s="14" t="n">
        <f aca="false">INDEX(Bases!$J$5:$J$83,$T463)</f>
        <v>0</v>
      </c>
      <c r="L463" s="10" t="str">
        <f aca="false">INDEX(Bases!$K$5:$K$83,$T463)</f>
        <v>Force</v>
      </c>
      <c r="M463" s="11" t="str">
        <f aca="false">INDEX(Bases!$L$5:$L$83,$T463)</f>
        <v>+30 % de dégâts et +20 % de chance de critique pendant 3 tours.</v>
      </c>
      <c r="N463" s="11" t="str">
        <f aca="false">IF($C463="Passif","—",IF($C463="Attaque (arme 1)",INDEX(Éléments!$F$5:$F$14,$U463),INDEX(Éléments!$G$5:$G$14,$U463)))</f>
        <v>Les ennemis qui frappent le lanceur ont 40 % de subir Brûlure (pendant la durée).</v>
      </c>
      <c r="O463" s="10" t="str">
        <f aca="false">INDEX(Bases!$M$5:$M$83,$T463)</f>
        <v>Active</v>
      </c>
      <c r="P463" s="13" t="n">
        <f aca="false">INDEX(Bases!$N$5:$N$83,$T463)</f>
        <v>50</v>
      </c>
      <c r="Q463" s="15" t="n">
        <f aca="false">INDEX(Éléments!$C$5:$C$14,$U463)</f>
        <v>30</v>
      </c>
      <c r="R463" s="11" t="str">
        <f aca="false">"Niv. "&amp;$P463&amp;IF($Q463&gt;0," · étage "&amp;$Q463&amp;" terminé","")</f>
        <v>Niv. 50 · étage 30 terminé</v>
      </c>
      <c r="S463" s="14" t="n">
        <f aca="false">IF(ISNUMBER($I463),$K463*IF($H463="Zone",Paramètres!$B$8,1)/MAX(1,$I463),0)</f>
        <v>0</v>
      </c>
      <c r="T463" s="16" t="n">
        <v>61</v>
      </c>
      <c r="U463" s="16" t="n">
        <v>3</v>
      </c>
    </row>
    <row r="464" customFormat="false" ht="15" hidden="false" customHeight="true" outlineLevel="0" collapsed="false">
      <c r="A464" s="9" t="s">
        <v>533</v>
      </c>
      <c r="B464" s="10" t="str">
        <f aca="false">INDEX(Bases!$B$5:$B$83,$T464)</f>
        <v>Tireur</v>
      </c>
      <c r="C464" s="10" t="str">
        <f aca="false">INDEX(Bases!$E$5:$E$83,$T464)</f>
        <v>Soutien (arme 2)</v>
      </c>
      <c r="D464" s="10" t="str">
        <f aca="false">INDEX(Bases!$F$5:$F$83,$T464)</f>
        <v>Buff</v>
      </c>
      <c r="E464" s="11" t="str">
        <f aca="false">INDEX(Bases!$C$5:$C$83,$T464)</f>
        <v>Instinct du prédateur</v>
      </c>
      <c r="F464" s="10" t="str">
        <f aca="false">INDEX(Éléments!$A$5:$A$14,$U464)</f>
        <v>Vent</v>
      </c>
      <c r="G464" s="12" t="str">
        <f aca="false">IF(OR($F464="Neutre",$C464="Passif"),$E464,INDEX(Bases!$D$5:$D$83,$T464)&amp;" "&amp;INDEX(Éléments!$D$5:$D$14,$U464))</f>
        <v>Instinct de vent</v>
      </c>
      <c r="H464" s="10" t="str">
        <f aca="false">INDEX(Bases!$G$5:$G$83,$T464)</f>
        <v>Soi</v>
      </c>
      <c r="I464" s="13" t="n">
        <f aca="false">INDEX(Bases!$H$5:$H$83,$T464)</f>
        <v>3</v>
      </c>
      <c r="J464" s="10" t="str">
        <f aca="false">INDEX(Bases!$I$5:$I$83,$T464)</f>
        <v>Oui</v>
      </c>
      <c r="K464" s="14" t="n">
        <f aca="false">INDEX(Bases!$J$5:$J$83,$T464)</f>
        <v>0</v>
      </c>
      <c r="L464" s="10" t="str">
        <f aca="false">INDEX(Bases!$K$5:$K$83,$T464)</f>
        <v>Force</v>
      </c>
      <c r="M464" s="11" t="str">
        <f aca="false">INDEX(Bases!$L$5:$L$83,$T464)</f>
        <v>+30 % de dégâts et +20 % de chance de critique pendant 3 tours.</v>
      </c>
      <c r="N464" s="11" t="str">
        <f aca="false">IF($C464="Passif","—",IF($C464="Attaque (arme 1)",INDEX(Éléments!$F$5:$F$14,$U464),INDEX(Éléments!$G$5:$G$14,$U464)))</f>
        <v>+10 % d'Agilité (esquive) pendant la durée de l'effet.</v>
      </c>
      <c r="O464" s="10" t="str">
        <f aca="false">INDEX(Bases!$M$5:$M$83,$T464)</f>
        <v>Active</v>
      </c>
      <c r="P464" s="13" t="n">
        <f aca="false">INDEX(Bases!$N$5:$N$83,$T464)</f>
        <v>50</v>
      </c>
      <c r="Q464" s="15" t="n">
        <f aca="false">INDEX(Éléments!$C$5:$C$14,$U464)</f>
        <v>40</v>
      </c>
      <c r="R464" s="11" t="str">
        <f aca="false">"Niv. "&amp;$P464&amp;IF($Q464&gt;0," · étage "&amp;$Q464&amp;" terminé","")</f>
        <v>Niv. 50 · étage 40 terminé</v>
      </c>
      <c r="S464" s="14" t="n">
        <f aca="false">IF(ISNUMBER($I464),$K464*IF($H464="Zone",Paramètres!$B$8,1)/MAX(1,$I464),0)</f>
        <v>0</v>
      </c>
      <c r="T464" s="16" t="n">
        <v>61</v>
      </c>
      <c r="U464" s="16" t="n">
        <v>4</v>
      </c>
    </row>
    <row r="465" customFormat="false" ht="15" hidden="false" customHeight="true" outlineLevel="0" collapsed="false">
      <c r="A465" s="9" t="s">
        <v>534</v>
      </c>
      <c r="B465" s="10" t="str">
        <f aca="false">INDEX(Bases!$B$5:$B$83,$T465)</f>
        <v>Tireur</v>
      </c>
      <c r="C465" s="10" t="str">
        <f aca="false">INDEX(Bases!$E$5:$E$83,$T465)</f>
        <v>Soutien (arme 2)</v>
      </c>
      <c r="D465" s="10" t="str">
        <f aca="false">INDEX(Bases!$F$5:$F$83,$T465)</f>
        <v>Buff</v>
      </c>
      <c r="E465" s="11" t="str">
        <f aca="false">INDEX(Bases!$C$5:$C$83,$T465)</f>
        <v>Instinct du prédateur</v>
      </c>
      <c r="F465" s="10" t="str">
        <f aca="false">INDEX(Éléments!$A$5:$A$14,$U465)</f>
        <v>Acide</v>
      </c>
      <c r="G465" s="12" t="str">
        <f aca="false">IF(OR($F465="Neutre",$C465="Passif"),$E465,INDEX(Bases!$D$5:$D$83,$T465)&amp;" "&amp;INDEX(Éléments!$D$5:$D$14,$U465))</f>
        <v>Instinct d'acide</v>
      </c>
      <c r="H465" s="10" t="str">
        <f aca="false">INDEX(Bases!$G$5:$G$83,$T465)</f>
        <v>Soi</v>
      </c>
      <c r="I465" s="13" t="n">
        <f aca="false">INDEX(Bases!$H$5:$H$83,$T465)</f>
        <v>3</v>
      </c>
      <c r="J465" s="10" t="str">
        <f aca="false">INDEX(Bases!$I$5:$I$83,$T465)</f>
        <v>Oui</v>
      </c>
      <c r="K465" s="14" t="n">
        <f aca="false">INDEX(Bases!$J$5:$J$83,$T465)</f>
        <v>0</v>
      </c>
      <c r="L465" s="10" t="str">
        <f aca="false">INDEX(Bases!$K$5:$K$83,$T465)</f>
        <v>Force</v>
      </c>
      <c r="M465" s="11" t="str">
        <f aca="false">INDEX(Bases!$L$5:$L$83,$T465)</f>
        <v>+30 % de dégâts et +20 % de chance de critique pendant 3 tours.</v>
      </c>
      <c r="N465" s="11" t="str">
        <f aca="false">IF($C465="Passif","—",IF($C465="Attaque (arme 1)",INDEX(Éléments!$F$5:$F$14,$U465),INDEX(Éléments!$G$5:$G$14,$U465)))</f>
        <v>Les ennemis qui frappent le lanceur prennent 1 pile de Corrosion (40 %).</v>
      </c>
      <c r="O465" s="10" t="str">
        <f aca="false">INDEX(Bases!$M$5:$M$83,$T465)</f>
        <v>Active</v>
      </c>
      <c r="P465" s="13" t="n">
        <f aca="false">INDEX(Bases!$N$5:$N$83,$T465)</f>
        <v>50</v>
      </c>
      <c r="Q465" s="15" t="n">
        <f aca="false">INDEX(Éléments!$C$5:$C$14,$U465)</f>
        <v>50</v>
      </c>
      <c r="R465" s="11" t="str">
        <f aca="false">"Niv. "&amp;$P465&amp;IF($Q465&gt;0," · étage "&amp;$Q465&amp;" terminé","")</f>
        <v>Niv. 50 · étage 50 terminé</v>
      </c>
      <c r="S465" s="14" t="n">
        <f aca="false">IF(ISNUMBER($I465),$K465*IF($H465="Zone",Paramètres!$B$8,1)/MAX(1,$I465),0)</f>
        <v>0</v>
      </c>
      <c r="T465" s="16" t="n">
        <v>61</v>
      </c>
      <c r="U465" s="16" t="n">
        <v>5</v>
      </c>
    </row>
    <row r="466" customFormat="false" ht="15" hidden="false" customHeight="true" outlineLevel="0" collapsed="false">
      <c r="A466" s="9" t="s">
        <v>535</v>
      </c>
      <c r="B466" s="10" t="str">
        <f aca="false">INDEX(Bases!$B$5:$B$83,$T466)</f>
        <v>Tireur</v>
      </c>
      <c r="C466" s="10" t="str">
        <f aca="false">INDEX(Bases!$E$5:$E$83,$T466)</f>
        <v>Soutien (arme 2)</v>
      </c>
      <c r="D466" s="10" t="str">
        <f aca="false">INDEX(Bases!$F$5:$F$83,$T466)</f>
        <v>Buff</v>
      </c>
      <c r="E466" s="11" t="str">
        <f aca="false">INDEX(Bases!$C$5:$C$83,$T466)</f>
        <v>Instinct du prédateur</v>
      </c>
      <c r="F466" s="10" t="str">
        <f aca="false">INDEX(Éléments!$A$5:$A$14,$U466)</f>
        <v>Eau</v>
      </c>
      <c r="G466" s="12" t="str">
        <f aca="false">IF(OR($F466="Neutre",$C466="Passif"),$E466,INDEX(Bases!$D$5:$D$83,$T466)&amp;" "&amp;INDEX(Éléments!$D$5:$D$14,$U466))</f>
        <v>Instinct d'eau</v>
      </c>
      <c r="H466" s="10" t="str">
        <f aca="false">INDEX(Bases!$G$5:$G$83,$T466)</f>
        <v>Soi</v>
      </c>
      <c r="I466" s="13" t="n">
        <f aca="false">INDEX(Bases!$H$5:$H$83,$T466)</f>
        <v>3</v>
      </c>
      <c r="J466" s="10" t="str">
        <f aca="false">INDEX(Bases!$I$5:$I$83,$T466)</f>
        <v>Oui</v>
      </c>
      <c r="K466" s="14" t="n">
        <f aca="false">INDEX(Bases!$J$5:$J$83,$T466)</f>
        <v>0</v>
      </c>
      <c r="L466" s="10" t="str">
        <f aca="false">INDEX(Bases!$K$5:$K$83,$T466)</f>
        <v>Force</v>
      </c>
      <c r="M466" s="11" t="str">
        <f aca="false">INDEX(Bases!$L$5:$L$83,$T466)</f>
        <v>+30 % de dégâts et +20 % de chance de critique pendant 3 tours.</v>
      </c>
      <c r="N466" s="11" t="str">
        <f aca="false">IF($C466="Passif","—",IF($C466="Attaque (arme 1)",INDEX(Éléments!$F$5:$F$14,$U466),INDEX(Éléments!$G$5:$G$14,$U466)))</f>
        <v>Soin supplémentaire de 4 % des PV max ; retire Brûlure du lanceur.</v>
      </c>
      <c r="O466" s="10" t="str">
        <f aca="false">INDEX(Bases!$M$5:$M$83,$T466)</f>
        <v>Active</v>
      </c>
      <c r="P466" s="13" t="n">
        <f aca="false">INDEX(Bases!$N$5:$N$83,$T466)</f>
        <v>50</v>
      </c>
      <c r="Q466" s="15" t="n">
        <f aca="false">INDEX(Éléments!$C$5:$C$14,$U466)</f>
        <v>60</v>
      </c>
      <c r="R466" s="11" t="str">
        <f aca="false">"Niv. "&amp;$P466&amp;IF($Q466&gt;0," · étage "&amp;$Q466&amp;" terminé","")</f>
        <v>Niv. 50 · étage 60 terminé</v>
      </c>
      <c r="S466" s="14" t="n">
        <f aca="false">IF(ISNUMBER($I466),$K466*IF($H466="Zone",Paramètres!$B$8,1)/MAX(1,$I466),0)</f>
        <v>0</v>
      </c>
      <c r="T466" s="16" t="n">
        <v>61</v>
      </c>
      <c r="U466" s="16" t="n">
        <v>6</v>
      </c>
    </row>
    <row r="467" customFormat="false" ht="15" hidden="false" customHeight="true" outlineLevel="0" collapsed="false">
      <c r="A467" s="9" t="s">
        <v>536</v>
      </c>
      <c r="B467" s="10" t="str">
        <f aca="false">INDEX(Bases!$B$5:$B$83,$T467)</f>
        <v>Tireur</v>
      </c>
      <c r="C467" s="10" t="str">
        <f aca="false">INDEX(Bases!$E$5:$E$83,$T467)</f>
        <v>Soutien (arme 2)</v>
      </c>
      <c r="D467" s="10" t="str">
        <f aca="false">INDEX(Bases!$F$5:$F$83,$T467)</f>
        <v>Buff</v>
      </c>
      <c r="E467" s="11" t="str">
        <f aca="false">INDEX(Bases!$C$5:$C$83,$T467)</f>
        <v>Instinct du prédateur</v>
      </c>
      <c r="F467" s="10" t="str">
        <f aca="false">INDEX(Éléments!$A$5:$A$14,$U467)</f>
        <v>Glace</v>
      </c>
      <c r="G467" s="12" t="str">
        <f aca="false">IF(OR($F467="Neutre",$C467="Passif"),$E467,INDEX(Bases!$D$5:$D$83,$T467)&amp;" "&amp;INDEX(Éléments!$D$5:$D$14,$U467))</f>
        <v>Instinct de glace</v>
      </c>
      <c r="H467" s="10" t="str">
        <f aca="false">INDEX(Bases!$G$5:$G$83,$T467)</f>
        <v>Soi</v>
      </c>
      <c r="I467" s="13" t="n">
        <f aca="false">INDEX(Bases!$H$5:$H$83,$T467)</f>
        <v>3</v>
      </c>
      <c r="J467" s="10" t="str">
        <f aca="false">INDEX(Bases!$I$5:$I$83,$T467)</f>
        <v>Oui</v>
      </c>
      <c r="K467" s="14" t="n">
        <f aca="false">INDEX(Bases!$J$5:$J$83,$T467)</f>
        <v>0</v>
      </c>
      <c r="L467" s="10" t="str">
        <f aca="false">INDEX(Bases!$K$5:$K$83,$T467)</f>
        <v>Force</v>
      </c>
      <c r="M467" s="11" t="str">
        <f aca="false">INDEX(Bases!$L$5:$L$83,$T467)</f>
        <v>+30 % de dégâts et +20 % de chance de critique pendant 3 tours.</v>
      </c>
      <c r="N467" s="11" t="str">
        <f aca="false">IF($C467="Passif","—",IF($C467="Attaque (arme 1)",INDEX(Éléments!$F$5:$F$14,$U467),INDEX(Éléments!$G$5:$G$14,$U467)))</f>
        <v>Les ennemis qui frappent le lanceur prennent 1 pile de Froid (40 %).</v>
      </c>
      <c r="O467" s="10" t="str">
        <f aca="false">INDEX(Bases!$M$5:$M$83,$T467)</f>
        <v>Active</v>
      </c>
      <c r="P467" s="13" t="n">
        <f aca="false">INDEX(Bases!$N$5:$N$83,$T467)</f>
        <v>50</v>
      </c>
      <c r="Q467" s="15" t="n">
        <f aca="false">INDEX(Éléments!$C$5:$C$14,$U467)</f>
        <v>70</v>
      </c>
      <c r="R467" s="11" t="str">
        <f aca="false">"Niv. "&amp;$P467&amp;IF($Q467&gt;0," · étage "&amp;$Q467&amp;" terminé","")</f>
        <v>Niv. 50 · étage 70 terminé</v>
      </c>
      <c r="S467" s="14" t="n">
        <f aca="false">IF(ISNUMBER($I467),$K467*IF($H467="Zone",Paramètres!$B$8,1)/MAX(1,$I467),0)</f>
        <v>0</v>
      </c>
      <c r="T467" s="16" t="n">
        <v>61</v>
      </c>
      <c r="U467" s="16" t="n">
        <v>7</v>
      </c>
    </row>
    <row r="468" customFormat="false" ht="15" hidden="false" customHeight="true" outlineLevel="0" collapsed="false">
      <c r="A468" s="9" t="s">
        <v>537</v>
      </c>
      <c r="B468" s="10" t="str">
        <f aca="false">INDEX(Bases!$B$5:$B$83,$T468)</f>
        <v>Tireur</v>
      </c>
      <c r="C468" s="10" t="str">
        <f aca="false">INDEX(Bases!$E$5:$E$83,$T468)</f>
        <v>Soutien (arme 2)</v>
      </c>
      <c r="D468" s="10" t="str">
        <f aca="false">INDEX(Bases!$F$5:$F$83,$T468)</f>
        <v>Buff</v>
      </c>
      <c r="E468" s="11" t="str">
        <f aca="false">INDEX(Bases!$C$5:$C$83,$T468)</f>
        <v>Instinct du prédateur</v>
      </c>
      <c r="F468" s="10" t="str">
        <f aca="false">INDEX(Éléments!$A$5:$A$14,$U468)</f>
        <v>Électricité</v>
      </c>
      <c r="G468" s="12" t="str">
        <f aca="false">IF(OR($F468="Neutre",$C468="Passif"),$E468,INDEX(Bases!$D$5:$D$83,$T468)&amp;" "&amp;INDEX(Éléments!$D$5:$D$14,$U468))</f>
        <v>Instinct de foudre</v>
      </c>
      <c r="H468" s="10" t="str">
        <f aca="false">INDEX(Bases!$G$5:$G$83,$T468)</f>
        <v>Soi</v>
      </c>
      <c r="I468" s="13" t="n">
        <f aca="false">INDEX(Bases!$H$5:$H$83,$T468)</f>
        <v>3</v>
      </c>
      <c r="J468" s="10" t="str">
        <f aca="false">INDEX(Bases!$I$5:$I$83,$T468)</f>
        <v>Oui</v>
      </c>
      <c r="K468" s="14" t="n">
        <f aca="false">INDEX(Bases!$J$5:$J$83,$T468)</f>
        <v>0</v>
      </c>
      <c r="L468" s="10" t="str">
        <f aca="false">INDEX(Bases!$K$5:$K$83,$T468)</f>
        <v>Force</v>
      </c>
      <c r="M468" s="11" t="str">
        <f aca="false">INDEX(Bases!$L$5:$L$83,$T468)</f>
        <v>+30 % de dégâts et +20 % de chance de critique pendant 3 tours.</v>
      </c>
      <c r="N468" s="11" t="str">
        <f aca="false">IF($C468="Passif","—",IF($C468="Attaque (arme 1)",INDEX(Éléments!$F$5:$F$14,$U468),INDEX(Éléments!$G$5:$G$14,$U468)))</f>
        <v>La prochaine attaque du lanceur inflige +15 % de dégâts.</v>
      </c>
      <c r="O468" s="10" t="str">
        <f aca="false">INDEX(Bases!$M$5:$M$83,$T468)</f>
        <v>Active</v>
      </c>
      <c r="P468" s="13" t="n">
        <f aca="false">INDEX(Bases!$N$5:$N$83,$T468)</f>
        <v>50</v>
      </c>
      <c r="Q468" s="15" t="n">
        <f aca="false">INDEX(Éléments!$C$5:$C$14,$U468)</f>
        <v>80</v>
      </c>
      <c r="R468" s="11" t="str">
        <f aca="false">"Niv. "&amp;$P468&amp;IF($Q468&gt;0," · étage "&amp;$Q468&amp;" terminé","")</f>
        <v>Niv. 50 · étage 80 terminé</v>
      </c>
      <c r="S468" s="14" t="n">
        <f aca="false">IF(ISNUMBER($I468),$K468*IF($H468="Zone",Paramètres!$B$8,1)/MAX(1,$I468),0)</f>
        <v>0</v>
      </c>
      <c r="T468" s="16" t="n">
        <v>61</v>
      </c>
      <c r="U468" s="16" t="n">
        <v>8</v>
      </c>
    </row>
    <row r="469" customFormat="false" ht="15" hidden="false" customHeight="true" outlineLevel="0" collapsed="false">
      <c r="A469" s="9" t="s">
        <v>538</v>
      </c>
      <c r="B469" s="10" t="str">
        <f aca="false">INDEX(Bases!$B$5:$B$83,$T469)</f>
        <v>Tireur</v>
      </c>
      <c r="C469" s="10" t="str">
        <f aca="false">INDEX(Bases!$E$5:$E$83,$T469)</f>
        <v>Soutien (arme 2)</v>
      </c>
      <c r="D469" s="10" t="str">
        <f aca="false">INDEX(Bases!$F$5:$F$83,$T469)</f>
        <v>Buff</v>
      </c>
      <c r="E469" s="11" t="str">
        <f aca="false">INDEX(Bases!$C$5:$C$83,$T469)</f>
        <v>Instinct du prédateur</v>
      </c>
      <c r="F469" s="10" t="str">
        <f aca="false">INDEX(Éléments!$A$5:$A$14,$U469)</f>
        <v>Lumière</v>
      </c>
      <c r="G469" s="12" t="str">
        <f aca="false">IF(OR($F469="Neutre",$C469="Passif"),$E469,INDEX(Bases!$D$5:$D$83,$T469)&amp;" "&amp;INDEX(Éléments!$D$5:$D$14,$U469))</f>
        <v>Instinct de lumière</v>
      </c>
      <c r="H469" s="10" t="str">
        <f aca="false">INDEX(Bases!$G$5:$G$83,$T469)</f>
        <v>Soi</v>
      </c>
      <c r="I469" s="13" t="n">
        <f aca="false">INDEX(Bases!$H$5:$H$83,$T469)</f>
        <v>3</v>
      </c>
      <c r="J469" s="10" t="str">
        <f aca="false">INDEX(Bases!$I$5:$I$83,$T469)</f>
        <v>Oui</v>
      </c>
      <c r="K469" s="14" t="n">
        <f aca="false">INDEX(Bases!$J$5:$J$83,$T469)</f>
        <v>0</v>
      </c>
      <c r="L469" s="10" t="str">
        <f aca="false">INDEX(Bases!$K$5:$K$83,$T469)</f>
        <v>Force</v>
      </c>
      <c r="M469" s="11" t="str">
        <f aca="false">INDEX(Bases!$L$5:$L$83,$T469)</f>
        <v>+30 % de dégâts et +20 % de chance de critique pendant 3 tours.</v>
      </c>
      <c r="N469" s="11" t="str">
        <f aca="false">IF($C469="Passif","—",IF($C469="Attaque (arme 1)",INDEX(Éléments!$F$5:$F$14,$U469),INDEX(Éléments!$G$5:$G$14,$U469)))</f>
        <v>+20 % sur les soins et boucliers de la compétence.</v>
      </c>
      <c r="O469" s="10" t="str">
        <f aca="false">INDEX(Bases!$M$5:$M$83,$T469)</f>
        <v>Active</v>
      </c>
      <c r="P469" s="13" t="n">
        <f aca="false">INDEX(Bases!$N$5:$N$83,$T469)</f>
        <v>50</v>
      </c>
      <c r="Q469" s="15" t="n">
        <f aca="false">INDEX(Éléments!$C$5:$C$14,$U469)</f>
        <v>90</v>
      </c>
      <c r="R469" s="11" t="str">
        <f aca="false">"Niv. "&amp;$P469&amp;IF($Q469&gt;0," · étage "&amp;$Q469&amp;" terminé","")</f>
        <v>Niv. 50 · étage 90 terminé</v>
      </c>
      <c r="S469" s="14" t="n">
        <f aca="false">IF(ISNUMBER($I469),$K469*IF($H469="Zone",Paramètres!$B$8,1)/MAX(1,$I469),0)</f>
        <v>0</v>
      </c>
      <c r="T469" s="16" t="n">
        <v>61</v>
      </c>
      <c r="U469" s="16" t="n">
        <v>9</v>
      </c>
    </row>
    <row r="470" customFormat="false" ht="15" hidden="false" customHeight="true" outlineLevel="0" collapsed="false">
      <c r="A470" s="9" t="s">
        <v>539</v>
      </c>
      <c r="B470" s="10" t="str">
        <f aca="false">INDEX(Bases!$B$5:$B$83,$T470)</f>
        <v>Tireur</v>
      </c>
      <c r="C470" s="10" t="str">
        <f aca="false">INDEX(Bases!$E$5:$E$83,$T470)</f>
        <v>Soutien (arme 2)</v>
      </c>
      <c r="D470" s="10" t="str">
        <f aca="false">INDEX(Bases!$F$5:$F$83,$T470)</f>
        <v>Buff</v>
      </c>
      <c r="E470" s="11" t="str">
        <f aca="false">INDEX(Bases!$C$5:$C$83,$T470)</f>
        <v>Instinct du prédateur</v>
      </c>
      <c r="F470" s="10" t="str">
        <f aca="false">INDEX(Éléments!$A$5:$A$14,$U470)</f>
        <v>Ombre</v>
      </c>
      <c r="G470" s="12" t="str">
        <f aca="false">IF(OR($F470="Neutre",$C470="Passif"),$E470,INDEX(Bases!$D$5:$D$83,$T470)&amp;" "&amp;INDEX(Éléments!$D$5:$D$14,$U470))</f>
        <v>Instinct d'ombre</v>
      </c>
      <c r="H470" s="10" t="str">
        <f aca="false">INDEX(Bases!$G$5:$G$83,$T470)</f>
        <v>Soi</v>
      </c>
      <c r="I470" s="13" t="n">
        <f aca="false">INDEX(Bases!$H$5:$H$83,$T470)</f>
        <v>3</v>
      </c>
      <c r="J470" s="10" t="str">
        <f aca="false">INDEX(Bases!$I$5:$I$83,$T470)</f>
        <v>Oui</v>
      </c>
      <c r="K470" s="14" t="n">
        <f aca="false">INDEX(Bases!$J$5:$J$83,$T470)</f>
        <v>0</v>
      </c>
      <c r="L470" s="10" t="str">
        <f aca="false">INDEX(Bases!$K$5:$K$83,$T470)</f>
        <v>Force</v>
      </c>
      <c r="M470" s="11" t="str">
        <f aca="false">INDEX(Bases!$L$5:$L$83,$T470)</f>
        <v>+30 % de dégâts et +20 % de chance de critique pendant 3 tours.</v>
      </c>
      <c r="N470" s="11" t="str">
        <f aca="false">IF($C470="Passif","—",IF($C470="Attaque (arme 1)",INDEX(Éléments!$F$5:$F$14,$U470),INDEX(Éléments!$G$5:$G$14,$U470)))</f>
        <v>Les ennemis qui frappent le lanceur subissent Corruption (25 %).</v>
      </c>
      <c r="O470" s="10" t="str">
        <f aca="false">INDEX(Bases!$M$5:$M$83,$T470)</f>
        <v>Active</v>
      </c>
      <c r="P470" s="13" t="n">
        <f aca="false">INDEX(Bases!$N$5:$N$83,$T470)</f>
        <v>50</v>
      </c>
      <c r="Q470" s="15" t="n">
        <f aca="false">INDEX(Éléments!$C$5:$C$14,$U470)</f>
        <v>100</v>
      </c>
      <c r="R470" s="11" t="str">
        <f aca="false">"Niv. "&amp;$P470&amp;IF($Q470&gt;0," · étage "&amp;$Q470&amp;" terminé","")</f>
        <v>Niv. 50 · étage 100 terminé</v>
      </c>
      <c r="S470" s="14" t="n">
        <f aca="false">IF(ISNUMBER($I470),$K470*IF($H470="Zone",Paramètres!$B$8,1)/MAX(1,$I470),0)</f>
        <v>0</v>
      </c>
      <c r="T470" s="16" t="n">
        <v>61</v>
      </c>
      <c r="U470" s="16" t="n">
        <v>10</v>
      </c>
    </row>
    <row r="471" customFormat="false" ht="15" hidden="false" customHeight="true" outlineLevel="0" collapsed="false">
      <c r="A471" s="9" t="s">
        <v>540</v>
      </c>
      <c r="B471" s="10" t="str">
        <f aca="false">INDEX(Bases!$B$5:$B$83,$T471)</f>
        <v>Tireur</v>
      </c>
      <c r="C471" s="10" t="str">
        <f aca="false">INDEX(Bases!$E$5:$E$83,$T471)</f>
        <v>Passif</v>
      </c>
      <c r="D471" s="10" t="str">
        <f aca="false">INDEX(Bases!$F$5:$F$83,$T471)</f>
        <v>Passif</v>
      </c>
      <c r="E471" s="11" t="str">
        <f aca="false">INDEX(Bases!$C$5:$C$83,$T471)</f>
        <v>Œil vif</v>
      </c>
      <c r="F471" s="10" t="str">
        <f aca="false">INDEX(Éléments!$A$5:$A$14,$U471)</f>
        <v>Neutre</v>
      </c>
      <c r="G471" s="12" t="str">
        <f aca="false">IF(OR($F471="Neutre",$C471="Passif"),$E471,INDEX(Bases!$D$5:$D$83,$T471)&amp;" "&amp;INDEX(Éléments!$D$5:$D$14,$U471))</f>
        <v>Œil vif</v>
      </c>
      <c r="H471" s="10" t="str">
        <f aca="false">INDEX(Bases!$G$5:$G$83,$T471)</f>
        <v>Soi</v>
      </c>
      <c r="I471" s="13" t="str">
        <f aca="false">INDEX(Bases!$H$5:$H$83,$T471)</f>
        <v>—</v>
      </c>
      <c r="J471" s="10" t="str">
        <f aca="false">INDEX(Bases!$I$5:$I$83,$T471)</f>
        <v>Non</v>
      </c>
      <c r="K471" s="14" t="n">
        <f aca="false">INDEX(Bases!$J$5:$J$83,$T471)</f>
        <v>0</v>
      </c>
      <c r="L471" s="10" t="str">
        <f aca="false">INDEX(Bases!$K$5:$K$83,$T471)</f>
        <v>—</v>
      </c>
      <c r="M471" s="11" t="str">
        <f aca="false">INDEX(Bases!$L$5:$L$83,$T471)</f>
        <v>+5 % de chance de critique.</v>
      </c>
      <c r="N471" s="11" t="str">
        <f aca="false">IF($C471="Passif","—",IF($C471="Attaque (arme 1)",INDEX(Éléments!$F$5:$F$14,$U471),INDEX(Éléments!$G$5:$G$14,$U471)))</f>
        <v>—</v>
      </c>
      <c r="O471" s="10" t="str">
        <f aca="false">INDEX(Bases!$M$5:$M$83,$T471)</f>
        <v>Permanent</v>
      </c>
      <c r="P471" s="13" t="n">
        <f aca="false">INDEX(Bases!$N$5:$N$83,$T471)</f>
        <v>1</v>
      </c>
      <c r="Q471" s="15" t="n">
        <f aca="false">INDEX(Éléments!$C$5:$C$14,$U471)</f>
        <v>0</v>
      </c>
      <c r="R471" s="11" t="str">
        <f aca="false">"Niv. "&amp;$P471&amp;IF($Q471&gt;0," · étage "&amp;$Q471&amp;" terminé","")</f>
        <v>Niv. 1</v>
      </c>
      <c r="S471" s="14" t="n">
        <f aca="false">IF(ISNUMBER($I471),$K471*IF($H471="Zone",Paramètres!$B$8,1)/MAX(1,$I471),0)</f>
        <v>0</v>
      </c>
      <c r="T471" s="16" t="n">
        <v>62</v>
      </c>
      <c r="U471" s="16" t="n">
        <v>1</v>
      </c>
    </row>
    <row r="472" customFormat="false" ht="15" hidden="false" customHeight="true" outlineLevel="0" collapsed="false">
      <c r="A472" s="9" t="s">
        <v>541</v>
      </c>
      <c r="B472" s="10" t="str">
        <f aca="false">INDEX(Bases!$B$5:$B$83,$T472)</f>
        <v>Tireur</v>
      </c>
      <c r="C472" s="10" t="str">
        <f aca="false">INDEX(Bases!$E$5:$E$83,$T472)</f>
        <v>Passif</v>
      </c>
      <c r="D472" s="10" t="str">
        <f aca="false">INDEX(Bases!$F$5:$F$83,$T472)</f>
        <v>Passif</v>
      </c>
      <c r="E472" s="11" t="str">
        <f aca="false">INDEX(Bases!$C$5:$C$83,$T472)</f>
        <v>Chasseur</v>
      </c>
      <c r="F472" s="10" t="str">
        <f aca="false">INDEX(Éléments!$A$5:$A$14,$U472)</f>
        <v>Neutre</v>
      </c>
      <c r="G472" s="12" t="str">
        <f aca="false">IF(OR($F472="Neutre",$C472="Passif"),$E472,INDEX(Bases!$D$5:$D$83,$T472)&amp;" "&amp;INDEX(Éléments!$D$5:$D$14,$U472))</f>
        <v>Chasseur</v>
      </c>
      <c r="H472" s="10" t="str">
        <f aca="false">INDEX(Bases!$G$5:$G$83,$T472)</f>
        <v>Soi</v>
      </c>
      <c r="I472" s="13" t="str">
        <f aca="false">INDEX(Bases!$H$5:$H$83,$T472)</f>
        <v>—</v>
      </c>
      <c r="J472" s="10" t="str">
        <f aca="false">INDEX(Bases!$I$5:$I$83,$T472)</f>
        <v>Non</v>
      </c>
      <c r="K472" s="14" t="n">
        <f aca="false">INDEX(Bases!$J$5:$J$83,$T472)</f>
        <v>0</v>
      </c>
      <c r="L472" s="10" t="str">
        <f aca="false">INDEX(Bases!$K$5:$K$83,$T472)</f>
        <v>—</v>
      </c>
      <c r="M472" s="11" t="str">
        <f aca="false">INDEX(Bases!$L$5:$L$83,$T472)</f>
        <v>+15 % de dégâts contre une cible qui porte une altération.</v>
      </c>
      <c r="N472" s="11" t="str">
        <f aca="false">IF($C472="Passif","—",IF($C472="Attaque (arme 1)",INDEX(Éléments!$F$5:$F$14,$U472),INDEX(Éléments!$G$5:$G$14,$U472)))</f>
        <v>—</v>
      </c>
      <c r="O472" s="10" t="str">
        <f aca="false">INDEX(Bases!$M$5:$M$83,$T472)</f>
        <v>Permanent</v>
      </c>
      <c r="P472" s="13" t="n">
        <f aca="false">INDEX(Bases!$N$5:$N$83,$T472)</f>
        <v>10</v>
      </c>
      <c r="Q472" s="15" t="n">
        <f aca="false">INDEX(Éléments!$C$5:$C$14,$U472)</f>
        <v>0</v>
      </c>
      <c r="R472" s="11" t="str">
        <f aca="false">"Niv. "&amp;$P472&amp;IF($Q472&gt;0," · étage "&amp;$Q472&amp;" terminé","")</f>
        <v>Niv. 10</v>
      </c>
      <c r="S472" s="14" t="n">
        <f aca="false">IF(ISNUMBER($I472),$K472*IF($H472="Zone",Paramètres!$B$8,1)/MAX(1,$I472),0)</f>
        <v>0</v>
      </c>
      <c r="T472" s="16" t="n">
        <v>63</v>
      </c>
      <c r="U472" s="16" t="n">
        <v>1</v>
      </c>
    </row>
    <row r="473" customFormat="false" ht="15" hidden="false" customHeight="true" outlineLevel="0" collapsed="false">
      <c r="A473" s="9" t="s">
        <v>542</v>
      </c>
      <c r="B473" s="10" t="str">
        <f aca="false">INDEX(Bases!$B$5:$B$83,$T473)</f>
        <v>Tireur</v>
      </c>
      <c r="C473" s="10" t="str">
        <f aca="false">INDEX(Bases!$E$5:$E$83,$T473)</f>
        <v>Passif</v>
      </c>
      <c r="D473" s="10" t="str">
        <f aca="false">INDEX(Bases!$F$5:$F$83,$T473)</f>
        <v>Passif</v>
      </c>
      <c r="E473" s="11" t="str">
        <f aca="false">INDEX(Bases!$C$5:$C$83,$T473)</f>
        <v>Premier sang</v>
      </c>
      <c r="F473" s="10" t="str">
        <f aca="false">INDEX(Éléments!$A$5:$A$14,$U473)</f>
        <v>Neutre</v>
      </c>
      <c r="G473" s="12" t="str">
        <f aca="false">IF(OR($F473="Neutre",$C473="Passif"),$E473,INDEX(Bases!$D$5:$D$83,$T473)&amp;" "&amp;INDEX(Éléments!$D$5:$D$14,$U473))</f>
        <v>Premier sang</v>
      </c>
      <c r="H473" s="10" t="str">
        <f aca="false">INDEX(Bases!$G$5:$G$83,$T473)</f>
        <v>Soi</v>
      </c>
      <c r="I473" s="13" t="str">
        <f aca="false">INDEX(Bases!$H$5:$H$83,$T473)</f>
        <v>—</v>
      </c>
      <c r="J473" s="10" t="str">
        <f aca="false">INDEX(Bases!$I$5:$I$83,$T473)</f>
        <v>Non</v>
      </c>
      <c r="K473" s="14" t="n">
        <f aca="false">INDEX(Bases!$J$5:$J$83,$T473)</f>
        <v>0</v>
      </c>
      <c r="L473" s="10" t="str">
        <f aca="false">INDEX(Bases!$K$5:$K$83,$T473)</f>
        <v>—</v>
      </c>
      <c r="M473" s="11" t="str">
        <f aca="false">INDEX(Bases!$L$5:$L$83,$T473)</f>
        <v>Le premier tir de chaque vague est un coup critique.</v>
      </c>
      <c r="N473" s="11" t="str">
        <f aca="false">IF($C473="Passif","—",IF($C473="Attaque (arme 1)",INDEX(Éléments!$F$5:$F$14,$U473),INDEX(Éléments!$G$5:$G$14,$U473)))</f>
        <v>—</v>
      </c>
      <c r="O473" s="10" t="str">
        <f aca="false">INDEX(Bases!$M$5:$M$83,$T473)</f>
        <v>Début de vague</v>
      </c>
      <c r="P473" s="13" t="n">
        <f aca="false">INDEX(Bases!$N$5:$N$83,$T473)</f>
        <v>20</v>
      </c>
      <c r="Q473" s="15" t="n">
        <f aca="false">INDEX(Éléments!$C$5:$C$14,$U473)</f>
        <v>0</v>
      </c>
      <c r="R473" s="11" t="str">
        <f aca="false">"Niv. "&amp;$P473&amp;IF($Q473&gt;0," · étage "&amp;$Q473&amp;" terminé","")</f>
        <v>Niv. 20</v>
      </c>
      <c r="S473" s="14" t="n">
        <f aca="false">IF(ISNUMBER($I473),$K473*IF($H473="Zone",Paramètres!$B$8,1)/MAX(1,$I473),0)</f>
        <v>0</v>
      </c>
      <c r="T473" s="16" t="n">
        <v>64</v>
      </c>
      <c r="U473" s="16" t="n">
        <v>1</v>
      </c>
    </row>
    <row r="474" customFormat="false" ht="15" hidden="false" customHeight="true" outlineLevel="0" collapsed="false">
      <c r="A474" s="9" t="s">
        <v>543</v>
      </c>
      <c r="B474" s="10" t="str">
        <f aca="false">INDEX(Bases!$B$5:$B$83,$T474)</f>
        <v>Tireur</v>
      </c>
      <c r="C474" s="10" t="str">
        <f aca="false">INDEX(Bases!$E$5:$E$83,$T474)</f>
        <v>Passif</v>
      </c>
      <c r="D474" s="10" t="str">
        <f aca="false">INDEX(Bases!$F$5:$F$83,$T474)</f>
        <v>Passif</v>
      </c>
      <c r="E474" s="11" t="str">
        <f aca="false">INDEX(Bases!$C$5:$C$83,$T474)</f>
        <v>Pas léger</v>
      </c>
      <c r="F474" s="10" t="str">
        <f aca="false">INDEX(Éléments!$A$5:$A$14,$U474)</f>
        <v>Neutre</v>
      </c>
      <c r="G474" s="12" t="str">
        <f aca="false">IF(OR($F474="Neutre",$C474="Passif"),$E474,INDEX(Bases!$D$5:$D$83,$T474)&amp;" "&amp;INDEX(Éléments!$D$5:$D$14,$U474))</f>
        <v>Pas léger</v>
      </c>
      <c r="H474" s="10" t="str">
        <f aca="false">INDEX(Bases!$G$5:$G$83,$T474)</f>
        <v>Soi</v>
      </c>
      <c r="I474" s="13" t="str">
        <f aca="false">INDEX(Bases!$H$5:$H$83,$T474)</f>
        <v>—</v>
      </c>
      <c r="J474" s="10" t="str">
        <f aca="false">INDEX(Bases!$I$5:$I$83,$T474)</f>
        <v>Non</v>
      </c>
      <c r="K474" s="14" t="n">
        <f aca="false">INDEX(Bases!$J$5:$J$83,$T474)</f>
        <v>0</v>
      </c>
      <c r="L474" s="10" t="str">
        <f aca="false">INDEX(Bases!$K$5:$K$83,$T474)</f>
        <v>—</v>
      </c>
      <c r="M474" s="11" t="str">
        <f aca="false">INDEX(Bases!$L$5:$L$83,$T474)</f>
        <v>+5 % d'esquive.</v>
      </c>
      <c r="N474" s="11" t="str">
        <f aca="false">IF($C474="Passif","—",IF($C474="Attaque (arme 1)",INDEX(Éléments!$F$5:$F$14,$U474),INDEX(Éléments!$G$5:$G$14,$U474)))</f>
        <v>—</v>
      </c>
      <c r="O474" s="10" t="str">
        <f aca="false">INDEX(Bases!$M$5:$M$83,$T474)</f>
        <v>Permanent</v>
      </c>
      <c r="P474" s="13" t="n">
        <f aca="false">INDEX(Bases!$N$5:$N$83,$T474)</f>
        <v>30</v>
      </c>
      <c r="Q474" s="15" t="n">
        <f aca="false">INDEX(Éléments!$C$5:$C$14,$U474)</f>
        <v>0</v>
      </c>
      <c r="R474" s="11" t="str">
        <f aca="false">"Niv. "&amp;$P474&amp;IF($Q474&gt;0," · étage "&amp;$Q474&amp;" terminé","")</f>
        <v>Niv. 30</v>
      </c>
      <c r="S474" s="14" t="n">
        <f aca="false">IF(ISNUMBER($I474),$K474*IF($H474="Zone",Paramètres!$B$8,1)/MAX(1,$I474),0)</f>
        <v>0</v>
      </c>
      <c r="T474" s="16" t="n">
        <v>65</v>
      </c>
      <c r="U474" s="16" t="n">
        <v>1</v>
      </c>
    </row>
    <row r="475" customFormat="false" ht="15" hidden="false" customHeight="true" outlineLevel="0" collapsed="false">
      <c r="A475" s="9" t="s">
        <v>544</v>
      </c>
      <c r="B475" s="10" t="str">
        <f aca="false">INDEX(Bases!$B$5:$B$83,$T475)</f>
        <v>Tireur</v>
      </c>
      <c r="C475" s="10" t="str">
        <f aca="false">INDEX(Bases!$E$5:$E$83,$T475)</f>
        <v>Passif</v>
      </c>
      <c r="D475" s="10" t="str">
        <f aca="false">INDEX(Bases!$F$5:$F$83,$T475)</f>
        <v>Passif</v>
      </c>
      <c r="E475" s="11" t="str">
        <f aca="false">INDEX(Bases!$C$5:$C$83,$T475)</f>
        <v>Pointes barbelées</v>
      </c>
      <c r="F475" s="10" t="str">
        <f aca="false">INDEX(Éléments!$A$5:$A$14,$U475)</f>
        <v>Neutre</v>
      </c>
      <c r="G475" s="12" t="str">
        <f aca="false">IF(OR($F475="Neutre",$C475="Passif"),$E475,INDEX(Bases!$D$5:$D$83,$T475)&amp;" "&amp;INDEX(Éléments!$D$5:$D$14,$U475))</f>
        <v>Pointes barbelées</v>
      </c>
      <c r="H475" s="10" t="str">
        <f aca="false">INDEX(Bases!$G$5:$G$83,$T475)</f>
        <v>Soi</v>
      </c>
      <c r="I475" s="13" t="str">
        <f aca="false">INDEX(Bases!$H$5:$H$83,$T475)</f>
        <v>—</v>
      </c>
      <c r="J475" s="10" t="str">
        <f aca="false">INDEX(Bases!$I$5:$I$83,$T475)</f>
        <v>Non</v>
      </c>
      <c r="K475" s="14" t="n">
        <f aca="false">INDEX(Bases!$J$5:$J$83,$T475)</f>
        <v>0</v>
      </c>
      <c r="L475" s="10" t="str">
        <f aca="false">INDEX(Bases!$K$5:$K$83,$T475)</f>
        <v>—</v>
      </c>
      <c r="M475" s="11" t="str">
        <f aca="false">INDEX(Bases!$L$5:$L$83,$T475)</f>
        <v>Les coups critiques appliquent Saignement (3 tours).</v>
      </c>
      <c r="N475" s="11" t="str">
        <f aca="false">IF($C475="Passif","—",IF($C475="Attaque (arme 1)",INDEX(Éléments!$F$5:$F$14,$U475),INDEX(Éléments!$G$5:$G$14,$U475)))</f>
        <v>—</v>
      </c>
      <c r="O475" s="10" t="str">
        <f aca="false">INDEX(Bases!$M$5:$M$83,$T475)</f>
        <v>Sur coup critique</v>
      </c>
      <c r="P475" s="13" t="n">
        <f aca="false">INDEX(Bases!$N$5:$N$83,$T475)</f>
        <v>40</v>
      </c>
      <c r="Q475" s="15" t="n">
        <f aca="false">INDEX(Éléments!$C$5:$C$14,$U475)</f>
        <v>0</v>
      </c>
      <c r="R475" s="11" t="str">
        <f aca="false">"Niv. "&amp;$P475&amp;IF($Q475&gt;0," · étage "&amp;$Q475&amp;" terminé","")</f>
        <v>Niv. 40</v>
      </c>
      <c r="S475" s="14" t="n">
        <f aca="false">IF(ISNUMBER($I475),$K475*IF($H475="Zone",Paramètres!$B$8,1)/MAX(1,$I475),0)</f>
        <v>0</v>
      </c>
      <c r="T475" s="16" t="n">
        <v>66</v>
      </c>
      <c r="U475" s="16" t="n">
        <v>1</v>
      </c>
    </row>
    <row r="476" customFormat="false" ht="15" hidden="false" customHeight="true" outlineLevel="0" collapsed="false">
      <c r="A476" s="9" t="s">
        <v>545</v>
      </c>
      <c r="B476" s="10" t="str">
        <f aca="false">INDEX(Bases!$B$5:$B$83,$T476)</f>
        <v>Tireur</v>
      </c>
      <c r="C476" s="10" t="str">
        <f aca="false">INDEX(Bases!$E$5:$E$83,$T476)</f>
        <v>Passif</v>
      </c>
      <c r="D476" s="10" t="str">
        <f aca="false">INDEX(Bases!$F$5:$F$83,$T476)</f>
        <v>Passif</v>
      </c>
      <c r="E476" s="11" t="str">
        <f aca="false">INDEX(Bases!$C$5:$C$83,$T476)</f>
        <v>Carquois sans fond</v>
      </c>
      <c r="F476" s="10" t="str">
        <f aca="false">INDEX(Éléments!$A$5:$A$14,$U476)</f>
        <v>Neutre</v>
      </c>
      <c r="G476" s="12" t="str">
        <f aca="false">IF(OR($F476="Neutre",$C476="Passif"),$E476,INDEX(Bases!$D$5:$D$83,$T476)&amp;" "&amp;INDEX(Éléments!$D$5:$D$14,$U476))</f>
        <v>Carquois sans fond</v>
      </c>
      <c r="H476" s="10" t="str">
        <f aca="false">INDEX(Bases!$G$5:$G$83,$T476)</f>
        <v>Soi</v>
      </c>
      <c r="I476" s="13" t="str">
        <f aca="false">INDEX(Bases!$H$5:$H$83,$T476)</f>
        <v>—</v>
      </c>
      <c r="J476" s="10" t="str">
        <f aca="false">INDEX(Bases!$I$5:$I$83,$T476)</f>
        <v>Non</v>
      </c>
      <c r="K476" s="14" t="n">
        <f aca="false">INDEX(Bases!$J$5:$J$83,$T476)</f>
        <v>0</v>
      </c>
      <c r="L476" s="10" t="str">
        <f aca="false">INDEX(Bases!$K$5:$K$83,$T476)</f>
        <v>—</v>
      </c>
      <c r="M476" s="11" t="str">
        <f aca="false">INDEX(Bases!$L$5:$L$83,$T476)</f>
        <v>Tir gratuit sur un ennemi au hasard (50 % de la Force).</v>
      </c>
      <c r="N476" s="11" t="str">
        <f aca="false">IF($C476="Passif","—",IF($C476="Attaque (arme 1)",INDEX(Éléments!$F$5:$F$14,$U476),INDEX(Éléments!$G$5:$G$14,$U476)))</f>
        <v>—</v>
      </c>
      <c r="O476" s="10" t="str">
        <f aca="false">INDEX(Bases!$M$5:$M$83,$T476)</f>
        <v>Tous les 2 tours</v>
      </c>
      <c r="P476" s="13" t="n">
        <f aca="false">INDEX(Bases!$N$5:$N$83,$T476)</f>
        <v>50</v>
      </c>
      <c r="Q476" s="15" t="n">
        <f aca="false">INDEX(Éléments!$C$5:$C$14,$U476)</f>
        <v>0</v>
      </c>
      <c r="R476" s="11" t="str">
        <f aca="false">"Niv. "&amp;$P476&amp;IF($Q476&gt;0," · étage "&amp;$Q476&amp;" terminé","")</f>
        <v>Niv. 50</v>
      </c>
      <c r="S476" s="14" t="n">
        <f aca="false">IF(ISNUMBER($I476),$K476*IF($H476="Zone",Paramètres!$B$8,1)/MAX(1,$I476),0)</f>
        <v>0</v>
      </c>
      <c r="T476" s="16" t="n">
        <v>67</v>
      </c>
      <c r="U476" s="16" t="n">
        <v>1</v>
      </c>
    </row>
    <row r="477" customFormat="false" ht="15" hidden="false" customHeight="true" outlineLevel="0" collapsed="false">
      <c r="A477" s="9" t="s">
        <v>546</v>
      </c>
      <c r="B477" s="10" t="str">
        <f aca="false">INDEX(Bases!$B$5:$B$83,$T477)</f>
        <v>Tireur</v>
      </c>
      <c r="C477" s="10" t="str">
        <f aca="false">INDEX(Bases!$E$5:$E$83,$T477)</f>
        <v>Passif</v>
      </c>
      <c r="D477" s="10" t="str">
        <f aca="false">INDEX(Bases!$F$5:$F$83,$T477)</f>
        <v>Passif</v>
      </c>
      <c r="E477" s="11" t="str">
        <f aca="false">INDEX(Bases!$C$5:$C$83,$T477)</f>
        <v>Précision mortelle</v>
      </c>
      <c r="F477" s="10" t="str">
        <f aca="false">INDEX(Éléments!$A$5:$A$14,$U477)</f>
        <v>Neutre</v>
      </c>
      <c r="G477" s="12" t="str">
        <f aca="false">IF(OR($F477="Neutre",$C477="Passif"),$E477,INDEX(Bases!$D$5:$D$83,$T477)&amp;" "&amp;INDEX(Éléments!$D$5:$D$14,$U477))</f>
        <v>Précision mortelle</v>
      </c>
      <c r="H477" s="10" t="str">
        <f aca="false">INDEX(Bases!$G$5:$G$83,$T477)</f>
        <v>Soi</v>
      </c>
      <c r="I477" s="13" t="str">
        <f aca="false">INDEX(Bases!$H$5:$H$83,$T477)</f>
        <v>—</v>
      </c>
      <c r="J477" s="10" t="str">
        <f aca="false">INDEX(Bases!$I$5:$I$83,$T477)</f>
        <v>Non</v>
      </c>
      <c r="K477" s="14" t="n">
        <f aca="false">INDEX(Bases!$J$5:$J$83,$T477)</f>
        <v>0</v>
      </c>
      <c r="L477" s="10" t="str">
        <f aca="false">INDEX(Bases!$K$5:$K$83,$T477)</f>
        <v>—</v>
      </c>
      <c r="M477" s="11" t="str">
        <f aca="false">INDEX(Bases!$L$5:$L$83,$T477)</f>
        <v>+20 % de dégâts critiques.</v>
      </c>
      <c r="N477" s="11" t="str">
        <f aca="false">IF($C477="Passif","—",IF($C477="Attaque (arme 1)",INDEX(Éléments!$F$5:$F$14,$U477),INDEX(Éléments!$G$5:$G$14,$U477)))</f>
        <v>—</v>
      </c>
      <c r="O477" s="10" t="str">
        <f aca="false">INDEX(Bases!$M$5:$M$83,$T477)</f>
        <v>Permanent</v>
      </c>
      <c r="P477" s="13" t="n">
        <f aca="false">INDEX(Bases!$N$5:$N$83,$T477)</f>
        <v>60</v>
      </c>
      <c r="Q477" s="15" t="n">
        <f aca="false">INDEX(Éléments!$C$5:$C$14,$U477)</f>
        <v>0</v>
      </c>
      <c r="R477" s="11" t="str">
        <f aca="false">"Niv. "&amp;$P477&amp;IF($Q477&gt;0," · étage "&amp;$Q477&amp;" terminé","")</f>
        <v>Niv. 60</v>
      </c>
      <c r="S477" s="14" t="n">
        <f aca="false">IF(ISNUMBER($I477),$K477*IF($H477="Zone",Paramètres!$B$8,1)/MAX(1,$I477),0)</f>
        <v>0</v>
      </c>
      <c r="T477" s="16" t="n">
        <v>68</v>
      </c>
      <c r="U477" s="16" t="n">
        <v>1</v>
      </c>
    </row>
    <row r="478" customFormat="false" ht="15" hidden="false" customHeight="true" outlineLevel="0" collapsed="false">
      <c r="A478" s="9" t="s">
        <v>547</v>
      </c>
      <c r="B478" s="10" t="str">
        <f aca="false">INDEX(Bases!$B$5:$B$83,$T478)</f>
        <v>Tireur</v>
      </c>
      <c r="C478" s="10" t="str">
        <f aca="false">INDEX(Bases!$E$5:$E$83,$T478)</f>
        <v>Passif</v>
      </c>
      <c r="D478" s="10" t="str">
        <f aca="false">INDEX(Bases!$F$5:$F$83,$T478)</f>
        <v>Passif</v>
      </c>
      <c r="E478" s="11" t="str">
        <f aca="false">INDEX(Bases!$C$5:$C$83,$T478)</f>
        <v>Vampirisme</v>
      </c>
      <c r="F478" s="10" t="str">
        <f aca="false">INDEX(Éléments!$A$5:$A$14,$U478)</f>
        <v>Neutre</v>
      </c>
      <c r="G478" s="12" t="str">
        <f aca="false">IF(OR($F478="Neutre",$C478="Passif"),$E478,INDEX(Bases!$D$5:$D$83,$T478)&amp;" "&amp;INDEX(Éléments!$D$5:$D$14,$U478))</f>
        <v>Vampirisme</v>
      </c>
      <c r="H478" s="10" t="str">
        <f aca="false">INDEX(Bases!$G$5:$G$83,$T478)</f>
        <v>Soi</v>
      </c>
      <c r="I478" s="13" t="str">
        <f aca="false">INDEX(Bases!$H$5:$H$83,$T478)</f>
        <v>—</v>
      </c>
      <c r="J478" s="10" t="str">
        <f aca="false">INDEX(Bases!$I$5:$I$83,$T478)</f>
        <v>Non</v>
      </c>
      <c r="K478" s="14" t="n">
        <f aca="false">INDEX(Bases!$J$5:$J$83,$T478)</f>
        <v>0</v>
      </c>
      <c r="L478" s="10" t="str">
        <f aca="false">INDEX(Bases!$K$5:$K$83,$T478)</f>
        <v>—</v>
      </c>
      <c r="M478" s="11" t="str">
        <f aca="false">INDEX(Bases!$L$5:$L$83,$T478)</f>
        <v>Les coups critiques rendent 10 % des dégâts en PV.</v>
      </c>
      <c r="N478" s="11" t="str">
        <f aca="false">IF($C478="Passif","—",IF($C478="Attaque (arme 1)",INDEX(Éléments!$F$5:$F$14,$U478),INDEX(Éléments!$G$5:$G$14,$U478)))</f>
        <v>—</v>
      </c>
      <c r="O478" s="10" t="str">
        <f aca="false">INDEX(Bases!$M$5:$M$83,$T478)</f>
        <v>Sur coup critique</v>
      </c>
      <c r="P478" s="13" t="n">
        <f aca="false">INDEX(Bases!$N$5:$N$83,$T478)</f>
        <v>70</v>
      </c>
      <c r="Q478" s="15" t="n">
        <f aca="false">INDEX(Éléments!$C$5:$C$14,$U478)</f>
        <v>0</v>
      </c>
      <c r="R478" s="11" t="str">
        <f aca="false">"Niv. "&amp;$P478&amp;IF($Q478&gt;0," · étage "&amp;$Q478&amp;" terminé","")</f>
        <v>Niv. 70</v>
      </c>
      <c r="S478" s="14" t="n">
        <f aca="false">IF(ISNUMBER($I478),$K478*IF($H478="Zone",Paramètres!$B$8,1)/MAX(1,$I478),0)</f>
        <v>0</v>
      </c>
      <c r="T478" s="16" t="n">
        <v>69</v>
      </c>
      <c r="U478" s="16" t="n">
        <v>1</v>
      </c>
    </row>
    <row r="479" customFormat="false" ht="15" hidden="false" customHeight="true" outlineLevel="0" collapsed="false">
      <c r="A479" s="9" t="s">
        <v>548</v>
      </c>
      <c r="B479" s="10" t="str">
        <f aca="false">INDEX(Bases!$B$5:$B$83,$T479)</f>
        <v>Toutes</v>
      </c>
      <c r="C479" s="10" t="str">
        <f aca="false">INDEX(Bases!$E$5:$E$83,$T479)</f>
        <v>Passif</v>
      </c>
      <c r="D479" s="10" t="str">
        <f aca="false">INDEX(Bases!$F$5:$F$83,$T479)</f>
        <v>Passif</v>
      </c>
      <c r="E479" s="11" t="str">
        <f aca="false">INDEX(Bases!$C$5:$C$83,$T479)</f>
        <v>Maîtrise arcanique</v>
      </c>
      <c r="F479" s="10" t="str">
        <f aca="false">INDEX(Éléments!$A$5:$A$14,$U479)</f>
        <v>Neutre</v>
      </c>
      <c r="G479" s="12" t="str">
        <f aca="false">IF(OR($F479="Neutre",$C479="Passif"),$E479,INDEX(Bases!$D$5:$D$83,$T479)&amp;" "&amp;INDEX(Éléments!$D$5:$D$14,$U479))</f>
        <v>Maîtrise arcanique</v>
      </c>
      <c r="H479" s="10" t="str">
        <f aca="false">INDEX(Bases!$G$5:$G$83,$T479)</f>
        <v>Soi</v>
      </c>
      <c r="I479" s="13" t="str">
        <f aca="false">INDEX(Bases!$H$5:$H$83,$T479)</f>
        <v>—</v>
      </c>
      <c r="J479" s="10" t="str">
        <f aca="false">INDEX(Bases!$I$5:$I$83,$T479)</f>
        <v>Non</v>
      </c>
      <c r="K479" s="14" t="n">
        <f aca="false">INDEX(Bases!$J$5:$J$83,$T479)</f>
        <v>0</v>
      </c>
      <c r="L479" s="10" t="str">
        <f aca="false">INDEX(Bases!$K$5:$K$83,$T479)</f>
        <v>—</v>
      </c>
      <c r="M479" s="11" t="str">
        <f aca="false">INDEX(Bases!$L$5:$L$83,$T479)</f>
        <v>+8 % de dégâts Neutres ; les compétences Neutres ignorent 10 % de Résistance en plus.</v>
      </c>
      <c r="N479" s="11" t="str">
        <f aca="false">IF($C479="Passif","—",IF($C479="Attaque (arme 1)",INDEX(Éléments!$F$5:$F$14,$U479),INDEX(Éléments!$G$5:$G$14,$U479)))</f>
        <v>—</v>
      </c>
      <c r="O479" s="10" t="str">
        <f aca="false">INDEX(Bases!$M$5:$M$83,$T479)</f>
        <v>Permanent</v>
      </c>
      <c r="P479" s="13" t="n">
        <f aca="false">INDEX(Bases!$N$5:$N$83,$T479)</f>
        <v>1</v>
      </c>
      <c r="Q479" s="15" t="n">
        <f aca="false">INDEX(Éléments!$C$5:$C$14,$U479)</f>
        <v>0</v>
      </c>
      <c r="R479" s="11" t="str">
        <f aca="false">"Niv. "&amp;$P479&amp;IF($Q479&gt;0," · étage "&amp;$Q479&amp;" terminé","")</f>
        <v>Niv. 1</v>
      </c>
      <c r="S479" s="14" t="n">
        <f aca="false">IF(ISNUMBER($I479),$K479*IF($H479="Zone",Paramètres!$B$8,1)/MAX(1,$I479),0)</f>
        <v>0</v>
      </c>
      <c r="T479" s="16" t="n">
        <v>70</v>
      </c>
      <c r="U479" s="16" t="n">
        <v>1</v>
      </c>
    </row>
    <row r="480" customFormat="false" ht="15" hidden="false" customHeight="true" outlineLevel="0" collapsed="false">
      <c r="A480" s="9" t="s">
        <v>549</v>
      </c>
      <c r="B480" s="10" t="str">
        <f aca="false">INDEX(Bases!$B$5:$B$83,$T480)</f>
        <v>Toutes</v>
      </c>
      <c r="C480" s="10" t="str">
        <f aca="false">INDEX(Bases!$E$5:$E$83,$T480)</f>
        <v>Passif</v>
      </c>
      <c r="D480" s="10" t="str">
        <f aca="false">INDEX(Bases!$F$5:$F$83,$T480)</f>
        <v>Passif</v>
      </c>
      <c r="E480" s="11" t="str">
        <f aca="false">INDEX(Bases!$C$5:$C$83,$T480)</f>
        <v>Affinité tellurique</v>
      </c>
      <c r="F480" s="10" t="str">
        <f aca="false">INDEX(Éléments!$A$5:$A$14,$U480)</f>
        <v>Terre</v>
      </c>
      <c r="G480" s="12" t="str">
        <f aca="false">IF(OR($F480="Neutre",$C480="Passif"),$E480,INDEX(Bases!$D$5:$D$83,$T480)&amp;" "&amp;INDEX(Éléments!$D$5:$D$14,$U480))</f>
        <v>Affinité tellurique</v>
      </c>
      <c r="H480" s="10" t="str">
        <f aca="false">INDEX(Bases!$G$5:$G$83,$T480)</f>
        <v>Soi</v>
      </c>
      <c r="I480" s="13" t="str">
        <f aca="false">INDEX(Bases!$H$5:$H$83,$T480)</f>
        <v>—</v>
      </c>
      <c r="J480" s="10" t="str">
        <f aca="false">INDEX(Bases!$I$5:$I$83,$T480)</f>
        <v>Non</v>
      </c>
      <c r="K480" s="14" t="n">
        <f aca="false">INDEX(Bases!$J$5:$J$83,$T480)</f>
        <v>0</v>
      </c>
      <c r="L480" s="10" t="str">
        <f aca="false">INDEX(Bases!$K$5:$K$83,$T480)</f>
        <v>—</v>
      </c>
      <c r="M480" s="11" t="str">
        <f aca="false">INDEX(Bases!$L$5:$L$83,$T480)</f>
        <v>+10 % de dégâts de Terre ; +5 % d'Armure.</v>
      </c>
      <c r="N480" s="11" t="str">
        <f aca="false">IF($C480="Passif","—",IF($C480="Attaque (arme 1)",INDEX(Éléments!$F$5:$F$14,$U480),INDEX(Éléments!$G$5:$G$14,$U480)))</f>
        <v>—</v>
      </c>
      <c r="O480" s="10" t="str">
        <f aca="false">INDEX(Bases!$M$5:$M$83,$T480)</f>
        <v>Permanent</v>
      </c>
      <c r="P480" s="13" t="n">
        <f aca="false">INDEX(Bases!$N$5:$N$83,$T480)</f>
        <v>1</v>
      </c>
      <c r="Q480" s="15" t="n">
        <f aca="false">INDEX(Éléments!$C$5:$C$14,$U480)</f>
        <v>20</v>
      </c>
      <c r="R480" s="11" t="str">
        <f aca="false">"Niv. "&amp;$P480&amp;IF($Q480&gt;0," · étage "&amp;$Q480&amp;" terminé","")</f>
        <v>Niv. 1 · étage 20 terminé</v>
      </c>
      <c r="S480" s="14" t="n">
        <f aca="false">IF(ISNUMBER($I480),$K480*IF($H480="Zone",Paramètres!$B$8,1)/MAX(1,$I480),0)</f>
        <v>0</v>
      </c>
      <c r="T480" s="16" t="n">
        <v>71</v>
      </c>
      <c r="U480" s="16" t="n">
        <v>2</v>
      </c>
    </row>
    <row r="481" customFormat="false" ht="15" hidden="false" customHeight="true" outlineLevel="0" collapsed="false">
      <c r="A481" s="9" t="s">
        <v>550</v>
      </c>
      <c r="B481" s="10" t="str">
        <f aca="false">INDEX(Bases!$B$5:$B$83,$T481)</f>
        <v>Toutes</v>
      </c>
      <c r="C481" s="10" t="str">
        <f aca="false">INDEX(Bases!$E$5:$E$83,$T481)</f>
        <v>Passif</v>
      </c>
      <c r="D481" s="10" t="str">
        <f aca="false">INDEX(Bases!$F$5:$F$83,$T481)</f>
        <v>Passif</v>
      </c>
      <c r="E481" s="11" t="str">
        <f aca="false">INDEX(Bases!$C$5:$C$83,$T481)</f>
        <v>Affinité ardente</v>
      </c>
      <c r="F481" s="10" t="str">
        <f aca="false">INDEX(Éléments!$A$5:$A$14,$U481)</f>
        <v>Feu</v>
      </c>
      <c r="G481" s="12" t="str">
        <f aca="false">IF(OR($F481="Neutre",$C481="Passif"),$E481,INDEX(Bases!$D$5:$D$83,$T481)&amp;" "&amp;INDEX(Éléments!$D$5:$D$14,$U481))</f>
        <v>Affinité ardente</v>
      </c>
      <c r="H481" s="10" t="str">
        <f aca="false">INDEX(Bases!$G$5:$G$83,$T481)</f>
        <v>Soi</v>
      </c>
      <c r="I481" s="13" t="str">
        <f aca="false">INDEX(Bases!$H$5:$H$83,$T481)</f>
        <v>—</v>
      </c>
      <c r="J481" s="10" t="str">
        <f aca="false">INDEX(Bases!$I$5:$I$83,$T481)</f>
        <v>Non</v>
      </c>
      <c r="K481" s="14" t="n">
        <f aca="false">INDEX(Bases!$J$5:$J$83,$T481)</f>
        <v>0</v>
      </c>
      <c r="L481" s="10" t="str">
        <f aca="false">INDEX(Bases!$K$5:$K$83,$T481)</f>
        <v>—</v>
      </c>
      <c r="M481" s="11" t="str">
        <f aca="false">INDEX(Bases!$L$5:$L$83,$T481)</f>
        <v>+10 % de dégâts de Feu ; la Brûlure dure 1 tour de plus.</v>
      </c>
      <c r="N481" s="11" t="str">
        <f aca="false">IF($C481="Passif","—",IF($C481="Attaque (arme 1)",INDEX(Éléments!$F$5:$F$14,$U481),INDEX(Éléments!$G$5:$G$14,$U481)))</f>
        <v>—</v>
      </c>
      <c r="O481" s="10" t="str">
        <f aca="false">INDEX(Bases!$M$5:$M$83,$T481)</f>
        <v>Permanent</v>
      </c>
      <c r="P481" s="13" t="n">
        <f aca="false">INDEX(Bases!$N$5:$N$83,$T481)</f>
        <v>1</v>
      </c>
      <c r="Q481" s="15" t="n">
        <f aca="false">INDEX(Éléments!$C$5:$C$14,$U481)</f>
        <v>30</v>
      </c>
      <c r="R481" s="11" t="str">
        <f aca="false">"Niv. "&amp;$P481&amp;IF($Q481&gt;0," · étage "&amp;$Q481&amp;" terminé","")</f>
        <v>Niv. 1 · étage 30 terminé</v>
      </c>
      <c r="S481" s="14" t="n">
        <f aca="false">IF(ISNUMBER($I481),$K481*IF($H481="Zone",Paramètres!$B$8,1)/MAX(1,$I481),0)</f>
        <v>0</v>
      </c>
      <c r="T481" s="16" t="n">
        <v>72</v>
      </c>
      <c r="U481" s="16" t="n">
        <v>3</v>
      </c>
    </row>
    <row r="482" customFormat="false" ht="15" hidden="false" customHeight="true" outlineLevel="0" collapsed="false">
      <c r="A482" s="9" t="s">
        <v>551</v>
      </c>
      <c r="B482" s="10" t="str">
        <f aca="false">INDEX(Bases!$B$5:$B$83,$T482)</f>
        <v>Toutes</v>
      </c>
      <c r="C482" s="10" t="str">
        <f aca="false">INDEX(Bases!$E$5:$E$83,$T482)</f>
        <v>Passif</v>
      </c>
      <c r="D482" s="10" t="str">
        <f aca="false">INDEX(Bases!$F$5:$F$83,$T482)</f>
        <v>Passif</v>
      </c>
      <c r="E482" s="11" t="str">
        <f aca="false">INDEX(Bases!$C$5:$C$83,$T482)</f>
        <v>Affinité des vents</v>
      </c>
      <c r="F482" s="10" t="str">
        <f aca="false">INDEX(Éléments!$A$5:$A$14,$U482)</f>
        <v>Vent</v>
      </c>
      <c r="G482" s="12" t="str">
        <f aca="false">IF(OR($F482="Neutre",$C482="Passif"),$E482,INDEX(Bases!$D$5:$D$83,$T482)&amp;" "&amp;INDEX(Éléments!$D$5:$D$14,$U482))</f>
        <v>Affinité des vents</v>
      </c>
      <c r="H482" s="10" t="str">
        <f aca="false">INDEX(Bases!$G$5:$G$83,$T482)</f>
        <v>Soi</v>
      </c>
      <c r="I482" s="13" t="str">
        <f aca="false">INDEX(Bases!$H$5:$H$83,$T482)</f>
        <v>—</v>
      </c>
      <c r="J482" s="10" t="str">
        <f aca="false">INDEX(Bases!$I$5:$I$83,$T482)</f>
        <v>Non</v>
      </c>
      <c r="K482" s="14" t="n">
        <f aca="false">INDEX(Bases!$J$5:$J$83,$T482)</f>
        <v>0</v>
      </c>
      <c r="L482" s="10" t="str">
        <f aca="false">INDEX(Bases!$K$5:$K$83,$T482)</f>
        <v>—</v>
      </c>
      <c r="M482" s="11" t="str">
        <f aca="false">INDEX(Bases!$L$5:$L$83,$T482)</f>
        <v>+10 % de dégâts de Vent ; +3 % de chance de critique.</v>
      </c>
      <c r="N482" s="11" t="str">
        <f aca="false">IF($C482="Passif","—",IF($C482="Attaque (arme 1)",INDEX(Éléments!$F$5:$F$14,$U482),INDEX(Éléments!$G$5:$G$14,$U482)))</f>
        <v>—</v>
      </c>
      <c r="O482" s="10" t="str">
        <f aca="false">INDEX(Bases!$M$5:$M$83,$T482)</f>
        <v>Permanent</v>
      </c>
      <c r="P482" s="13" t="n">
        <f aca="false">INDEX(Bases!$N$5:$N$83,$T482)</f>
        <v>1</v>
      </c>
      <c r="Q482" s="15" t="n">
        <f aca="false">INDEX(Éléments!$C$5:$C$14,$U482)</f>
        <v>40</v>
      </c>
      <c r="R482" s="11" t="str">
        <f aca="false">"Niv. "&amp;$P482&amp;IF($Q482&gt;0," · étage "&amp;$Q482&amp;" terminé","")</f>
        <v>Niv. 1 · étage 40 terminé</v>
      </c>
      <c r="S482" s="14" t="n">
        <f aca="false">IF(ISNUMBER($I482),$K482*IF($H482="Zone",Paramètres!$B$8,1)/MAX(1,$I482),0)</f>
        <v>0</v>
      </c>
      <c r="T482" s="16" t="n">
        <v>73</v>
      </c>
      <c r="U482" s="16" t="n">
        <v>4</v>
      </c>
    </row>
    <row r="483" customFormat="false" ht="15" hidden="false" customHeight="true" outlineLevel="0" collapsed="false">
      <c r="A483" s="9" t="s">
        <v>552</v>
      </c>
      <c r="B483" s="10" t="str">
        <f aca="false">INDEX(Bases!$B$5:$B$83,$T483)</f>
        <v>Toutes</v>
      </c>
      <c r="C483" s="10" t="str">
        <f aca="false">INDEX(Bases!$E$5:$E$83,$T483)</f>
        <v>Passif</v>
      </c>
      <c r="D483" s="10" t="str">
        <f aca="false">INDEX(Bases!$F$5:$F$83,$T483)</f>
        <v>Passif</v>
      </c>
      <c r="E483" s="11" t="str">
        <f aca="false">INDEX(Bases!$C$5:$C$83,$T483)</f>
        <v>Affinité corrosive</v>
      </c>
      <c r="F483" s="10" t="str">
        <f aca="false">INDEX(Éléments!$A$5:$A$14,$U483)</f>
        <v>Acide</v>
      </c>
      <c r="G483" s="12" t="str">
        <f aca="false">IF(OR($F483="Neutre",$C483="Passif"),$E483,INDEX(Bases!$D$5:$D$83,$T483)&amp;" "&amp;INDEX(Éléments!$D$5:$D$14,$U483))</f>
        <v>Affinité corrosive</v>
      </c>
      <c r="H483" s="10" t="str">
        <f aca="false">INDEX(Bases!$G$5:$G$83,$T483)</f>
        <v>Soi</v>
      </c>
      <c r="I483" s="13" t="str">
        <f aca="false">INDEX(Bases!$H$5:$H$83,$T483)</f>
        <v>—</v>
      </c>
      <c r="J483" s="10" t="str">
        <f aca="false">INDEX(Bases!$I$5:$I$83,$T483)</f>
        <v>Non</v>
      </c>
      <c r="K483" s="14" t="n">
        <f aca="false">INDEX(Bases!$J$5:$J$83,$T483)</f>
        <v>0</v>
      </c>
      <c r="L483" s="10" t="str">
        <f aca="false">INDEX(Bases!$K$5:$K$83,$T483)</f>
        <v>—</v>
      </c>
      <c r="M483" s="11" t="str">
        <f aca="false">INDEX(Bases!$L$5:$L$83,$T483)</f>
        <v>+10 % de dégâts d'Acide ; Corrosion jusqu'à 5 piles.</v>
      </c>
      <c r="N483" s="11" t="str">
        <f aca="false">IF($C483="Passif","—",IF($C483="Attaque (arme 1)",INDEX(Éléments!$F$5:$F$14,$U483),INDEX(Éléments!$G$5:$G$14,$U483)))</f>
        <v>—</v>
      </c>
      <c r="O483" s="10" t="str">
        <f aca="false">INDEX(Bases!$M$5:$M$83,$T483)</f>
        <v>Permanent</v>
      </c>
      <c r="P483" s="13" t="n">
        <f aca="false">INDEX(Bases!$N$5:$N$83,$T483)</f>
        <v>1</v>
      </c>
      <c r="Q483" s="15" t="n">
        <f aca="false">INDEX(Éléments!$C$5:$C$14,$U483)</f>
        <v>50</v>
      </c>
      <c r="R483" s="11" t="str">
        <f aca="false">"Niv. "&amp;$P483&amp;IF($Q483&gt;0," · étage "&amp;$Q483&amp;" terminé","")</f>
        <v>Niv. 1 · étage 50 terminé</v>
      </c>
      <c r="S483" s="14" t="n">
        <f aca="false">IF(ISNUMBER($I483),$K483*IF($H483="Zone",Paramètres!$B$8,1)/MAX(1,$I483),0)</f>
        <v>0</v>
      </c>
      <c r="T483" s="16" t="n">
        <v>74</v>
      </c>
      <c r="U483" s="16" t="n">
        <v>5</v>
      </c>
    </row>
    <row r="484" customFormat="false" ht="15" hidden="false" customHeight="true" outlineLevel="0" collapsed="false">
      <c r="A484" s="9" t="s">
        <v>553</v>
      </c>
      <c r="B484" s="10" t="str">
        <f aca="false">INDEX(Bases!$B$5:$B$83,$T484)</f>
        <v>Toutes</v>
      </c>
      <c r="C484" s="10" t="str">
        <f aca="false">INDEX(Bases!$E$5:$E$83,$T484)</f>
        <v>Passif</v>
      </c>
      <c r="D484" s="10" t="str">
        <f aca="false">INDEX(Bases!$F$5:$F$83,$T484)</f>
        <v>Passif</v>
      </c>
      <c r="E484" s="11" t="str">
        <f aca="false">INDEX(Bases!$C$5:$C$83,$T484)</f>
        <v>Affinité des marées</v>
      </c>
      <c r="F484" s="10" t="str">
        <f aca="false">INDEX(Éléments!$A$5:$A$14,$U484)</f>
        <v>Eau</v>
      </c>
      <c r="G484" s="12" t="str">
        <f aca="false">IF(OR($F484="Neutre",$C484="Passif"),$E484,INDEX(Bases!$D$5:$D$83,$T484)&amp;" "&amp;INDEX(Éléments!$D$5:$D$14,$U484))</f>
        <v>Affinité des marées</v>
      </c>
      <c r="H484" s="10" t="str">
        <f aca="false">INDEX(Bases!$G$5:$G$83,$T484)</f>
        <v>Soi</v>
      </c>
      <c r="I484" s="13" t="str">
        <f aca="false">INDEX(Bases!$H$5:$H$83,$T484)</f>
        <v>—</v>
      </c>
      <c r="J484" s="10" t="str">
        <f aca="false">INDEX(Bases!$I$5:$I$83,$T484)</f>
        <v>Non</v>
      </c>
      <c r="K484" s="14" t="n">
        <f aca="false">INDEX(Bases!$J$5:$J$83,$T484)</f>
        <v>0</v>
      </c>
      <c r="L484" s="10" t="str">
        <f aca="false">INDEX(Bases!$K$5:$K$83,$T484)</f>
        <v>—</v>
      </c>
      <c r="M484" s="11" t="str">
        <f aca="false">INDEX(Bases!$L$5:$L$83,$T484)</f>
        <v>+10 % de dégâts d'Eau ; +10 % de soins reçus.</v>
      </c>
      <c r="N484" s="11" t="str">
        <f aca="false">IF($C484="Passif","—",IF($C484="Attaque (arme 1)",INDEX(Éléments!$F$5:$F$14,$U484),INDEX(Éléments!$G$5:$G$14,$U484)))</f>
        <v>—</v>
      </c>
      <c r="O484" s="10" t="str">
        <f aca="false">INDEX(Bases!$M$5:$M$83,$T484)</f>
        <v>Permanent</v>
      </c>
      <c r="P484" s="13" t="n">
        <f aca="false">INDEX(Bases!$N$5:$N$83,$T484)</f>
        <v>1</v>
      </c>
      <c r="Q484" s="15" t="n">
        <f aca="false">INDEX(Éléments!$C$5:$C$14,$U484)</f>
        <v>60</v>
      </c>
      <c r="R484" s="11" t="str">
        <f aca="false">"Niv. "&amp;$P484&amp;IF($Q484&gt;0," · étage "&amp;$Q484&amp;" terminé","")</f>
        <v>Niv. 1 · étage 60 terminé</v>
      </c>
      <c r="S484" s="14" t="n">
        <f aca="false">IF(ISNUMBER($I484),$K484*IF($H484="Zone",Paramètres!$B$8,1)/MAX(1,$I484),0)</f>
        <v>0</v>
      </c>
      <c r="T484" s="16" t="n">
        <v>75</v>
      </c>
      <c r="U484" s="16" t="n">
        <v>6</v>
      </c>
    </row>
    <row r="485" customFormat="false" ht="15" hidden="false" customHeight="true" outlineLevel="0" collapsed="false">
      <c r="A485" s="9" t="s">
        <v>554</v>
      </c>
      <c r="B485" s="10" t="str">
        <f aca="false">INDEX(Bases!$B$5:$B$83,$T485)</f>
        <v>Toutes</v>
      </c>
      <c r="C485" s="10" t="str">
        <f aca="false">INDEX(Bases!$E$5:$E$83,$T485)</f>
        <v>Passif</v>
      </c>
      <c r="D485" s="10" t="str">
        <f aca="false">INDEX(Bases!$F$5:$F$83,$T485)</f>
        <v>Passif</v>
      </c>
      <c r="E485" s="11" t="str">
        <f aca="false">INDEX(Bases!$C$5:$C$83,$T485)</f>
        <v>Affinité glaciale</v>
      </c>
      <c r="F485" s="10" t="str">
        <f aca="false">INDEX(Éléments!$A$5:$A$14,$U485)</f>
        <v>Glace</v>
      </c>
      <c r="G485" s="12" t="str">
        <f aca="false">IF(OR($F485="Neutre",$C485="Passif"),$E485,INDEX(Bases!$D$5:$D$83,$T485)&amp;" "&amp;INDEX(Éléments!$D$5:$D$14,$U485))</f>
        <v>Affinité glaciale</v>
      </c>
      <c r="H485" s="10" t="str">
        <f aca="false">INDEX(Bases!$G$5:$G$83,$T485)</f>
        <v>Soi</v>
      </c>
      <c r="I485" s="13" t="str">
        <f aca="false">INDEX(Bases!$H$5:$H$83,$T485)</f>
        <v>—</v>
      </c>
      <c r="J485" s="10" t="str">
        <f aca="false">INDEX(Bases!$I$5:$I$83,$T485)</f>
        <v>Non</v>
      </c>
      <c r="K485" s="14" t="n">
        <f aca="false">INDEX(Bases!$J$5:$J$83,$T485)</f>
        <v>0</v>
      </c>
      <c r="L485" s="10" t="str">
        <f aca="false">INDEX(Bases!$K$5:$K$83,$T485)</f>
        <v>—</v>
      </c>
      <c r="M485" s="11" t="str">
        <f aca="false">INDEX(Bases!$L$5:$L$83,$T485)</f>
        <v>+10 % de dégâts de Glace ; Gel à 2 piles de Froid au lieu de 3 (3 sur les boss).</v>
      </c>
      <c r="N485" s="11" t="str">
        <f aca="false">IF($C485="Passif","—",IF($C485="Attaque (arme 1)",INDEX(Éléments!$F$5:$F$14,$U485),INDEX(Éléments!$G$5:$G$14,$U485)))</f>
        <v>—</v>
      </c>
      <c r="O485" s="10" t="str">
        <f aca="false">INDEX(Bases!$M$5:$M$83,$T485)</f>
        <v>Permanent</v>
      </c>
      <c r="P485" s="13" t="n">
        <f aca="false">INDEX(Bases!$N$5:$N$83,$T485)</f>
        <v>1</v>
      </c>
      <c r="Q485" s="15" t="n">
        <f aca="false">INDEX(Éléments!$C$5:$C$14,$U485)</f>
        <v>70</v>
      </c>
      <c r="R485" s="11" t="str">
        <f aca="false">"Niv. "&amp;$P485&amp;IF($Q485&gt;0," · étage "&amp;$Q485&amp;" terminé","")</f>
        <v>Niv. 1 · étage 70 terminé</v>
      </c>
      <c r="S485" s="14" t="n">
        <f aca="false">IF(ISNUMBER($I485),$K485*IF($H485="Zone",Paramètres!$B$8,1)/MAX(1,$I485),0)</f>
        <v>0</v>
      </c>
      <c r="T485" s="16" t="n">
        <v>76</v>
      </c>
      <c r="U485" s="16" t="n">
        <v>7</v>
      </c>
    </row>
    <row r="486" customFormat="false" ht="15" hidden="false" customHeight="true" outlineLevel="0" collapsed="false">
      <c r="A486" s="9" t="s">
        <v>555</v>
      </c>
      <c r="B486" s="10" t="str">
        <f aca="false">INDEX(Bases!$B$5:$B$83,$T486)</f>
        <v>Toutes</v>
      </c>
      <c r="C486" s="10" t="str">
        <f aca="false">INDEX(Bases!$E$5:$E$83,$T486)</f>
        <v>Passif</v>
      </c>
      <c r="D486" s="10" t="str">
        <f aca="false">INDEX(Bases!$F$5:$F$83,$T486)</f>
        <v>Passif</v>
      </c>
      <c r="E486" s="11" t="str">
        <f aca="false">INDEX(Bases!$C$5:$C$83,$T486)</f>
        <v>Affinité orageuse</v>
      </c>
      <c r="F486" s="10" t="str">
        <f aca="false">INDEX(Éléments!$A$5:$A$14,$U486)</f>
        <v>Électricité</v>
      </c>
      <c r="G486" s="12" t="str">
        <f aca="false">IF(OR($F486="Neutre",$C486="Passif"),$E486,INDEX(Bases!$D$5:$D$83,$T486)&amp;" "&amp;INDEX(Éléments!$D$5:$D$14,$U486))</f>
        <v>Affinité orageuse</v>
      </c>
      <c r="H486" s="10" t="str">
        <f aca="false">INDEX(Bases!$G$5:$G$83,$T486)</f>
        <v>Soi</v>
      </c>
      <c r="I486" s="13" t="str">
        <f aca="false">INDEX(Bases!$H$5:$H$83,$T486)</f>
        <v>—</v>
      </c>
      <c r="J486" s="10" t="str">
        <f aca="false">INDEX(Bases!$I$5:$I$83,$T486)</f>
        <v>Non</v>
      </c>
      <c r="K486" s="14" t="n">
        <f aca="false">INDEX(Bases!$J$5:$J$83,$T486)</f>
        <v>0</v>
      </c>
      <c r="L486" s="10" t="str">
        <f aca="false">INDEX(Bases!$K$5:$K$83,$T486)</f>
        <v>—</v>
      </c>
      <c r="M486" s="11" t="str">
        <f aca="false">INDEX(Bases!$L$5:$L$83,$T486)</f>
        <v>+10 % de dégâts d'Électricité ; les rebonds infligent +10 %.</v>
      </c>
      <c r="N486" s="11" t="str">
        <f aca="false">IF($C486="Passif","—",IF($C486="Attaque (arme 1)",INDEX(Éléments!$F$5:$F$14,$U486),INDEX(Éléments!$G$5:$G$14,$U486)))</f>
        <v>—</v>
      </c>
      <c r="O486" s="10" t="str">
        <f aca="false">INDEX(Bases!$M$5:$M$83,$T486)</f>
        <v>Permanent</v>
      </c>
      <c r="P486" s="13" t="n">
        <f aca="false">INDEX(Bases!$N$5:$N$83,$T486)</f>
        <v>1</v>
      </c>
      <c r="Q486" s="15" t="n">
        <f aca="false">INDEX(Éléments!$C$5:$C$14,$U486)</f>
        <v>80</v>
      </c>
      <c r="R486" s="11" t="str">
        <f aca="false">"Niv. "&amp;$P486&amp;IF($Q486&gt;0," · étage "&amp;$Q486&amp;" terminé","")</f>
        <v>Niv. 1 · étage 80 terminé</v>
      </c>
      <c r="S486" s="14" t="n">
        <f aca="false">IF(ISNUMBER($I486),$K486*IF($H486="Zone",Paramètres!$B$8,1)/MAX(1,$I486),0)</f>
        <v>0</v>
      </c>
      <c r="T486" s="16" t="n">
        <v>77</v>
      </c>
      <c r="U486" s="16" t="n">
        <v>8</v>
      </c>
    </row>
    <row r="487" customFormat="false" ht="15" hidden="false" customHeight="true" outlineLevel="0" collapsed="false">
      <c r="A487" s="9" t="s">
        <v>556</v>
      </c>
      <c r="B487" s="10" t="str">
        <f aca="false">INDEX(Bases!$B$5:$B$83,$T487)</f>
        <v>Toutes</v>
      </c>
      <c r="C487" s="10" t="str">
        <f aca="false">INDEX(Bases!$E$5:$E$83,$T487)</f>
        <v>Passif</v>
      </c>
      <c r="D487" s="10" t="str">
        <f aca="false">INDEX(Bases!$F$5:$F$83,$T487)</f>
        <v>Passif</v>
      </c>
      <c r="E487" s="11" t="str">
        <f aca="false">INDEX(Bases!$C$5:$C$83,$T487)</f>
        <v>Affinité solaire</v>
      </c>
      <c r="F487" s="10" t="str">
        <f aca="false">INDEX(Éléments!$A$5:$A$14,$U487)</f>
        <v>Lumière</v>
      </c>
      <c r="G487" s="12" t="str">
        <f aca="false">IF(OR($F487="Neutre",$C487="Passif"),$E487,INDEX(Bases!$D$5:$D$83,$T487)&amp;" "&amp;INDEX(Éléments!$D$5:$D$14,$U487))</f>
        <v>Affinité solaire</v>
      </c>
      <c r="H487" s="10" t="str">
        <f aca="false">INDEX(Bases!$G$5:$G$83,$T487)</f>
        <v>Soi</v>
      </c>
      <c r="I487" s="13" t="str">
        <f aca="false">INDEX(Bases!$H$5:$H$83,$T487)</f>
        <v>—</v>
      </c>
      <c r="J487" s="10" t="str">
        <f aca="false">INDEX(Bases!$I$5:$I$83,$T487)</f>
        <v>Non</v>
      </c>
      <c r="K487" s="14" t="n">
        <f aca="false">INDEX(Bases!$J$5:$J$83,$T487)</f>
        <v>0</v>
      </c>
      <c r="L487" s="10" t="str">
        <f aca="false">INDEX(Bases!$K$5:$K$83,$T487)</f>
        <v>—</v>
      </c>
      <c r="M487" s="11" t="str">
        <f aca="false">INDEX(Bases!$L$5:$L$83,$T487)</f>
        <v>+10 % de dégâts de Lumière ; +10 % de Bonus de soins.</v>
      </c>
      <c r="N487" s="11" t="str">
        <f aca="false">IF($C487="Passif","—",IF($C487="Attaque (arme 1)",INDEX(Éléments!$F$5:$F$14,$U487),INDEX(Éléments!$G$5:$G$14,$U487)))</f>
        <v>—</v>
      </c>
      <c r="O487" s="10" t="str">
        <f aca="false">INDEX(Bases!$M$5:$M$83,$T487)</f>
        <v>Permanent</v>
      </c>
      <c r="P487" s="13" t="n">
        <f aca="false">INDEX(Bases!$N$5:$N$83,$T487)</f>
        <v>1</v>
      </c>
      <c r="Q487" s="15" t="n">
        <f aca="false">INDEX(Éléments!$C$5:$C$14,$U487)</f>
        <v>90</v>
      </c>
      <c r="R487" s="11" t="str">
        <f aca="false">"Niv. "&amp;$P487&amp;IF($Q487&gt;0," · étage "&amp;$Q487&amp;" terminé","")</f>
        <v>Niv. 1 · étage 90 terminé</v>
      </c>
      <c r="S487" s="14" t="n">
        <f aca="false">IF(ISNUMBER($I487),$K487*IF($H487="Zone",Paramètres!$B$8,1)/MAX(1,$I487),0)</f>
        <v>0</v>
      </c>
      <c r="T487" s="16" t="n">
        <v>78</v>
      </c>
      <c r="U487" s="16" t="n">
        <v>9</v>
      </c>
    </row>
    <row r="488" customFormat="false" ht="15" hidden="false" customHeight="true" outlineLevel="0" collapsed="false">
      <c r="A488" s="9" t="s">
        <v>557</v>
      </c>
      <c r="B488" s="10" t="str">
        <f aca="false">INDEX(Bases!$B$5:$B$83,$T488)</f>
        <v>Toutes</v>
      </c>
      <c r="C488" s="10" t="str">
        <f aca="false">INDEX(Bases!$E$5:$E$83,$T488)</f>
        <v>Passif</v>
      </c>
      <c r="D488" s="10" t="str">
        <f aca="false">INDEX(Bases!$F$5:$F$83,$T488)</f>
        <v>Passif</v>
      </c>
      <c r="E488" s="11" t="str">
        <f aca="false">INDEX(Bases!$C$5:$C$83,$T488)</f>
        <v>Affinité ténébreuse</v>
      </c>
      <c r="F488" s="10" t="str">
        <f aca="false">INDEX(Éléments!$A$5:$A$14,$U488)</f>
        <v>Ombre</v>
      </c>
      <c r="G488" s="12" t="str">
        <f aca="false">IF(OR($F488="Neutre",$C488="Passif"),$E488,INDEX(Bases!$D$5:$D$83,$T488)&amp;" "&amp;INDEX(Éléments!$D$5:$D$14,$U488))</f>
        <v>Affinité ténébreuse</v>
      </c>
      <c r="H488" s="10" t="str">
        <f aca="false">INDEX(Bases!$G$5:$G$83,$T488)</f>
        <v>Soi</v>
      </c>
      <c r="I488" s="13" t="str">
        <f aca="false">INDEX(Bases!$H$5:$H$83,$T488)</f>
        <v>—</v>
      </c>
      <c r="J488" s="10" t="str">
        <f aca="false">INDEX(Bases!$I$5:$I$83,$T488)</f>
        <v>Non</v>
      </c>
      <c r="K488" s="14" t="n">
        <f aca="false">INDEX(Bases!$J$5:$J$83,$T488)</f>
        <v>0</v>
      </c>
      <c r="L488" s="10" t="str">
        <f aca="false">INDEX(Bases!$K$5:$K$83,$T488)</f>
        <v>—</v>
      </c>
      <c r="M488" s="11" t="str">
        <f aca="false">INDEX(Bases!$L$5:$L$83,$T488)</f>
        <v>+10 % de dégâts d'Ombre ; +3 % de vol de vie.</v>
      </c>
      <c r="N488" s="11" t="str">
        <f aca="false">IF($C488="Passif","—",IF($C488="Attaque (arme 1)",INDEX(Éléments!$F$5:$F$14,$U488),INDEX(Éléments!$G$5:$G$14,$U488)))</f>
        <v>—</v>
      </c>
      <c r="O488" s="10" t="str">
        <f aca="false">INDEX(Bases!$M$5:$M$83,$T488)</f>
        <v>Permanent</v>
      </c>
      <c r="P488" s="13" t="n">
        <f aca="false">INDEX(Bases!$N$5:$N$83,$T488)</f>
        <v>1</v>
      </c>
      <c r="Q488" s="15" t="n">
        <f aca="false">INDEX(Éléments!$C$5:$C$14,$U488)</f>
        <v>100</v>
      </c>
      <c r="R488" s="11" t="str">
        <f aca="false">"Niv. "&amp;$P488&amp;IF($Q488&gt;0," · étage "&amp;$Q488&amp;" terminé","")</f>
        <v>Niv. 1 · étage 100 terminé</v>
      </c>
      <c r="S488" s="14" t="n">
        <f aca="false">IF(ISNUMBER($I488),$K488*IF($H488="Zone",Paramètres!$B$8,1)/MAX(1,$I488),0)</f>
        <v>0</v>
      </c>
      <c r="T488" s="16" t="n">
        <v>79</v>
      </c>
      <c r="U488" s="16" t="n">
        <v>10</v>
      </c>
    </row>
    <row r="490" customFormat="false" ht="15" hidden="false" customHeight="true" outlineLevel="0" collapsed="false">
      <c r="A490" s="17" t="s">
        <v>558</v>
      </c>
    </row>
  </sheetData>
  <autoFilter ref="A4:U488"/>
  <conditionalFormatting sqref="F5:F488">
    <cfRule type="expression" priority="2" aboveAverage="0" equalAverage="0" bottom="0" percent="0" rank="0" text="" dxfId="16">
      <formula>$F5="Neutre"</formula>
    </cfRule>
    <cfRule type="expression" priority="3" aboveAverage="0" equalAverage="0" bottom="0" percent="0" rank="0" text="" dxfId="17">
      <formula>$F5="Terre"</formula>
    </cfRule>
    <cfRule type="expression" priority="4" aboveAverage="0" equalAverage="0" bottom="0" percent="0" rank="0" text="" dxfId="18">
      <formula>$F5="Feu"</formula>
    </cfRule>
    <cfRule type="expression" priority="5" aboveAverage="0" equalAverage="0" bottom="0" percent="0" rank="0" text="" dxfId="19">
      <formula>$F5="Vent"</formula>
    </cfRule>
    <cfRule type="expression" priority="6" aboveAverage="0" equalAverage="0" bottom="0" percent="0" rank="0" text="" dxfId="20">
      <formula>$F5="Acide"</formula>
    </cfRule>
    <cfRule type="expression" priority="7" aboveAverage="0" equalAverage="0" bottom="0" percent="0" rank="0" text="" dxfId="21">
      <formula>$F5="Eau"</formula>
    </cfRule>
    <cfRule type="expression" priority="8" aboveAverage="0" equalAverage="0" bottom="0" percent="0" rank="0" text="" dxfId="22">
      <formula>$F5="Glace"</formula>
    </cfRule>
    <cfRule type="expression" priority="9" aboveAverage="0" equalAverage="0" bottom="0" percent="0" rank="0" text="" dxfId="23">
      <formula>$F5="Électricité"</formula>
    </cfRule>
    <cfRule type="expression" priority="10" aboveAverage="0" equalAverage="0" bottom="0" percent="0" rank="0" text="" dxfId="24">
      <formula>$F5="Lumière"</formula>
    </cfRule>
    <cfRule type="expression" priority="11" aboveAverage="0" equalAverage="0" bottom="0" percent="0" rank="0" text="" dxfId="25">
      <formula>$F5="Ombre"</formula>
    </cfRule>
  </conditionalFormatting>
  <conditionalFormatting sqref="G5:G488">
    <cfRule type="expression" priority="12" aboveAverage="0" equalAverage="0" bottom="0" percent="0" rank="0" text="" dxfId="26">
      <formula>$J5="Oui"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24"/>
    <col collapsed="false" customWidth="true" hidden="false" outlineLevel="0" max="4" min="4" style="1" width="18"/>
    <col collapsed="false" customWidth="true" hidden="false" outlineLevel="0" max="5" min="5" style="1" width="17"/>
    <col collapsed="false" customWidth="true" hidden="false" outlineLevel="0" max="6" min="6" style="1" width="10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9" min="9" style="1" width="8"/>
    <col collapsed="false" customWidth="true" hidden="false" outlineLevel="0" max="10" min="10" style="1" width="11"/>
    <col collapsed="false" customWidth="true" hidden="false" outlineLevel="0" max="11" min="11" style="1" width="8"/>
    <col collapsed="false" customWidth="true" hidden="false" outlineLevel="0" max="12" min="12" style="1" width="62"/>
    <col collapsed="false" customWidth="true" hidden="false" outlineLevel="0" max="13" min="13" style="1" width="18"/>
    <col collapsed="false" customWidth="true" hidden="false" outlineLevel="0" max="14" min="14" style="1" width="9"/>
    <col collapsed="false" customWidth="true" hidden="false" outlineLevel="0" max="15" min="15" style="1" width="16"/>
    <col collapsed="false" customWidth="true" hidden="false" outlineLevel="0" max="16" min="16" style="1" width="12"/>
  </cols>
  <sheetData>
    <row r="1" customFormat="false" ht="17.25" hidden="false" customHeight="true" outlineLevel="0" collapsed="false">
      <c r="A1" s="2" t="s">
        <v>559</v>
      </c>
    </row>
    <row r="2" customFormat="false" ht="15" hidden="false" customHeight="true" outlineLevel="0" collapsed="false">
      <c r="A2" s="3" t="s">
        <v>560</v>
      </c>
    </row>
    <row r="4" customFormat="false" ht="36" hidden="false" customHeight="true" outlineLevel="0" collapsed="false">
      <c r="A4" s="8" t="s">
        <v>53</v>
      </c>
      <c r="B4" s="8" t="s">
        <v>54</v>
      </c>
      <c r="C4" s="8" t="s">
        <v>561</v>
      </c>
      <c r="D4" s="8" t="s">
        <v>562</v>
      </c>
      <c r="E4" s="8" t="s">
        <v>55</v>
      </c>
      <c r="F4" s="8" t="s">
        <v>56</v>
      </c>
      <c r="G4" s="8" t="s">
        <v>60</v>
      </c>
      <c r="H4" s="8" t="s">
        <v>61</v>
      </c>
      <c r="I4" s="8" t="s">
        <v>62</v>
      </c>
      <c r="J4" s="8" t="s">
        <v>63</v>
      </c>
      <c r="K4" s="8" t="s">
        <v>64</v>
      </c>
      <c r="L4" s="8" t="s">
        <v>65</v>
      </c>
      <c r="M4" s="8" t="s">
        <v>67</v>
      </c>
      <c r="N4" s="8" t="s">
        <v>68</v>
      </c>
      <c r="O4" s="8" t="s">
        <v>563</v>
      </c>
      <c r="P4" s="8" t="s">
        <v>564</v>
      </c>
    </row>
    <row r="5" customFormat="false" ht="27.75" hidden="false" customHeight="true" outlineLevel="0" collapsed="false">
      <c r="A5" s="9" t="s">
        <v>565</v>
      </c>
      <c r="B5" s="10" t="s">
        <v>566</v>
      </c>
      <c r="C5" s="18" t="s">
        <v>567</v>
      </c>
      <c r="D5" s="18" t="s">
        <v>567</v>
      </c>
      <c r="E5" s="10" t="s">
        <v>568</v>
      </c>
      <c r="F5" s="10" t="s">
        <v>569</v>
      </c>
      <c r="G5" s="19" t="s">
        <v>570</v>
      </c>
      <c r="H5" s="13" t="n">
        <f aca="false">IF($F5="Passif","—",IF($N5&lt;=Paramètres!$B$19,0,IF($I5="Oui",3,IF($P5&lt;=Paramètres!$B$14,1,IF($P5&lt;=Paramètres!$B$15,2,3)))))</f>
        <v>0</v>
      </c>
      <c r="I5" s="19" t="s">
        <v>571</v>
      </c>
      <c r="J5" s="20" t="n">
        <v>1</v>
      </c>
      <c r="K5" s="10" t="s">
        <v>572</v>
      </c>
      <c r="L5" s="21" t="s">
        <v>573</v>
      </c>
      <c r="M5" s="19" t="s">
        <v>574</v>
      </c>
      <c r="N5" s="22" t="n">
        <v>1</v>
      </c>
      <c r="O5" s="23" t="n">
        <v>0</v>
      </c>
      <c r="P5" s="24" t="n">
        <f aca="false">ROUND($J5*IF($G5="Zone",Paramètres!$B$13,1)+$O5,2)</f>
        <v>1</v>
      </c>
    </row>
    <row r="6" customFormat="false" ht="27.75" hidden="false" customHeight="true" outlineLevel="0" collapsed="false">
      <c r="A6" s="9" t="s">
        <v>575</v>
      </c>
      <c r="B6" s="10" t="s">
        <v>566</v>
      </c>
      <c r="C6" s="18" t="s">
        <v>576</v>
      </c>
      <c r="D6" s="18" t="s">
        <v>577</v>
      </c>
      <c r="E6" s="10" t="s">
        <v>568</v>
      </c>
      <c r="F6" s="10" t="s">
        <v>569</v>
      </c>
      <c r="G6" s="19" t="s">
        <v>570</v>
      </c>
      <c r="H6" s="13" t="n">
        <f aca="false">IF($F6="Passif","—",IF($N6&lt;=Paramètres!$B$19,0,IF($I6="Oui",3,IF($P6&lt;=Paramètres!$B$14,1,IF($P6&lt;=Paramètres!$B$15,2,3)))))</f>
        <v>0</v>
      </c>
      <c r="I6" s="19" t="s">
        <v>571</v>
      </c>
      <c r="J6" s="20" t="n">
        <v>0.9</v>
      </c>
      <c r="K6" s="10" t="s">
        <v>572</v>
      </c>
      <c r="L6" s="21" t="s">
        <v>578</v>
      </c>
      <c r="M6" s="19" t="s">
        <v>574</v>
      </c>
      <c r="N6" s="22" t="n">
        <v>1</v>
      </c>
      <c r="O6" s="23" t="n">
        <v>0.2</v>
      </c>
      <c r="P6" s="24" t="n">
        <f aca="false">ROUND($J6*IF($G6="Zone",Paramètres!$B$13,1)+$O6,2)</f>
        <v>1.1</v>
      </c>
    </row>
    <row r="7" customFormat="false" ht="27.75" hidden="false" customHeight="true" outlineLevel="0" collapsed="false">
      <c r="A7" s="9" t="s">
        <v>579</v>
      </c>
      <c r="B7" s="10" t="s">
        <v>566</v>
      </c>
      <c r="C7" s="18" t="s">
        <v>580</v>
      </c>
      <c r="D7" s="18" t="s">
        <v>580</v>
      </c>
      <c r="E7" s="10" t="s">
        <v>568</v>
      </c>
      <c r="F7" s="10" t="s">
        <v>569</v>
      </c>
      <c r="G7" s="19" t="s">
        <v>570</v>
      </c>
      <c r="H7" s="13" t="n">
        <f aca="false">IF($F7="Passif","—",IF($N7&lt;=Paramètres!$B$19,0,IF($I7="Oui",3,IF($P7&lt;=Paramètres!$B$14,1,IF($P7&lt;=Paramètres!$B$15,2,3)))))</f>
        <v>2</v>
      </c>
      <c r="I7" s="19" t="s">
        <v>571</v>
      </c>
      <c r="J7" s="20" t="n">
        <v>1.6</v>
      </c>
      <c r="K7" s="10" t="s">
        <v>572</v>
      </c>
      <c r="L7" s="21" t="s">
        <v>581</v>
      </c>
      <c r="M7" s="19" t="s">
        <v>574</v>
      </c>
      <c r="N7" s="22" t="n">
        <v>8</v>
      </c>
      <c r="O7" s="23" t="n">
        <v>0.3</v>
      </c>
      <c r="P7" s="24" t="n">
        <f aca="false">ROUND($J7*IF($G7="Zone",Paramètres!$B$13,1)+$O7,2)</f>
        <v>1.9</v>
      </c>
    </row>
    <row r="8" customFormat="false" ht="27.75" hidden="false" customHeight="true" outlineLevel="0" collapsed="false">
      <c r="A8" s="9" t="s">
        <v>582</v>
      </c>
      <c r="B8" s="10" t="s">
        <v>566</v>
      </c>
      <c r="C8" s="18" t="s">
        <v>583</v>
      </c>
      <c r="D8" s="18" t="s">
        <v>583</v>
      </c>
      <c r="E8" s="10" t="s">
        <v>568</v>
      </c>
      <c r="F8" s="10" t="s">
        <v>569</v>
      </c>
      <c r="G8" s="19" t="s">
        <v>584</v>
      </c>
      <c r="H8" s="13" t="n">
        <f aca="false">IF($F8="Passif","—",IF($N8&lt;=Paramètres!$B$19,0,IF($I8="Oui",3,IF($P8&lt;=Paramètres!$B$14,1,IF($P8&lt;=Paramètres!$B$15,2,3)))))</f>
        <v>2</v>
      </c>
      <c r="I8" s="19" t="s">
        <v>571</v>
      </c>
      <c r="J8" s="20" t="n">
        <v>0.85</v>
      </c>
      <c r="K8" s="10" t="s">
        <v>572</v>
      </c>
      <c r="L8" s="21" t="s">
        <v>585</v>
      </c>
      <c r="M8" s="19" t="s">
        <v>574</v>
      </c>
      <c r="N8" s="22" t="n">
        <v>12</v>
      </c>
      <c r="O8" s="23" t="n">
        <v>0</v>
      </c>
      <c r="P8" s="24" t="n">
        <f aca="false">ROUND($J8*IF($G8="Zone",Paramètres!$B$13,1)+$O8,2)</f>
        <v>1.7</v>
      </c>
    </row>
    <row r="9" customFormat="false" ht="27.75" hidden="false" customHeight="true" outlineLevel="0" collapsed="false">
      <c r="A9" s="9" t="s">
        <v>586</v>
      </c>
      <c r="B9" s="10" t="s">
        <v>566</v>
      </c>
      <c r="C9" s="18" t="s">
        <v>587</v>
      </c>
      <c r="D9" s="18" t="s">
        <v>587</v>
      </c>
      <c r="E9" s="10" t="s">
        <v>568</v>
      </c>
      <c r="F9" s="10" t="s">
        <v>569</v>
      </c>
      <c r="G9" s="19" t="s">
        <v>570</v>
      </c>
      <c r="H9" s="13" t="n">
        <f aca="false">IF($F9="Passif","—",IF($N9&lt;=Paramètres!$B$19,0,IF($I9="Oui",3,IF($P9&lt;=Paramètres!$B$14,1,IF($P9&lt;=Paramètres!$B$15,2,3)))))</f>
        <v>1</v>
      </c>
      <c r="I9" s="19" t="s">
        <v>571</v>
      </c>
      <c r="J9" s="20" t="n">
        <v>0.85</v>
      </c>
      <c r="K9" s="10" t="s">
        <v>572</v>
      </c>
      <c r="L9" s="21" t="s">
        <v>588</v>
      </c>
      <c r="M9" s="19" t="s">
        <v>574</v>
      </c>
      <c r="N9" s="22" t="n">
        <v>18</v>
      </c>
      <c r="O9" s="23" t="n">
        <v>0.15</v>
      </c>
      <c r="P9" s="24" t="n">
        <f aca="false">ROUND($J9*IF($G9="Zone",Paramètres!$B$13,1)+$O9,2)</f>
        <v>1</v>
      </c>
    </row>
    <row r="10" customFormat="false" ht="27.75" hidden="false" customHeight="true" outlineLevel="0" collapsed="false">
      <c r="A10" s="9" t="s">
        <v>589</v>
      </c>
      <c r="B10" s="10" t="s">
        <v>566</v>
      </c>
      <c r="C10" s="18" t="s">
        <v>590</v>
      </c>
      <c r="D10" s="18" t="s">
        <v>590</v>
      </c>
      <c r="E10" s="10" t="s">
        <v>568</v>
      </c>
      <c r="F10" s="10" t="s">
        <v>569</v>
      </c>
      <c r="G10" s="19" t="s">
        <v>570</v>
      </c>
      <c r="H10" s="13" t="n">
        <f aca="false">IF($F10="Passif","—",IF($N10&lt;=Paramètres!$B$19,0,IF($I10="Oui",3,IF($P10&lt;=Paramètres!$B$14,1,IF($P10&lt;=Paramètres!$B$15,2,3)))))</f>
        <v>2</v>
      </c>
      <c r="I10" s="19" t="s">
        <v>571</v>
      </c>
      <c r="J10" s="20" t="n">
        <v>1.5</v>
      </c>
      <c r="K10" s="10" t="s">
        <v>572</v>
      </c>
      <c r="L10" s="21" t="s">
        <v>591</v>
      </c>
      <c r="M10" s="19" t="s">
        <v>574</v>
      </c>
      <c r="N10" s="22" t="n">
        <v>25</v>
      </c>
      <c r="O10" s="23" t="n">
        <v>0.3</v>
      </c>
      <c r="P10" s="24" t="n">
        <f aca="false">ROUND($J10*IF($G10="Zone",Paramètres!$B$13,1)+$O10,2)</f>
        <v>1.8</v>
      </c>
    </row>
    <row r="11" customFormat="false" ht="27.75" hidden="false" customHeight="true" outlineLevel="0" collapsed="false">
      <c r="A11" s="9" t="s">
        <v>592</v>
      </c>
      <c r="B11" s="10" t="s">
        <v>566</v>
      </c>
      <c r="C11" s="18" t="s">
        <v>593</v>
      </c>
      <c r="D11" s="18" t="s">
        <v>593</v>
      </c>
      <c r="E11" s="10" t="s">
        <v>568</v>
      </c>
      <c r="F11" s="10" t="s">
        <v>569</v>
      </c>
      <c r="G11" s="19" t="s">
        <v>570</v>
      </c>
      <c r="H11" s="13" t="n">
        <f aca="false">IF($F11="Passif","—",IF($N11&lt;=Paramètres!$B$19,0,IF($I11="Oui",3,IF($P11&lt;=Paramètres!$B$14,1,IF($P11&lt;=Paramètres!$B$15,2,3)))))</f>
        <v>3</v>
      </c>
      <c r="I11" s="19" t="s">
        <v>594</v>
      </c>
      <c r="J11" s="20" t="n">
        <v>3</v>
      </c>
      <c r="K11" s="10" t="s">
        <v>572</v>
      </c>
      <c r="L11" s="21" t="s">
        <v>595</v>
      </c>
      <c r="M11" s="19" t="s">
        <v>574</v>
      </c>
      <c r="N11" s="22" t="n">
        <v>30</v>
      </c>
      <c r="O11" s="23" t="n">
        <v>0.3</v>
      </c>
      <c r="P11" s="24" t="n">
        <f aca="false">ROUND($J11*IF($G11="Zone",Paramètres!$B$13,1)+$O11,2)</f>
        <v>3.3</v>
      </c>
    </row>
    <row r="12" customFormat="false" ht="27.75" hidden="false" customHeight="true" outlineLevel="0" collapsed="false">
      <c r="A12" s="9" t="s">
        <v>596</v>
      </c>
      <c r="B12" s="10" t="s">
        <v>566</v>
      </c>
      <c r="C12" s="18" t="s">
        <v>597</v>
      </c>
      <c r="D12" s="18" t="s">
        <v>597</v>
      </c>
      <c r="E12" s="10" t="s">
        <v>568</v>
      </c>
      <c r="F12" s="10" t="s">
        <v>569</v>
      </c>
      <c r="G12" s="19" t="s">
        <v>584</v>
      </c>
      <c r="H12" s="13" t="n">
        <f aca="false">IF($F12="Passif","—",IF($N12&lt;=Paramètres!$B$19,0,IF($I12="Oui",3,IF($P12&lt;=Paramètres!$B$14,1,IF($P12&lt;=Paramètres!$B$15,2,3)))))</f>
        <v>3</v>
      </c>
      <c r="I12" s="19" t="s">
        <v>594</v>
      </c>
      <c r="J12" s="20" t="n">
        <v>1.6</v>
      </c>
      <c r="K12" s="10" t="s">
        <v>572</v>
      </c>
      <c r="L12" s="21" t="s">
        <v>598</v>
      </c>
      <c r="M12" s="19" t="s">
        <v>574</v>
      </c>
      <c r="N12" s="22" t="n">
        <v>60</v>
      </c>
      <c r="O12" s="23" t="n">
        <v>0.4</v>
      </c>
      <c r="P12" s="24" t="n">
        <f aca="false">ROUND($J12*IF($G12="Zone",Paramètres!$B$13,1)+$O12,2)</f>
        <v>3.6</v>
      </c>
    </row>
    <row r="13" customFormat="false" ht="27.75" hidden="false" customHeight="true" outlineLevel="0" collapsed="false">
      <c r="A13" s="9" t="s">
        <v>599</v>
      </c>
      <c r="B13" s="10" t="s">
        <v>566</v>
      </c>
      <c r="C13" s="18" t="s">
        <v>600</v>
      </c>
      <c r="D13" s="18" t="s">
        <v>600</v>
      </c>
      <c r="E13" s="10" t="s">
        <v>601</v>
      </c>
      <c r="F13" s="10" t="s">
        <v>602</v>
      </c>
      <c r="G13" s="19" t="s">
        <v>603</v>
      </c>
      <c r="H13" s="13" t="n">
        <f aca="false">IF($F13="Passif","—",IF($N13&lt;=Paramètres!$B$19,0,IF($I13="Oui",3,IF($P13&lt;=Paramètres!$B$14,1,IF($P13&lt;=Paramètres!$B$15,2,3)))))</f>
        <v>2</v>
      </c>
      <c r="I13" s="19" t="s">
        <v>571</v>
      </c>
      <c r="J13" s="20" t="n">
        <v>0</v>
      </c>
      <c r="K13" s="10" t="s">
        <v>572</v>
      </c>
      <c r="L13" s="21" t="s">
        <v>604</v>
      </c>
      <c r="M13" s="19" t="s">
        <v>574</v>
      </c>
      <c r="N13" s="22" t="n">
        <v>5</v>
      </c>
      <c r="O13" s="23" t="n">
        <v>1.5</v>
      </c>
      <c r="P13" s="24" t="n">
        <f aca="false">ROUND($J13*IF($G13="Zone",Paramètres!$B$13,1)+$O13,2)</f>
        <v>1.5</v>
      </c>
    </row>
    <row r="14" customFormat="false" ht="27.75" hidden="false" customHeight="true" outlineLevel="0" collapsed="false">
      <c r="A14" s="9" t="s">
        <v>605</v>
      </c>
      <c r="B14" s="10" t="s">
        <v>566</v>
      </c>
      <c r="C14" s="18" t="s">
        <v>606</v>
      </c>
      <c r="D14" s="18" t="s">
        <v>606</v>
      </c>
      <c r="E14" s="10" t="s">
        <v>601</v>
      </c>
      <c r="F14" s="10" t="s">
        <v>607</v>
      </c>
      <c r="G14" s="19" t="s">
        <v>570</v>
      </c>
      <c r="H14" s="13" t="n">
        <f aca="false">IF($F14="Passif","—",IF($N14&lt;=Paramètres!$B$19,0,IF($I14="Oui",3,IF($P14&lt;=Paramètres!$B$14,1,IF($P14&lt;=Paramètres!$B$15,2,3)))))</f>
        <v>2</v>
      </c>
      <c r="I14" s="19" t="s">
        <v>571</v>
      </c>
      <c r="J14" s="20" t="n">
        <v>0.6</v>
      </c>
      <c r="K14" s="10" t="s">
        <v>572</v>
      </c>
      <c r="L14" s="21" t="s">
        <v>608</v>
      </c>
      <c r="M14" s="19" t="s">
        <v>574</v>
      </c>
      <c r="N14" s="22" t="n">
        <v>10</v>
      </c>
      <c r="O14" s="23" t="n">
        <v>0.6</v>
      </c>
      <c r="P14" s="24" t="n">
        <f aca="false">ROUND($J14*IF($G14="Zone",Paramètres!$B$13,1)+$O14,2)</f>
        <v>1.2</v>
      </c>
    </row>
    <row r="15" customFormat="false" ht="27.75" hidden="false" customHeight="true" outlineLevel="0" collapsed="false">
      <c r="A15" s="9" t="s">
        <v>609</v>
      </c>
      <c r="B15" s="10" t="s">
        <v>566</v>
      </c>
      <c r="C15" s="18" t="s">
        <v>610</v>
      </c>
      <c r="D15" s="18" t="s">
        <v>611</v>
      </c>
      <c r="E15" s="10" t="s">
        <v>601</v>
      </c>
      <c r="F15" s="10" t="s">
        <v>602</v>
      </c>
      <c r="G15" s="19" t="s">
        <v>603</v>
      </c>
      <c r="H15" s="13" t="n">
        <f aca="false">IF($F15="Passif","—",IF($N15&lt;=Paramètres!$B$19,0,IF($I15="Oui",3,IF($P15&lt;=Paramètres!$B$14,1,IF($P15&lt;=Paramètres!$B$15,2,3)))))</f>
        <v>2</v>
      </c>
      <c r="I15" s="19" t="s">
        <v>571</v>
      </c>
      <c r="J15" s="20" t="n">
        <v>0</v>
      </c>
      <c r="K15" s="10" t="s">
        <v>572</v>
      </c>
      <c r="L15" s="21" t="s">
        <v>612</v>
      </c>
      <c r="M15" s="19" t="s">
        <v>574</v>
      </c>
      <c r="N15" s="22" t="n">
        <v>15</v>
      </c>
      <c r="O15" s="23" t="n">
        <v>1.5</v>
      </c>
      <c r="P15" s="24" t="n">
        <f aca="false">ROUND($J15*IF($G15="Zone",Paramètres!$B$13,1)+$O15,2)</f>
        <v>1.5</v>
      </c>
    </row>
    <row r="16" customFormat="false" ht="27.75" hidden="false" customHeight="true" outlineLevel="0" collapsed="false">
      <c r="A16" s="9" t="s">
        <v>613</v>
      </c>
      <c r="B16" s="10" t="s">
        <v>566</v>
      </c>
      <c r="C16" s="18" t="s">
        <v>614</v>
      </c>
      <c r="D16" s="18" t="s">
        <v>615</v>
      </c>
      <c r="E16" s="10" t="s">
        <v>601</v>
      </c>
      <c r="F16" s="10" t="s">
        <v>616</v>
      </c>
      <c r="G16" s="19" t="s">
        <v>603</v>
      </c>
      <c r="H16" s="13" t="n">
        <f aca="false">IF($F16="Passif","—",IF($N16&lt;=Paramètres!$B$19,0,IF($I16="Oui",3,IF($P16&lt;=Paramètres!$B$14,1,IF($P16&lt;=Paramètres!$B$15,2,3)))))</f>
        <v>2</v>
      </c>
      <c r="I16" s="19" t="s">
        <v>571</v>
      </c>
      <c r="J16" s="20" t="n">
        <v>0</v>
      </c>
      <c r="K16" s="10" t="s">
        <v>572</v>
      </c>
      <c r="L16" s="21" t="s">
        <v>617</v>
      </c>
      <c r="M16" s="19" t="s">
        <v>574</v>
      </c>
      <c r="N16" s="22" t="n">
        <v>20</v>
      </c>
      <c r="O16" s="23" t="n">
        <v>1.6</v>
      </c>
      <c r="P16" s="24" t="n">
        <f aca="false">ROUND($J16*IF($G16="Zone",Paramètres!$B$13,1)+$O16,2)</f>
        <v>1.6</v>
      </c>
    </row>
    <row r="17" customFormat="false" ht="27.75" hidden="false" customHeight="true" outlineLevel="0" collapsed="false">
      <c r="A17" s="9" t="s">
        <v>618</v>
      </c>
      <c r="B17" s="10" t="s">
        <v>566</v>
      </c>
      <c r="C17" s="18" t="s">
        <v>619</v>
      </c>
      <c r="D17" s="18" t="s">
        <v>620</v>
      </c>
      <c r="E17" s="10" t="s">
        <v>601</v>
      </c>
      <c r="F17" s="10" t="s">
        <v>621</v>
      </c>
      <c r="G17" s="19" t="s">
        <v>603</v>
      </c>
      <c r="H17" s="13" t="n">
        <f aca="false">IF($F17="Passif","—",IF($N17&lt;=Paramètres!$B$19,0,IF($I17="Oui",3,IF($P17&lt;=Paramètres!$B$14,1,IF($P17&lt;=Paramètres!$B$15,2,3)))))</f>
        <v>2</v>
      </c>
      <c r="I17" s="19" t="s">
        <v>571</v>
      </c>
      <c r="J17" s="20" t="n">
        <v>0</v>
      </c>
      <c r="K17" s="10" t="s">
        <v>572</v>
      </c>
      <c r="L17" s="21" t="s">
        <v>622</v>
      </c>
      <c r="M17" s="19" t="s">
        <v>574</v>
      </c>
      <c r="N17" s="22" t="n">
        <v>28</v>
      </c>
      <c r="O17" s="23" t="n">
        <v>1.8</v>
      </c>
      <c r="P17" s="24" t="n">
        <f aca="false">ROUND($J17*IF($G17="Zone",Paramètres!$B$13,1)+$O17,2)</f>
        <v>1.8</v>
      </c>
    </row>
    <row r="18" customFormat="false" ht="27.75" hidden="false" customHeight="true" outlineLevel="0" collapsed="false">
      <c r="A18" s="9" t="s">
        <v>623</v>
      </c>
      <c r="B18" s="10" t="s">
        <v>566</v>
      </c>
      <c r="C18" s="18" t="s">
        <v>624</v>
      </c>
      <c r="D18" s="18" t="s">
        <v>624</v>
      </c>
      <c r="E18" s="10" t="s">
        <v>601</v>
      </c>
      <c r="F18" s="10" t="s">
        <v>602</v>
      </c>
      <c r="G18" s="19" t="s">
        <v>603</v>
      </c>
      <c r="H18" s="13" t="n">
        <f aca="false">IF($F18="Passif","—",IF($N18&lt;=Paramètres!$B$19,0,IF($I18="Oui",3,IF($P18&lt;=Paramètres!$B$14,1,IF($P18&lt;=Paramètres!$B$15,2,3)))))</f>
        <v>2</v>
      </c>
      <c r="I18" s="19" t="s">
        <v>571</v>
      </c>
      <c r="J18" s="20" t="n">
        <v>0</v>
      </c>
      <c r="K18" s="10" t="s">
        <v>572</v>
      </c>
      <c r="L18" s="21" t="s">
        <v>625</v>
      </c>
      <c r="M18" s="19" t="s">
        <v>574</v>
      </c>
      <c r="N18" s="22" t="n">
        <v>40</v>
      </c>
      <c r="O18" s="23" t="n">
        <v>1.6</v>
      </c>
      <c r="P18" s="24" t="n">
        <f aca="false">ROUND($J18*IF($G18="Zone",Paramètres!$B$13,1)+$O18,2)</f>
        <v>1.6</v>
      </c>
    </row>
    <row r="19" customFormat="false" ht="27.75" hidden="false" customHeight="true" outlineLevel="0" collapsed="false">
      <c r="A19" s="9" t="s">
        <v>626</v>
      </c>
      <c r="B19" s="10" t="s">
        <v>566</v>
      </c>
      <c r="C19" s="18" t="s">
        <v>627</v>
      </c>
      <c r="D19" s="18" t="s">
        <v>627</v>
      </c>
      <c r="E19" s="10" t="s">
        <v>601</v>
      </c>
      <c r="F19" s="10" t="s">
        <v>616</v>
      </c>
      <c r="G19" s="19" t="s">
        <v>603</v>
      </c>
      <c r="H19" s="13" t="n">
        <f aca="false">IF($F19="Passif","—",IF($N19&lt;=Paramètres!$B$19,0,IF($I19="Oui",3,IF($P19&lt;=Paramètres!$B$14,1,IF($P19&lt;=Paramètres!$B$15,2,3)))))</f>
        <v>3</v>
      </c>
      <c r="I19" s="19" t="s">
        <v>594</v>
      </c>
      <c r="J19" s="20" t="n">
        <v>0</v>
      </c>
      <c r="K19" s="10" t="s">
        <v>572</v>
      </c>
      <c r="L19" s="21" t="s">
        <v>628</v>
      </c>
      <c r="M19" s="19" t="s">
        <v>574</v>
      </c>
      <c r="N19" s="22" t="n">
        <v>50</v>
      </c>
      <c r="O19" s="23" t="n">
        <v>2.5</v>
      </c>
      <c r="P19" s="24" t="n">
        <f aca="false">ROUND($J19*IF($G19="Zone",Paramètres!$B$13,1)+$O19,2)</f>
        <v>2.5</v>
      </c>
    </row>
    <row r="20" customFormat="false" ht="27.75" hidden="false" customHeight="true" outlineLevel="0" collapsed="false">
      <c r="A20" s="9" t="s">
        <v>224</v>
      </c>
      <c r="B20" s="10" t="s">
        <v>566</v>
      </c>
      <c r="C20" s="18" t="s">
        <v>629</v>
      </c>
      <c r="D20" s="18" t="s">
        <v>630</v>
      </c>
      <c r="E20" s="10" t="s">
        <v>631</v>
      </c>
      <c r="F20" s="10" t="s">
        <v>631</v>
      </c>
      <c r="G20" s="19" t="s">
        <v>603</v>
      </c>
      <c r="H20" s="22" t="s">
        <v>630</v>
      </c>
      <c r="I20" s="19" t="s">
        <v>571</v>
      </c>
      <c r="J20" s="20" t="n">
        <v>0</v>
      </c>
      <c r="K20" s="10" t="s">
        <v>630</v>
      </c>
      <c r="L20" s="21" t="s">
        <v>632</v>
      </c>
      <c r="M20" s="19" t="s">
        <v>633</v>
      </c>
      <c r="N20" s="22" t="n">
        <v>1</v>
      </c>
      <c r="O20" s="14" t="s">
        <v>630</v>
      </c>
      <c r="P20" s="14" t="s">
        <v>630</v>
      </c>
    </row>
    <row r="21" customFormat="false" ht="27.75" hidden="false" customHeight="true" outlineLevel="0" collapsed="false">
      <c r="A21" s="9" t="s">
        <v>225</v>
      </c>
      <c r="B21" s="10" t="s">
        <v>566</v>
      </c>
      <c r="C21" s="18" t="s">
        <v>634</v>
      </c>
      <c r="D21" s="18" t="s">
        <v>630</v>
      </c>
      <c r="E21" s="10" t="s">
        <v>631</v>
      </c>
      <c r="F21" s="10" t="s">
        <v>631</v>
      </c>
      <c r="G21" s="19" t="s">
        <v>603</v>
      </c>
      <c r="H21" s="22" t="s">
        <v>630</v>
      </c>
      <c r="I21" s="19" t="s">
        <v>571</v>
      </c>
      <c r="J21" s="20" t="n">
        <v>0</v>
      </c>
      <c r="K21" s="10" t="s">
        <v>630</v>
      </c>
      <c r="L21" s="21" t="s">
        <v>635</v>
      </c>
      <c r="M21" s="19" t="s">
        <v>633</v>
      </c>
      <c r="N21" s="22" t="n">
        <v>10</v>
      </c>
      <c r="O21" s="14" t="s">
        <v>630</v>
      </c>
      <c r="P21" s="14" t="s">
        <v>630</v>
      </c>
    </row>
    <row r="22" customFormat="false" ht="27.75" hidden="false" customHeight="true" outlineLevel="0" collapsed="false">
      <c r="A22" s="9" t="s">
        <v>226</v>
      </c>
      <c r="B22" s="10" t="s">
        <v>566</v>
      </c>
      <c r="C22" s="18" t="s">
        <v>636</v>
      </c>
      <c r="D22" s="18" t="s">
        <v>630</v>
      </c>
      <c r="E22" s="10" t="s">
        <v>631</v>
      </c>
      <c r="F22" s="10" t="s">
        <v>631</v>
      </c>
      <c r="G22" s="19" t="s">
        <v>603</v>
      </c>
      <c r="H22" s="22" t="s">
        <v>630</v>
      </c>
      <c r="I22" s="19" t="s">
        <v>571</v>
      </c>
      <c r="J22" s="20" t="n">
        <v>0</v>
      </c>
      <c r="K22" s="10" t="s">
        <v>630</v>
      </c>
      <c r="L22" s="21" t="s">
        <v>637</v>
      </c>
      <c r="M22" s="19" t="s">
        <v>638</v>
      </c>
      <c r="N22" s="22" t="n">
        <v>20</v>
      </c>
      <c r="O22" s="14" t="s">
        <v>630</v>
      </c>
      <c r="P22" s="14" t="s">
        <v>630</v>
      </c>
    </row>
    <row r="23" customFormat="false" ht="27.75" hidden="false" customHeight="true" outlineLevel="0" collapsed="false">
      <c r="A23" s="9" t="s">
        <v>227</v>
      </c>
      <c r="B23" s="10" t="s">
        <v>566</v>
      </c>
      <c r="C23" s="18" t="s">
        <v>639</v>
      </c>
      <c r="D23" s="18" t="s">
        <v>630</v>
      </c>
      <c r="E23" s="10" t="s">
        <v>631</v>
      </c>
      <c r="F23" s="10" t="s">
        <v>631</v>
      </c>
      <c r="G23" s="19" t="s">
        <v>603</v>
      </c>
      <c r="H23" s="22" t="s">
        <v>630</v>
      </c>
      <c r="I23" s="19" t="s">
        <v>571</v>
      </c>
      <c r="J23" s="20" t="n">
        <v>0</v>
      </c>
      <c r="K23" s="10" t="s">
        <v>630</v>
      </c>
      <c r="L23" s="21" t="s">
        <v>640</v>
      </c>
      <c r="M23" s="19" t="s">
        <v>633</v>
      </c>
      <c r="N23" s="22" t="n">
        <v>30</v>
      </c>
      <c r="O23" s="14" t="s">
        <v>630</v>
      </c>
      <c r="P23" s="14" t="s">
        <v>630</v>
      </c>
    </row>
    <row r="24" customFormat="false" ht="27.75" hidden="false" customHeight="true" outlineLevel="0" collapsed="false">
      <c r="A24" s="9" t="s">
        <v>228</v>
      </c>
      <c r="B24" s="10" t="s">
        <v>566</v>
      </c>
      <c r="C24" s="18" t="s">
        <v>641</v>
      </c>
      <c r="D24" s="18" t="s">
        <v>630</v>
      </c>
      <c r="E24" s="10" t="s">
        <v>631</v>
      </c>
      <c r="F24" s="10" t="s">
        <v>631</v>
      </c>
      <c r="G24" s="19" t="s">
        <v>603</v>
      </c>
      <c r="H24" s="22" t="s">
        <v>630</v>
      </c>
      <c r="I24" s="19" t="s">
        <v>571</v>
      </c>
      <c r="J24" s="20" t="n">
        <v>0</v>
      </c>
      <c r="K24" s="10" t="s">
        <v>630</v>
      </c>
      <c r="L24" s="21" t="s">
        <v>642</v>
      </c>
      <c r="M24" s="19" t="s">
        <v>643</v>
      </c>
      <c r="N24" s="22" t="n">
        <v>40</v>
      </c>
      <c r="O24" s="14" t="s">
        <v>630</v>
      </c>
      <c r="P24" s="14" t="s">
        <v>630</v>
      </c>
    </row>
    <row r="25" customFormat="false" ht="27.75" hidden="false" customHeight="true" outlineLevel="0" collapsed="false">
      <c r="A25" s="9" t="s">
        <v>229</v>
      </c>
      <c r="B25" s="10" t="s">
        <v>566</v>
      </c>
      <c r="C25" s="18" t="s">
        <v>644</v>
      </c>
      <c r="D25" s="18" t="s">
        <v>630</v>
      </c>
      <c r="E25" s="10" t="s">
        <v>631</v>
      </c>
      <c r="F25" s="10" t="s">
        <v>631</v>
      </c>
      <c r="G25" s="19" t="s">
        <v>603</v>
      </c>
      <c r="H25" s="22" t="s">
        <v>630</v>
      </c>
      <c r="I25" s="19" t="s">
        <v>571</v>
      </c>
      <c r="J25" s="20" t="n">
        <v>0</v>
      </c>
      <c r="K25" s="10" t="s">
        <v>630</v>
      </c>
      <c r="L25" s="21" t="s">
        <v>645</v>
      </c>
      <c r="M25" s="19" t="s">
        <v>646</v>
      </c>
      <c r="N25" s="22" t="n">
        <v>50</v>
      </c>
      <c r="O25" s="14" t="s">
        <v>630</v>
      </c>
      <c r="P25" s="14" t="s">
        <v>630</v>
      </c>
    </row>
    <row r="26" customFormat="false" ht="27.75" hidden="false" customHeight="true" outlineLevel="0" collapsed="false">
      <c r="A26" s="9" t="s">
        <v>230</v>
      </c>
      <c r="B26" s="10" t="s">
        <v>566</v>
      </c>
      <c r="C26" s="18" t="s">
        <v>647</v>
      </c>
      <c r="D26" s="18" t="s">
        <v>630</v>
      </c>
      <c r="E26" s="10" t="s">
        <v>631</v>
      </c>
      <c r="F26" s="10" t="s">
        <v>631</v>
      </c>
      <c r="G26" s="19" t="s">
        <v>603</v>
      </c>
      <c r="H26" s="22" t="s">
        <v>630</v>
      </c>
      <c r="I26" s="19" t="s">
        <v>571</v>
      </c>
      <c r="J26" s="20" t="n">
        <v>0</v>
      </c>
      <c r="K26" s="10" t="s">
        <v>630</v>
      </c>
      <c r="L26" s="21" t="s">
        <v>648</v>
      </c>
      <c r="M26" s="19" t="s">
        <v>633</v>
      </c>
      <c r="N26" s="22" t="n">
        <v>60</v>
      </c>
      <c r="O26" s="14" t="s">
        <v>630</v>
      </c>
      <c r="P26" s="14" t="s">
        <v>630</v>
      </c>
    </row>
    <row r="27" customFormat="false" ht="27.75" hidden="false" customHeight="true" outlineLevel="0" collapsed="false">
      <c r="A27" s="9" t="s">
        <v>231</v>
      </c>
      <c r="B27" s="10" t="s">
        <v>566</v>
      </c>
      <c r="C27" s="18" t="s">
        <v>649</v>
      </c>
      <c r="D27" s="18" t="s">
        <v>630</v>
      </c>
      <c r="E27" s="10" t="s">
        <v>631</v>
      </c>
      <c r="F27" s="10" t="s">
        <v>631</v>
      </c>
      <c r="G27" s="19" t="s">
        <v>603</v>
      </c>
      <c r="H27" s="22" t="s">
        <v>630</v>
      </c>
      <c r="I27" s="19" t="s">
        <v>571</v>
      </c>
      <c r="J27" s="20" t="n">
        <v>0</v>
      </c>
      <c r="K27" s="10" t="s">
        <v>630</v>
      </c>
      <c r="L27" s="21" t="s">
        <v>650</v>
      </c>
      <c r="M27" s="19" t="s">
        <v>651</v>
      </c>
      <c r="N27" s="22" t="n">
        <v>70</v>
      </c>
      <c r="O27" s="14" t="s">
        <v>630</v>
      </c>
      <c r="P27" s="14" t="s">
        <v>630</v>
      </c>
    </row>
    <row r="28" customFormat="false" ht="27.75" hidden="false" customHeight="true" outlineLevel="0" collapsed="false">
      <c r="A28" s="9" t="s">
        <v>652</v>
      </c>
      <c r="B28" s="10" t="s">
        <v>653</v>
      </c>
      <c r="C28" s="18" t="s">
        <v>654</v>
      </c>
      <c r="D28" s="18" t="s">
        <v>655</v>
      </c>
      <c r="E28" s="10" t="s">
        <v>568</v>
      </c>
      <c r="F28" s="10" t="s">
        <v>569</v>
      </c>
      <c r="G28" s="19" t="s">
        <v>570</v>
      </c>
      <c r="H28" s="13" t="n">
        <f aca="false">IF($F28="Passif","—",IF($N28&lt;=Paramètres!$B$19,0,IF($I28="Oui",3,IF($P28&lt;=Paramètres!$B$14,1,IF($P28&lt;=Paramètres!$B$15,2,3)))))</f>
        <v>0</v>
      </c>
      <c r="I28" s="19" t="s">
        <v>571</v>
      </c>
      <c r="J28" s="20" t="n">
        <v>1</v>
      </c>
      <c r="K28" s="10" t="s">
        <v>656</v>
      </c>
      <c r="L28" s="21" t="s">
        <v>657</v>
      </c>
      <c r="M28" s="19" t="s">
        <v>574</v>
      </c>
      <c r="N28" s="22" t="n">
        <v>1</v>
      </c>
      <c r="O28" s="23" t="n">
        <v>0</v>
      </c>
      <c r="P28" s="24" t="n">
        <f aca="false">ROUND($J28*IF($G28="Zone",Paramètres!$B$13,1)+$O28,2)</f>
        <v>1</v>
      </c>
    </row>
    <row r="29" customFormat="false" ht="27.75" hidden="false" customHeight="true" outlineLevel="0" collapsed="false">
      <c r="A29" s="9" t="s">
        <v>658</v>
      </c>
      <c r="B29" s="10" t="s">
        <v>653</v>
      </c>
      <c r="C29" s="18" t="s">
        <v>659</v>
      </c>
      <c r="D29" s="18" t="s">
        <v>660</v>
      </c>
      <c r="E29" s="10" t="s">
        <v>568</v>
      </c>
      <c r="F29" s="10" t="s">
        <v>569</v>
      </c>
      <c r="G29" s="19" t="s">
        <v>570</v>
      </c>
      <c r="H29" s="13" t="n">
        <f aca="false">IF($F29="Passif","—",IF($N29&lt;=Paramètres!$B$19,0,IF($I29="Oui",3,IF($P29&lt;=Paramètres!$B$14,1,IF($P29&lt;=Paramètres!$B$15,2,3)))))</f>
        <v>0</v>
      </c>
      <c r="I29" s="19" t="s">
        <v>571</v>
      </c>
      <c r="J29" s="20" t="n">
        <v>0.9</v>
      </c>
      <c r="K29" s="10" t="s">
        <v>656</v>
      </c>
      <c r="L29" s="21" t="s">
        <v>661</v>
      </c>
      <c r="M29" s="19" t="s">
        <v>574</v>
      </c>
      <c r="N29" s="22" t="n">
        <v>1</v>
      </c>
      <c r="O29" s="23" t="n">
        <v>0.15</v>
      </c>
      <c r="P29" s="24" t="n">
        <f aca="false">ROUND($J29*IF($G29="Zone",Paramètres!$B$13,1)+$O29,2)</f>
        <v>1.05</v>
      </c>
    </row>
    <row r="30" customFormat="false" ht="27.75" hidden="false" customHeight="true" outlineLevel="0" collapsed="false">
      <c r="A30" s="9" t="s">
        <v>662</v>
      </c>
      <c r="B30" s="10" t="s">
        <v>653</v>
      </c>
      <c r="C30" s="18" t="s">
        <v>663</v>
      </c>
      <c r="D30" s="18" t="s">
        <v>664</v>
      </c>
      <c r="E30" s="10" t="s">
        <v>568</v>
      </c>
      <c r="F30" s="10" t="s">
        <v>569</v>
      </c>
      <c r="G30" s="19" t="s">
        <v>584</v>
      </c>
      <c r="H30" s="13" t="n">
        <f aca="false">IF($F30="Passif","—",IF($N30&lt;=Paramètres!$B$19,0,IF($I30="Oui",3,IF($P30&lt;=Paramètres!$B$14,1,IF($P30&lt;=Paramètres!$B$15,2,3)))))</f>
        <v>2</v>
      </c>
      <c r="I30" s="19" t="s">
        <v>571</v>
      </c>
      <c r="J30" s="20" t="n">
        <v>0.85</v>
      </c>
      <c r="K30" s="10" t="s">
        <v>656</v>
      </c>
      <c r="L30" s="21" t="s">
        <v>585</v>
      </c>
      <c r="M30" s="19" t="s">
        <v>574</v>
      </c>
      <c r="N30" s="22" t="n">
        <v>8</v>
      </c>
      <c r="O30" s="23" t="n">
        <v>0</v>
      </c>
      <c r="P30" s="24" t="n">
        <f aca="false">ROUND($J30*IF($G30="Zone",Paramètres!$B$13,1)+$O30,2)</f>
        <v>1.7</v>
      </c>
    </row>
    <row r="31" customFormat="false" ht="27.75" hidden="false" customHeight="true" outlineLevel="0" collapsed="false">
      <c r="A31" s="9" t="s">
        <v>665</v>
      </c>
      <c r="B31" s="10" t="s">
        <v>653</v>
      </c>
      <c r="C31" s="18" t="s">
        <v>666</v>
      </c>
      <c r="D31" s="18" t="s">
        <v>667</v>
      </c>
      <c r="E31" s="10" t="s">
        <v>568</v>
      </c>
      <c r="F31" s="10" t="s">
        <v>569</v>
      </c>
      <c r="G31" s="19" t="s">
        <v>570</v>
      </c>
      <c r="H31" s="13" t="n">
        <f aca="false">IF($F31="Passif","—",IF($N31&lt;=Paramètres!$B$19,0,IF($I31="Oui",3,IF($P31&lt;=Paramètres!$B$14,1,IF($P31&lt;=Paramètres!$B$15,2,3)))))</f>
        <v>1</v>
      </c>
      <c r="I31" s="19" t="s">
        <v>571</v>
      </c>
      <c r="J31" s="20" t="n">
        <v>0.8</v>
      </c>
      <c r="K31" s="10" t="s">
        <v>656</v>
      </c>
      <c r="L31" s="21" t="s">
        <v>668</v>
      </c>
      <c r="M31" s="19" t="s">
        <v>574</v>
      </c>
      <c r="N31" s="22" t="n">
        <v>12</v>
      </c>
      <c r="O31" s="23" t="n">
        <v>0.2</v>
      </c>
      <c r="P31" s="24" t="n">
        <f aca="false">ROUND($J31*IF($G31="Zone",Paramètres!$B$13,1)+$O31,2)</f>
        <v>1</v>
      </c>
    </row>
    <row r="32" customFormat="false" ht="27.75" hidden="false" customHeight="true" outlineLevel="0" collapsed="false">
      <c r="A32" s="9" t="s">
        <v>669</v>
      </c>
      <c r="B32" s="10" t="s">
        <v>653</v>
      </c>
      <c r="C32" s="18" t="s">
        <v>670</v>
      </c>
      <c r="D32" s="18" t="s">
        <v>671</v>
      </c>
      <c r="E32" s="10" t="s">
        <v>568</v>
      </c>
      <c r="F32" s="10" t="s">
        <v>569</v>
      </c>
      <c r="G32" s="19" t="s">
        <v>584</v>
      </c>
      <c r="H32" s="13" t="n">
        <f aca="false">IF($F32="Passif","—",IF($N32&lt;=Paramètres!$B$19,0,IF($I32="Oui",3,IF($P32&lt;=Paramètres!$B$14,1,IF($P32&lt;=Paramètres!$B$15,2,3)))))</f>
        <v>2</v>
      </c>
      <c r="I32" s="19" t="s">
        <v>571</v>
      </c>
      <c r="J32" s="20" t="n">
        <v>0.7</v>
      </c>
      <c r="K32" s="10" t="s">
        <v>656</v>
      </c>
      <c r="L32" s="21" t="s">
        <v>672</v>
      </c>
      <c r="M32" s="19" t="s">
        <v>574</v>
      </c>
      <c r="N32" s="22" t="n">
        <v>18</v>
      </c>
      <c r="O32" s="23" t="n">
        <v>0.3</v>
      </c>
      <c r="P32" s="24" t="n">
        <f aca="false">ROUND($J32*IF($G32="Zone",Paramètres!$B$13,1)+$O32,2)</f>
        <v>1.7</v>
      </c>
    </row>
    <row r="33" customFormat="false" ht="27.75" hidden="false" customHeight="true" outlineLevel="0" collapsed="false">
      <c r="A33" s="9" t="s">
        <v>673</v>
      </c>
      <c r="B33" s="10" t="s">
        <v>653</v>
      </c>
      <c r="C33" s="18" t="s">
        <v>674</v>
      </c>
      <c r="D33" s="18" t="s">
        <v>675</v>
      </c>
      <c r="E33" s="10" t="s">
        <v>568</v>
      </c>
      <c r="F33" s="10" t="s">
        <v>569</v>
      </c>
      <c r="G33" s="19" t="s">
        <v>584</v>
      </c>
      <c r="H33" s="13" t="n">
        <f aca="false">IF($F33="Passif","—",IF($N33&lt;=Paramètres!$B$19,0,IF($I33="Oui",3,IF($P33&lt;=Paramètres!$B$14,1,IF($P33&lt;=Paramètres!$B$15,2,3)))))</f>
        <v>2</v>
      </c>
      <c r="I33" s="19" t="s">
        <v>571</v>
      </c>
      <c r="J33" s="20" t="n">
        <v>0.95</v>
      </c>
      <c r="K33" s="10" t="s">
        <v>656</v>
      </c>
      <c r="L33" s="21" t="s">
        <v>676</v>
      </c>
      <c r="M33" s="19" t="s">
        <v>574</v>
      </c>
      <c r="N33" s="22" t="n">
        <v>25</v>
      </c>
      <c r="O33" s="23" t="n">
        <v>0.3</v>
      </c>
      <c r="P33" s="24" t="n">
        <f aca="false">ROUND($J33*IF($G33="Zone",Paramètres!$B$13,1)+$O33,2)</f>
        <v>2.2</v>
      </c>
    </row>
    <row r="34" customFormat="false" ht="27.75" hidden="false" customHeight="true" outlineLevel="0" collapsed="false">
      <c r="A34" s="9" t="s">
        <v>677</v>
      </c>
      <c r="B34" s="10" t="s">
        <v>653</v>
      </c>
      <c r="C34" s="18" t="s">
        <v>678</v>
      </c>
      <c r="D34" s="18" t="s">
        <v>678</v>
      </c>
      <c r="E34" s="10" t="s">
        <v>568</v>
      </c>
      <c r="F34" s="10" t="s">
        <v>569</v>
      </c>
      <c r="G34" s="19" t="s">
        <v>584</v>
      </c>
      <c r="H34" s="13" t="n">
        <f aca="false">IF($F34="Passif","—",IF($N34&lt;=Paramètres!$B$19,0,IF($I34="Oui",3,IF($P34&lt;=Paramètres!$B$14,1,IF($P34&lt;=Paramètres!$B$15,2,3)))))</f>
        <v>3</v>
      </c>
      <c r="I34" s="19" t="s">
        <v>594</v>
      </c>
      <c r="J34" s="20" t="n">
        <v>1.6</v>
      </c>
      <c r="K34" s="10" t="s">
        <v>656</v>
      </c>
      <c r="L34" s="21" t="s">
        <v>679</v>
      </c>
      <c r="M34" s="19" t="s">
        <v>574</v>
      </c>
      <c r="N34" s="22" t="n">
        <v>30</v>
      </c>
      <c r="O34" s="23" t="n">
        <v>0.3</v>
      </c>
      <c r="P34" s="24" t="n">
        <f aca="false">ROUND($J34*IF($G34="Zone",Paramètres!$B$13,1)+$O34,2)</f>
        <v>3.5</v>
      </c>
    </row>
    <row r="35" customFormat="false" ht="27.75" hidden="false" customHeight="true" outlineLevel="0" collapsed="false">
      <c r="A35" s="9" t="s">
        <v>680</v>
      </c>
      <c r="B35" s="10" t="s">
        <v>653</v>
      </c>
      <c r="C35" s="18" t="s">
        <v>681</v>
      </c>
      <c r="D35" s="18" t="s">
        <v>682</v>
      </c>
      <c r="E35" s="10" t="s">
        <v>568</v>
      </c>
      <c r="F35" s="10" t="s">
        <v>569</v>
      </c>
      <c r="G35" s="19" t="s">
        <v>570</v>
      </c>
      <c r="H35" s="13" t="n">
        <f aca="false">IF($F35="Passif","—",IF($N35&lt;=Paramètres!$B$19,0,IF($I35="Oui",3,IF($P35&lt;=Paramètres!$B$14,1,IF($P35&lt;=Paramètres!$B$15,2,3)))))</f>
        <v>3</v>
      </c>
      <c r="I35" s="19" t="s">
        <v>594</v>
      </c>
      <c r="J35" s="20" t="n">
        <v>3</v>
      </c>
      <c r="K35" s="10" t="s">
        <v>656</v>
      </c>
      <c r="L35" s="21" t="s">
        <v>683</v>
      </c>
      <c r="M35" s="19" t="s">
        <v>574</v>
      </c>
      <c r="N35" s="22" t="n">
        <v>60</v>
      </c>
      <c r="O35" s="23" t="n">
        <v>0.2</v>
      </c>
      <c r="P35" s="24" t="n">
        <f aca="false">ROUND($J35*IF($G35="Zone",Paramètres!$B$13,1)+$O35,2)</f>
        <v>3.2</v>
      </c>
    </row>
    <row r="36" customFormat="false" ht="27.75" hidden="false" customHeight="true" outlineLevel="0" collapsed="false">
      <c r="A36" s="9" t="s">
        <v>684</v>
      </c>
      <c r="B36" s="10" t="s">
        <v>653</v>
      </c>
      <c r="C36" s="18" t="s">
        <v>685</v>
      </c>
      <c r="D36" s="18" t="s">
        <v>685</v>
      </c>
      <c r="E36" s="10" t="s">
        <v>601</v>
      </c>
      <c r="F36" s="10" t="s">
        <v>616</v>
      </c>
      <c r="G36" s="19" t="s">
        <v>603</v>
      </c>
      <c r="H36" s="13" t="n">
        <f aca="false">IF($F36="Passif","—",IF($N36&lt;=Paramètres!$B$19,0,IF($I36="Oui",3,IF($P36&lt;=Paramètres!$B$14,1,IF($P36&lt;=Paramètres!$B$15,2,3)))))</f>
        <v>2</v>
      </c>
      <c r="I36" s="19" t="s">
        <v>571</v>
      </c>
      <c r="J36" s="20" t="n">
        <v>0</v>
      </c>
      <c r="K36" s="10" t="s">
        <v>656</v>
      </c>
      <c r="L36" s="21" t="s">
        <v>686</v>
      </c>
      <c r="M36" s="19" t="s">
        <v>574</v>
      </c>
      <c r="N36" s="22" t="n">
        <v>5</v>
      </c>
      <c r="O36" s="23" t="n">
        <v>1.4</v>
      </c>
      <c r="P36" s="24" t="n">
        <f aca="false">ROUND($J36*IF($G36="Zone",Paramètres!$B$13,1)+$O36,2)</f>
        <v>1.4</v>
      </c>
    </row>
    <row r="37" customFormat="false" ht="27.75" hidden="false" customHeight="true" outlineLevel="0" collapsed="false">
      <c r="A37" s="9" t="s">
        <v>687</v>
      </c>
      <c r="B37" s="10" t="s">
        <v>653</v>
      </c>
      <c r="C37" s="18" t="s">
        <v>621</v>
      </c>
      <c r="D37" s="18" t="s">
        <v>621</v>
      </c>
      <c r="E37" s="10" t="s">
        <v>601</v>
      </c>
      <c r="F37" s="10" t="s">
        <v>621</v>
      </c>
      <c r="G37" s="19" t="s">
        <v>603</v>
      </c>
      <c r="H37" s="13" t="n">
        <f aca="false">IF($F37="Passif","—",IF($N37&lt;=Paramètres!$B$19,0,IF($I37="Oui",3,IF($P37&lt;=Paramètres!$B$14,1,IF($P37&lt;=Paramètres!$B$15,2,3)))))</f>
        <v>2</v>
      </c>
      <c r="I37" s="19" t="s">
        <v>571</v>
      </c>
      <c r="J37" s="20" t="n">
        <v>0</v>
      </c>
      <c r="K37" s="10" t="s">
        <v>656</v>
      </c>
      <c r="L37" s="21" t="s">
        <v>688</v>
      </c>
      <c r="M37" s="19" t="s">
        <v>574</v>
      </c>
      <c r="N37" s="22" t="n">
        <v>10</v>
      </c>
      <c r="O37" s="23" t="n">
        <v>1.8</v>
      </c>
      <c r="P37" s="24" t="n">
        <f aca="false">ROUND($J37*IF($G37="Zone",Paramètres!$B$13,1)+$O37,2)</f>
        <v>1.8</v>
      </c>
    </row>
    <row r="38" customFormat="false" ht="27.75" hidden="false" customHeight="true" outlineLevel="0" collapsed="false">
      <c r="A38" s="9" t="s">
        <v>689</v>
      </c>
      <c r="B38" s="10" t="s">
        <v>653</v>
      </c>
      <c r="C38" s="18" t="s">
        <v>690</v>
      </c>
      <c r="D38" s="18" t="s">
        <v>690</v>
      </c>
      <c r="E38" s="10" t="s">
        <v>601</v>
      </c>
      <c r="F38" s="10" t="s">
        <v>602</v>
      </c>
      <c r="G38" s="19" t="s">
        <v>603</v>
      </c>
      <c r="H38" s="13" t="n">
        <f aca="false">IF($F38="Passif","—",IF($N38&lt;=Paramètres!$B$19,0,IF($I38="Oui",3,IF($P38&lt;=Paramètres!$B$14,1,IF($P38&lt;=Paramètres!$B$15,2,3)))))</f>
        <v>2</v>
      </c>
      <c r="I38" s="19" t="s">
        <v>571</v>
      </c>
      <c r="J38" s="20" t="n">
        <v>0</v>
      </c>
      <c r="K38" s="10" t="s">
        <v>656</v>
      </c>
      <c r="L38" s="21" t="s">
        <v>691</v>
      </c>
      <c r="M38" s="19" t="s">
        <v>574</v>
      </c>
      <c r="N38" s="22" t="n">
        <v>15</v>
      </c>
      <c r="O38" s="23" t="n">
        <v>1.6</v>
      </c>
      <c r="P38" s="24" t="n">
        <f aca="false">ROUND($J38*IF($G38="Zone",Paramètres!$B$13,1)+$O38,2)</f>
        <v>1.6</v>
      </c>
    </row>
    <row r="39" customFormat="false" ht="27.75" hidden="false" customHeight="true" outlineLevel="0" collapsed="false">
      <c r="A39" s="9" t="s">
        <v>692</v>
      </c>
      <c r="B39" s="10" t="s">
        <v>653</v>
      </c>
      <c r="C39" s="18" t="s">
        <v>693</v>
      </c>
      <c r="D39" s="18" t="s">
        <v>693</v>
      </c>
      <c r="E39" s="10" t="s">
        <v>601</v>
      </c>
      <c r="F39" s="10" t="s">
        <v>607</v>
      </c>
      <c r="G39" s="19" t="s">
        <v>570</v>
      </c>
      <c r="H39" s="13" t="n">
        <f aca="false">IF($F39="Passif","—",IF($N39&lt;=Paramètres!$B$19,0,IF($I39="Oui",3,IF($P39&lt;=Paramètres!$B$14,1,IF($P39&lt;=Paramètres!$B$15,2,3)))))</f>
        <v>2</v>
      </c>
      <c r="I39" s="19" t="s">
        <v>571</v>
      </c>
      <c r="J39" s="20" t="n">
        <v>0</v>
      </c>
      <c r="K39" s="10" t="s">
        <v>656</v>
      </c>
      <c r="L39" s="21" t="s">
        <v>694</v>
      </c>
      <c r="M39" s="19" t="s">
        <v>574</v>
      </c>
      <c r="N39" s="22" t="n">
        <v>20</v>
      </c>
      <c r="O39" s="23" t="n">
        <v>1.5</v>
      </c>
      <c r="P39" s="24" t="n">
        <f aca="false">ROUND($J39*IF($G39="Zone",Paramètres!$B$13,1)+$O39,2)</f>
        <v>1.5</v>
      </c>
    </row>
    <row r="40" customFormat="false" ht="27.75" hidden="false" customHeight="true" outlineLevel="0" collapsed="false">
      <c r="A40" s="9" t="s">
        <v>695</v>
      </c>
      <c r="B40" s="10" t="s">
        <v>653</v>
      </c>
      <c r="C40" s="18" t="s">
        <v>696</v>
      </c>
      <c r="D40" s="18" t="s">
        <v>696</v>
      </c>
      <c r="E40" s="10" t="s">
        <v>601</v>
      </c>
      <c r="F40" s="10" t="s">
        <v>621</v>
      </c>
      <c r="G40" s="19" t="s">
        <v>603</v>
      </c>
      <c r="H40" s="13" t="n">
        <f aca="false">IF($F40="Passif","—",IF($N40&lt;=Paramètres!$B$19,0,IF($I40="Oui",3,IF($P40&lt;=Paramètres!$B$14,1,IF($P40&lt;=Paramètres!$B$15,2,3)))))</f>
        <v>2</v>
      </c>
      <c r="I40" s="19" t="s">
        <v>571</v>
      </c>
      <c r="J40" s="20" t="n">
        <v>0</v>
      </c>
      <c r="K40" s="10" t="s">
        <v>656</v>
      </c>
      <c r="L40" s="21" t="s">
        <v>697</v>
      </c>
      <c r="M40" s="19" t="s">
        <v>574</v>
      </c>
      <c r="N40" s="22" t="n">
        <v>28</v>
      </c>
      <c r="O40" s="23" t="n">
        <v>2</v>
      </c>
      <c r="P40" s="24" t="n">
        <f aca="false">ROUND($J40*IF($G40="Zone",Paramètres!$B$13,1)+$O40,2)</f>
        <v>2</v>
      </c>
    </row>
    <row r="41" customFormat="false" ht="27.75" hidden="false" customHeight="true" outlineLevel="0" collapsed="false">
      <c r="A41" s="9" t="s">
        <v>698</v>
      </c>
      <c r="B41" s="10" t="s">
        <v>653</v>
      </c>
      <c r="C41" s="18" t="s">
        <v>699</v>
      </c>
      <c r="D41" s="18" t="s">
        <v>699</v>
      </c>
      <c r="E41" s="10" t="s">
        <v>601</v>
      </c>
      <c r="F41" s="10" t="s">
        <v>621</v>
      </c>
      <c r="G41" s="19" t="s">
        <v>603</v>
      </c>
      <c r="H41" s="13" t="n">
        <f aca="false">IF($F41="Passif","—",IF($N41&lt;=Paramètres!$B$19,0,IF($I41="Oui",3,IF($P41&lt;=Paramètres!$B$14,1,IF($P41&lt;=Paramètres!$B$15,2,3)))))</f>
        <v>2</v>
      </c>
      <c r="I41" s="19" t="s">
        <v>571</v>
      </c>
      <c r="J41" s="20" t="n">
        <v>0</v>
      </c>
      <c r="K41" s="10" t="s">
        <v>656</v>
      </c>
      <c r="L41" s="21" t="s">
        <v>700</v>
      </c>
      <c r="M41" s="19" t="s">
        <v>574</v>
      </c>
      <c r="N41" s="22" t="n">
        <v>40</v>
      </c>
      <c r="O41" s="23" t="n">
        <v>1.8</v>
      </c>
      <c r="P41" s="24" t="n">
        <f aca="false">ROUND($J41*IF($G41="Zone",Paramètres!$B$13,1)+$O41,2)</f>
        <v>1.8</v>
      </c>
    </row>
    <row r="42" customFormat="false" ht="27.75" hidden="false" customHeight="true" outlineLevel="0" collapsed="false">
      <c r="A42" s="9" t="s">
        <v>701</v>
      </c>
      <c r="B42" s="10" t="s">
        <v>653</v>
      </c>
      <c r="C42" s="18" t="s">
        <v>702</v>
      </c>
      <c r="D42" s="18" t="s">
        <v>702</v>
      </c>
      <c r="E42" s="10" t="s">
        <v>601</v>
      </c>
      <c r="F42" s="10" t="s">
        <v>621</v>
      </c>
      <c r="G42" s="19" t="s">
        <v>603</v>
      </c>
      <c r="H42" s="13" t="n">
        <f aca="false">IF($F42="Passif","—",IF($N42&lt;=Paramètres!$B$19,0,IF($I42="Oui",3,IF($P42&lt;=Paramètres!$B$14,1,IF($P42&lt;=Paramètres!$B$15,2,3)))))</f>
        <v>3</v>
      </c>
      <c r="I42" s="19" t="s">
        <v>594</v>
      </c>
      <c r="J42" s="20" t="n">
        <v>0</v>
      </c>
      <c r="K42" s="10" t="s">
        <v>656</v>
      </c>
      <c r="L42" s="21" t="s">
        <v>703</v>
      </c>
      <c r="M42" s="19" t="s">
        <v>574</v>
      </c>
      <c r="N42" s="22" t="n">
        <v>50</v>
      </c>
      <c r="O42" s="23" t="n">
        <v>2.5</v>
      </c>
      <c r="P42" s="24" t="n">
        <f aca="false">ROUND($J42*IF($G42="Zone",Paramètres!$B$13,1)+$O42,2)</f>
        <v>2.5</v>
      </c>
    </row>
    <row r="43" customFormat="false" ht="27.75" hidden="false" customHeight="true" outlineLevel="0" collapsed="false">
      <c r="A43" s="9" t="s">
        <v>382</v>
      </c>
      <c r="B43" s="10" t="s">
        <v>653</v>
      </c>
      <c r="C43" s="18" t="s">
        <v>704</v>
      </c>
      <c r="D43" s="18" t="s">
        <v>630</v>
      </c>
      <c r="E43" s="10" t="s">
        <v>631</v>
      </c>
      <c r="F43" s="10" t="s">
        <v>631</v>
      </c>
      <c r="G43" s="19" t="s">
        <v>603</v>
      </c>
      <c r="H43" s="22" t="s">
        <v>630</v>
      </c>
      <c r="I43" s="19" t="s">
        <v>571</v>
      </c>
      <c r="J43" s="20" t="n">
        <v>0</v>
      </c>
      <c r="K43" s="10" t="s">
        <v>630</v>
      </c>
      <c r="L43" s="21" t="s">
        <v>705</v>
      </c>
      <c r="M43" s="19" t="s">
        <v>633</v>
      </c>
      <c r="N43" s="22" t="n">
        <v>1</v>
      </c>
      <c r="O43" s="14" t="s">
        <v>630</v>
      </c>
      <c r="P43" s="14" t="s">
        <v>630</v>
      </c>
    </row>
    <row r="44" customFormat="false" ht="27.75" hidden="false" customHeight="true" outlineLevel="0" collapsed="false">
      <c r="A44" s="9" t="s">
        <v>383</v>
      </c>
      <c r="B44" s="10" t="s">
        <v>653</v>
      </c>
      <c r="C44" s="18" t="s">
        <v>706</v>
      </c>
      <c r="D44" s="18" t="s">
        <v>630</v>
      </c>
      <c r="E44" s="10" t="s">
        <v>631</v>
      </c>
      <c r="F44" s="10" t="s">
        <v>631</v>
      </c>
      <c r="G44" s="19" t="s">
        <v>603</v>
      </c>
      <c r="H44" s="22" t="s">
        <v>630</v>
      </c>
      <c r="I44" s="19" t="s">
        <v>571</v>
      </c>
      <c r="J44" s="20" t="n">
        <v>0</v>
      </c>
      <c r="K44" s="10" t="s">
        <v>630</v>
      </c>
      <c r="L44" s="21" t="s">
        <v>707</v>
      </c>
      <c r="M44" s="19" t="s">
        <v>633</v>
      </c>
      <c r="N44" s="22" t="n">
        <v>10</v>
      </c>
      <c r="O44" s="14" t="s">
        <v>630</v>
      </c>
      <c r="P44" s="14" t="s">
        <v>630</v>
      </c>
    </row>
    <row r="45" customFormat="false" ht="27.75" hidden="false" customHeight="true" outlineLevel="0" collapsed="false">
      <c r="A45" s="9" t="s">
        <v>384</v>
      </c>
      <c r="B45" s="10" t="s">
        <v>653</v>
      </c>
      <c r="C45" s="18" t="s">
        <v>708</v>
      </c>
      <c r="D45" s="18" t="s">
        <v>630</v>
      </c>
      <c r="E45" s="10" t="s">
        <v>631</v>
      </c>
      <c r="F45" s="10" t="s">
        <v>631</v>
      </c>
      <c r="G45" s="19" t="s">
        <v>603</v>
      </c>
      <c r="H45" s="22" t="s">
        <v>630</v>
      </c>
      <c r="I45" s="19" t="s">
        <v>571</v>
      </c>
      <c r="J45" s="20" t="n">
        <v>0</v>
      </c>
      <c r="K45" s="10" t="s">
        <v>630</v>
      </c>
      <c r="L45" s="21" t="s">
        <v>709</v>
      </c>
      <c r="M45" s="19" t="s">
        <v>710</v>
      </c>
      <c r="N45" s="22" t="n">
        <v>20</v>
      </c>
      <c r="O45" s="14" t="s">
        <v>630</v>
      </c>
      <c r="P45" s="14" t="s">
        <v>630</v>
      </c>
    </row>
    <row r="46" customFormat="false" ht="27.75" hidden="false" customHeight="true" outlineLevel="0" collapsed="false">
      <c r="A46" s="9" t="s">
        <v>385</v>
      </c>
      <c r="B46" s="10" t="s">
        <v>653</v>
      </c>
      <c r="C46" s="18" t="s">
        <v>711</v>
      </c>
      <c r="D46" s="18" t="s">
        <v>630</v>
      </c>
      <c r="E46" s="10" t="s">
        <v>631</v>
      </c>
      <c r="F46" s="10" t="s">
        <v>631</v>
      </c>
      <c r="G46" s="19" t="s">
        <v>603</v>
      </c>
      <c r="H46" s="22" t="s">
        <v>630</v>
      </c>
      <c r="I46" s="19" t="s">
        <v>571</v>
      </c>
      <c r="J46" s="20" t="n">
        <v>0</v>
      </c>
      <c r="K46" s="10" t="s">
        <v>630</v>
      </c>
      <c r="L46" s="21" t="s">
        <v>712</v>
      </c>
      <c r="M46" s="19" t="s">
        <v>633</v>
      </c>
      <c r="N46" s="22" t="n">
        <v>30</v>
      </c>
      <c r="O46" s="14" t="s">
        <v>630</v>
      </c>
      <c r="P46" s="14" t="s">
        <v>630</v>
      </c>
    </row>
    <row r="47" customFormat="false" ht="27.75" hidden="false" customHeight="true" outlineLevel="0" collapsed="false">
      <c r="A47" s="9" t="s">
        <v>386</v>
      </c>
      <c r="B47" s="10" t="s">
        <v>653</v>
      </c>
      <c r="C47" s="18" t="s">
        <v>713</v>
      </c>
      <c r="D47" s="18" t="s">
        <v>630</v>
      </c>
      <c r="E47" s="10" t="s">
        <v>631</v>
      </c>
      <c r="F47" s="10" t="s">
        <v>631</v>
      </c>
      <c r="G47" s="19" t="s">
        <v>603</v>
      </c>
      <c r="H47" s="22" t="s">
        <v>630</v>
      </c>
      <c r="I47" s="19" t="s">
        <v>571</v>
      </c>
      <c r="J47" s="20" t="n">
        <v>0</v>
      </c>
      <c r="K47" s="10" t="s">
        <v>630</v>
      </c>
      <c r="L47" s="21" t="s">
        <v>714</v>
      </c>
      <c r="M47" s="19" t="s">
        <v>646</v>
      </c>
      <c r="N47" s="22" t="n">
        <v>40</v>
      </c>
      <c r="O47" s="14" t="s">
        <v>630</v>
      </c>
      <c r="P47" s="14" t="s">
        <v>630</v>
      </c>
    </row>
    <row r="48" customFormat="false" ht="27.75" hidden="false" customHeight="true" outlineLevel="0" collapsed="false">
      <c r="A48" s="9" t="s">
        <v>387</v>
      </c>
      <c r="B48" s="10" t="s">
        <v>653</v>
      </c>
      <c r="C48" s="18" t="s">
        <v>715</v>
      </c>
      <c r="D48" s="18" t="s">
        <v>630</v>
      </c>
      <c r="E48" s="10" t="s">
        <v>631</v>
      </c>
      <c r="F48" s="10" t="s">
        <v>631</v>
      </c>
      <c r="G48" s="19" t="s">
        <v>603</v>
      </c>
      <c r="H48" s="22" t="s">
        <v>630</v>
      </c>
      <c r="I48" s="19" t="s">
        <v>571</v>
      </c>
      <c r="J48" s="20" t="n">
        <v>0</v>
      </c>
      <c r="K48" s="10" t="s">
        <v>630</v>
      </c>
      <c r="L48" s="21" t="s">
        <v>716</v>
      </c>
      <c r="M48" s="19" t="s">
        <v>633</v>
      </c>
      <c r="N48" s="22" t="n">
        <v>50</v>
      </c>
      <c r="O48" s="14" t="s">
        <v>630</v>
      </c>
      <c r="P48" s="14" t="s">
        <v>630</v>
      </c>
    </row>
    <row r="49" customFormat="false" ht="27.75" hidden="false" customHeight="true" outlineLevel="0" collapsed="false">
      <c r="A49" s="9" t="s">
        <v>388</v>
      </c>
      <c r="B49" s="10" t="s">
        <v>653</v>
      </c>
      <c r="C49" s="18" t="s">
        <v>717</v>
      </c>
      <c r="D49" s="18" t="s">
        <v>630</v>
      </c>
      <c r="E49" s="10" t="s">
        <v>631</v>
      </c>
      <c r="F49" s="10" t="s">
        <v>631</v>
      </c>
      <c r="G49" s="19" t="s">
        <v>603</v>
      </c>
      <c r="H49" s="22" t="s">
        <v>630</v>
      </c>
      <c r="I49" s="19" t="s">
        <v>571</v>
      </c>
      <c r="J49" s="20" t="n">
        <v>0</v>
      </c>
      <c r="K49" s="10" t="s">
        <v>630</v>
      </c>
      <c r="L49" s="21" t="s">
        <v>718</v>
      </c>
      <c r="M49" s="19" t="s">
        <v>646</v>
      </c>
      <c r="N49" s="22" t="n">
        <v>60</v>
      </c>
      <c r="O49" s="14" t="s">
        <v>630</v>
      </c>
      <c r="P49" s="14" t="s">
        <v>630</v>
      </c>
    </row>
    <row r="50" customFormat="false" ht="27.75" hidden="false" customHeight="true" outlineLevel="0" collapsed="false">
      <c r="A50" s="9" t="s">
        <v>389</v>
      </c>
      <c r="B50" s="10" t="s">
        <v>653</v>
      </c>
      <c r="C50" s="18" t="s">
        <v>719</v>
      </c>
      <c r="D50" s="18" t="s">
        <v>630</v>
      </c>
      <c r="E50" s="10" t="s">
        <v>631</v>
      </c>
      <c r="F50" s="10" t="s">
        <v>631</v>
      </c>
      <c r="G50" s="19" t="s">
        <v>603</v>
      </c>
      <c r="H50" s="22" t="s">
        <v>630</v>
      </c>
      <c r="I50" s="19" t="s">
        <v>571</v>
      </c>
      <c r="J50" s="20" t="n">
        <v>0</v>
      </c>
      <c r="K50" s="10" t="s">
        <v>630</v>
      </c>
      <c r="L50" s="21" t="s">
        <v>720</v>
      </c>
      <c r="M50" s="19" t="s">
        <v>710</v>
      </c>
      <c r="N50" s="22" t="n">
        <v>70</v>
      </c>
      <c r="O50" s="14" t="s">
        <v>630</v>
      </c>
      <c r="P50" s="14" t="s">
        <v>630</v>
      </c>
    </row>
    <row r="51" customFormat="false" ht="27.75" hidden="false" customHeight="true" outlineLevel="0" collapsed="false">
      <c r="A51" s="9" t="s">
        <v>721</v>
      </c>
      <c r="B51" s="10" t="s">
        <v>722</v>
      </c>
      <c r="C51" s="18" t="s">
        <v>723</v>
      </c>
      <c r="D51" s="18" t="s">
        <v>723</v>
      </c>
      <c r="E51" s="10" t="s">
        <v>568</v>
      </c>
      <c r="F51" s="10" t="s">
        <v>569</v>
      </c>
      <c r="G51" s="19" t="s">
        <v>570</v>
      </c>
      <c r="H51" s="13" t="n">
        <f aca="false">IF($F51="Passif","—",IF($N51&lt;=Paramètres!$B$19,0,IF($I51="Oui",3,IF($P51&lt;=Paramètres!$B$14,1,IF($P51&lt;=Paramètres!$B$15,2,3)))))</f>
        <v>0</v>
      </c>
      <c r="I51" s="19" t="s">
        <v>571</v>
      </c>
      <c r="J51" s="20" t="n">
        <v>1</v>
      </c>
      <c r="K51" s="10" t="s">
        <v>572</v>
      </c>
      <c r="L51" s="21" t="s">
        <v>724</v>
      </c>
      <c r="M51" s="19" t="s">
        <v>574</v>
      </c>
      <c r="N51" s="22" t="n">
        <v>1</v>
      </c>
      <c r="O51" s="23" t="n">
        <v>0</v>
      </c>
      <c r="P51" s="24" t="n">
        <f aca="false">ROUND($J51*IF($G51="Zone",Paramètres!$B$13,1)+$O51,2)</f>
        <v>1</v>
      </c>
    </row>
    <row r="52" customFormat="false" ht="27.75" hidden="false" customHeight="true" outlineLevel="0" collapsed="false">
      <c r="A52" s="9" t="s">
        <v>725</v>
      </c>
      <c r="B52" s="10" t="s">
        <v>722</v>
      </c>
      <c r="C52" s="18" t="s">
        <v>726</v>
      </c>
      <c r="D52" s="18" t="s">
        <v>726</v>
      </c>
      <c r="E52" s="10" t="s">
        <v>568</v>
      </c>
      <c r="F52" s="10" t="s">
        <v>569</v>
      </c>
      <c r="G52" s="19" t="s">
        <v>570</v>
      </c>
      <c r="H52" s="13" t="n">
        <f aca="false">IF($F52="Passif","—",IF($N52&lt;=Paramètres!$B$19,0,IF($I52="Oui",3,IF($P52&lt;=Paramètres!$B$14,1,IF($P52&lt;=Paramètres!$B$15,2,3)))))</f>
        <v>0</v>
      </c>
      <c r="I52" s="19" t="s">
        <v>571</v>
      </c>
      <c r="J52" s="20" t="n">
        <v>0.9</v>
      </c>
      <c r="K52" s="10" t="s">
        <v>572</v>
      </c>
      <c r="L52" s="21" t="s">
        <v>727</v>
      </c>
      <c r="M52" s="19" t="s">
        <v>574</v>
      </c>
      <c r="N52" s="22" t="n">
        <v>1</v>
      </c>
      <c r="O52" s="23" t="n">
        <v>0.4</v>
      </c>
      <c r="P52" s="24" t="n">
        <f aca="false">ROUND($J52*IF($G52="Zone",Paramètres!$B$13,1)+$O52,2)</f>
        <v>1.3</v>
      </c>
    </row>
    <row r="53" customFormat="false" ht="27.75" hidden="false" customHeight="true" outlineLevel="0" collapsed="false">
      <c r="A53" s="9" t="s">
        <v>728</v>
      </c>
      <c r="B53" s="10" t="s">
        <v>722</v>
      </c>
      <c r="C53" s="18" t="s">
        <v>729</v>
      </c>
      <c r="D53" s="18" t="s">
        <v>729</v>
      </c>
      <c r="E53" s="10" t="s">
        <v>568</v>
      </c>
      <c r="F53" s="10" t="s">
        <v>569</v>
      </c>
      <c r="G53" s="19" t="s">
        <v>584</v>
      </c>
      <c r="H53" s="13" t="n">
        <f aca="false">IF($F53="Passif","—",IF($N53&lt;=Paramètres!$B$19,0,IF($I53="Oui",3,IF($P53&lt;=Paramètres!$B$14,1,IF($P53&lt;=Paramètres!$B$15,2,3)))))</f>
        <v>2</v>
      </c>
      <c r="I53" s="19" t="s">
        <v>571</v>
      </c>
      <c r="J53" s="20" t="n">
        <v>0.8</v>
      </c>
      <c r="K53" s="10" t="s">
        <v>572</v>
      </c>
      <c r="L53" s="21" t="s">
        <v>585</v>
      </c>
      <c r="M53" s="19" t="s">
        <v>574</v>
      </c>
      <c r="N53" s="22" t="n">
        <v>8</v>
      </c>
      <c r="O53" s="23" t="n">
        <v>0</v>
      </c>
      <c r="P53" s="24" t="n">
        <f aca="false">ROUND($J53*IF($G53="Zone",Paramètres!$B$13,1)+$O53,2)</f>
        <v>1.6</v>
      </c>
    </row>
    <row r="54" customFormat="false" ht="27.75" hidden="false" customHeight="true" outlineLevel="0" collapsed="false">
      <c r="A54" s="9" t="s">
        <v>730</v>
      </c>
      <c r="B54" s="10" t="s">
        <v>722</v>
      </c>
      <c r="C54" s="18" t="s">
        <v>731</v>
      </c>
      <c r="D54" s="18" t="s">
        <v>731</v>
      </c>
      <c r="E54" s="10" t="s">
        <v>568</v>
      </c>
      <c r="F54" s="10" t="s">
        <v>569</v>
      </c>
      <c r="G54" s="19" t="s">
        <v>570</v>
      </c>
      <c r="H54" s="13" t="n">
        <f aca="false">IF($F54="Passif","—",IF($N54&lt;=Paramètres!$B$19,0,IF($I54="Oui",3,IF($P54&lt;=Paramètres!$B$14,1,IF($P54&lt;=Paramètres!$B$15,2,3)))))</f>
        <v>1</v>
      </c>
      <c r="I54" s="19" t="s">
        <v>571</v>
      </c>
      <c r="J54" s="20" t="n">
        <v>0.9</v>
      </c>
      <c r="K54" s="10" t="s">
        <v>572</v>
      </c>
      <c r="L54" s="21" t="s">
        <v>732</v>
      </c>
      <c r="M54" s="19" t="s">
        <v>574</v>
      </c>
      <c r="N54" s="22" t="n">
        <v>12</v>
      </c>
      <c r="O54" s="23" t="n">
        <v>0.1</v>
      </c>
      <c r="P54" s="24" t="n">
        <f aca="false">ROUND($J54*IF($G54="Zone",Paramètres!$B$13,1)+$O54,2)</f>
        <v>1</v>
      </c>
    </row>
    <row r="55" customFormat="false" ht="27.75" hidden="false" customHeight="true" outlineLevel="0" collapsed="false">
      <c r="A55" s="9" t="s">
        <v>733</v>
      </c>
      <c r="B55" s="10" t="s">
        <v>722</v>
      </c>
      <c r="C55" s="18" t="s">
        <v>734</v>
      </c>
      <c r="D55" s="18" t="s">
        <v>734</v>
      </c>
      <c r="E55" s="10" t="s">
        <v>568</v>
      </c>
      <c r="F55" s="10" t="s">
        <v>569</v>
      </c>
      <c r="G55" s="19" t="s">
        <v>570</v>
      </c>
      <c r="H55" s="13" t="n">
        <f aca="false">IF($F55="Passif","—",IF($N55&lt;=Paramètres!$B$19,0,IF($I55="Oui",3,IF($P55&lt;=Paramètres!$B$14,1,IF($P55&lt;=Paramètres!$B$15,2,3)))))</f>
        <v>2</v>
      </c>
      <c r="I55" s="19" t="s">
        <v>571</v>
      </c>
      <c r="J55" s="20" t="n">
        <v>1.5</v>
      </c>
      <c r="K55" s="10" t="s">
        <v>572</v>
      </c>
      <c r="L55" s="21" t="s">
        <v>735</v>
      </c>
      <c r="M55" s="19" t="s">
        <v>574</v>
      </c>
      <c r="N55" s="22" t="n">
        <v>18</v>
      </c>
      <c r="O55" s="23" t="n">
        <v>0.5</v>
      </c>
      <c r="P55" s="24" t="n">
        <f aca="false">ROUND($J55*IF($G55="Zone",Paramètres!$B$13,1)+$O55,2)</f>
        <v>2</v>
      </c>
    </row>
    <row r="56" customFormat="false" ht="27.75" hidden="false" customHeight="true" outlineLevel="0" collapsed="false">
      <c r="A56" s="9" t="s">
        <v>736</v>
      </c>
      <c r="B56" s="10" t="s">
        <v>722</v>
      </c>
      <c r="C56" s="18" t="s">
        <v>737</v>
      </c>
      <c r="D56" s="18" t="s">
        <v>738</v>
      </c>
      <c r="E56" s="10" t="s">
        <v>568</v>
      </c>
      <c r="F56" s="10" t="s">
        <v>569</v>
      </c>
      <c r="G56" s="19" t="s">
        <v>584</v>
      </c>
      <c r="H56" s="13" t="n">
        <f aca="false">IF($F56="Passif","—",IF($N56&lt;=Paramètres!$B$19,0,IF($I56="Oui",3,IF($P56&lt;=Paramètres!$B$14,1,IF($P56&lt;=Paramètres!$B$15,2,3)))))</f>
        <v>2</v>
      </c>
      <c r="I56" s="19" t="s">
        <v>571</v>
      </c>
      <c r="J56" s="20" t="n">
        <v>0.9</v>
      </c>
      <c r="K56" s="10" t="s">
        <v>572</v>
      </c>
      <c r="L56" s="21" t="s">
        <v>739</v>
      </c>
      <c r="M56" s="19" t="s">
        <v>574</v>
      </c>
      <c r="N56" s="22" t="n">
        <v>25</v>
      </c>
      <c r="O56" s="23" t="n">
        <v>0.2</v>
      </c>
      <c r="P56" s="24" t="n">
        <f aca="false">ROUND($J56*IF($G56="Zone",Paramètres!$B$13,1)+$O56,2)</f>
        <v>2</v>
      </c>
    </row>
    <row r="57" customFormat="false" ht="27.75" hidden="false" customHeight="true" outlineLevel="0" collapsed="false">
      <c r="A57" s="9" t="s">
        <v>740</v>
      </c>
      <c r="B57" s="10" t="s">
        <v>722</v>
      </c>
      <c r="C57" s="18" t="s">
        <v>741</v>
      </c>
      <c r="D57" s="18" t="s">
        <v>741</v>
      </c>
      <c r="E57" s="10" t="s">
        <v>568</v>
      </c>
      <c r="F57" s="10" t="s">
        <v>569</v>
      </c>
      <c r="G57" s="19" t="s">
        <v>570</v>
      </c>
      <c r="H57" s="13" t="n">
        <f aca="false">IF($F57="Passif","—",IF($N57&lt;=Paramètres!$B$19,0,IF($I57="Oui",3,IF($P57&lt;=Paramètres!$B$14,1,IF($P57&lt;=Paramètres!$B$15,2,3)))))</f>
        <v>3</v>
      </c>
      <c r="I57" s="19" t="s">
        <v>594</v>
      </c>
      <c r="J57" s="20" t="n">
        <v>2.8</v>
      </c>
      <c r="K57" s="10" t="s">
        <v>572</v>
      </c>
      <c r="L57" s="21" t="s">
        <v>742</v>
      </c>
      <c r="M57" s="19" t="s">
        <v>574</v>
      </c>
      <c r="N57" s="22" t="n">
        <v>30</v>
      </c>
      <c r="O57" s="23" t="n">
        <v>0.5</v>
      </c>
      <c r="P57" s="24" t="n">
        <f aca="false">ROUND($J57*IF($G57="Zone",Paramètres!$B$13,1)+$O57,2)</f>
        <v>3.3</v>
      </c>
    </row>
    <row r="58" customFormat="false" ht="27.75" hidden="false" customHeight="true" outlineLevel="0" collapsed="false">
      <c r="A58" s="9" t="s">
        <v>743</v>
      </c>
      <c r="B58" s="10" t="s">
        <v>722</v>
      </c>
      <c r="C58" s="18" t="s">
        <v>744</v>
      </c>
      <c r="D58" s="18" t="s">
        <v>745</v>
      </c>
      <c r="E58" s="10" t="s">
        <v>568</v>
      </c>
      <c r="F58" s="10" t="s">
        <v>569</v>
      </c>
      <c r="G58" s="19" t="s">
        <v>584</v>
      </c>
      <c r="H58" s="13" t="n">
        <f aca="false">IF($F58="Passif","—",IF($N58&lt;=Paramètres!$B$19,0,IF($I58="Oui",3,IF($P58&lt;=Paramètres!$B$14,1,IF($P58&lt;=Paramètres!$B$15,2,3)))))</f>
        <v>3</v>
      </c>
      <c r="I58" s="19" t="s">
        <v>594</v>
      </c>
      <c r="J58" s="20" t="n">
        <v>1.5</v>
      </c>
      <c r="K58" s="10" t="s">
        <v>572</v>
      </c>
      <c r="L58" s="21" t="s">
        <v>746</v>
      </c>
      <c r="M58" s="19" t="s">
        <v>574</v>
      </c>
      <c r="N58" s="22" t="n">
        <v>60</v>
      </c>
      <c r="O58" s="23" t="n">
        <v>0.3</v>
      </c>
      <c r="P58" s="24" t="n">
        <f aca="false">ROUND($J58*IF($G58="Zone",Paramètres!$B$13,1)+$O58,2)</f>
        <v>3.3</v>
      </c>
    </row>
    <row r="59" customFormat="false" ht="27.75" hidden="false" customHeight="true" outlineLevel="0" collapsed="false">
      <c r="A59" s="9" t="s">
        <v>747</v>
      </c>
      <c r="B59" s="10" t="s">
        <v>722</v>
      </c>
      <c r="C59" s="18" t="s">
        <v>748</v>
      </c>
      <c r="D59" s="18" t="s">
        <v>749</v>
      </c>
      <c r="E59" s="10" t="s">
        <v>601</v>
      </c>
      <c r="F59" s="10" t="s">
        <v>602</v>
      </c>
      <c r="G59" s="19" t="s">
        <v>603</v>
      </c>
      <c r="H59" s="13" t="n">
        <f aca="false">IF($F59="Passif","—",IF($N59&lt;=Paramètres!$B$19,0,IF($I59="Oui",3,IF($P59&lt;=Paramètres!$B$14,1,IF($P59&lt;=Paramètres!$B$15,2,3)))))</f>
        <v>2</v>
      </c>
      <c r="I59" s="19" t="s">
        <v>571</v>
      </c>
      <c r="J59" s="20" t="n">
        <v>0</v>
      </c>
      <c r="K59" s="10" t="s">
        <v>572</v>
      </c>
      <c r="L59" s="21" t="s">
        <v>750</v>
      </c>
      <c r="M59" s="19" t="s">
        <v>574</v>
      </c>
      <c r="N59" s="22" t="n">
        <v>5</v>
      </c>
      <c r="O59" s="23" t="n">
        <v>1.6</v>
      </c>
      <c r="P59" s="24" t="n">
        <f aca="false">ROUND($J59*IF($G59="Zone",Paramètres!$B$13,1)+$O59,2)</f>
        <v>1.6</v>
      </c>
    </row>
    <row r="60" customFormat="false" ht="27.75" hidden="false" customHeight="true" outlineLevel="0" collapsed="false">
      <c r="A60" s="9" t="s">
        <v>751</v>
      </c>
      <c r="B60" s="10" t="s">
        <v>722</v>
      </c>
      <c r="C60" s="18" t="s">
        <v>752</v>
      </c>
      <c r="D60" s="18" t="s">
        <v>752</v>
      </c>
      <c r="E60" s="10" t="s">
        <v>601</v>
      </c>
      <c r="F60" s="10" t="s">
        <v>602</v>
      </c>
      <c r="G60" s="19" t="s">
        <v>603</v>
      </c>
      <c r="H60" s="13" t="n">
        <f aca="false">IF($F60="Passif","—",IF($N60&lt;=Paramètres!$B$19,0,IF($I60="Oui",3,IF($P60&lt;=Paramètres!$B$14,1,IF($P60&lt;=Paramètres!$B$15,2,3)))))</f>
        <v>2</v>
      </c>
      <c r="I60" s="19" t="s">
        <v>571</v>
      </c>
      <c r="J60" s="20" t="n">
        <v>0</v>
      </c>
      <c r="K60" s="10" t="s">
        <v>572</v>
      </c>
      <c r="L60" s="21" t="s">
        <v>753</v>
      </c>
      <c r="M60" s="19" t="s">
        <v>574</v>
      </c>
      <c r="N60" s="22" t="n">
        <v>10</v>
      </c>
      <c r="O60" s="23" t="n">
        <v>1.2</v>
      </c>
      <c r="P60" s="24" t="n">
        <f aca="false">ROUND($J60*IF($G60="Zone",Paramètres!$B$13,1)+$O60,2)</f>
        <v>1.2</v>
      </c>
    </row>
    <row r="61" customFormat="false" ht="27.75" hidden="false" customHeight="true" outlineLevel="0" collapsed="false">
      <c r="A61" s="9" t="s">
        <v>754</v>
      </c>
      <c r="B61" s="10" t="s">
        <v>722</v>
      </c>
      <c r="C61" s="18" t="s">
        <v>755</v>
      </c>
      <c r="D61" s="18" t="s">
        <v>756</v>
      </c>
      <c r="E61" s="10" t="s">
        <v>601</v>
      </c>
      <c r="F61" s="10" t="s">
        <v>607</v>
      </c>
      <c r="G61" s="19" t="s">
        <v>570</v>
      </c>
      <c r="H61" s="13" t="n">
        <f aca="false">IF($F61="Passif","—",IF($N61&lt;=Paramètres!$B$19,0,IF($I61="Oui",3,IF($P61&lt;=Paramètres!$B$14,1,IF($P61&lt;=Paramètres!$B$15,2,3)))))</f>
        <v>2</v>
      </c>
      <c r="I61" s="19" t="s">
        <v>571</v>
      </c>
      <c r="J61" s="20" t="n">
        <v>0.4</v>
      </c>
      <c r="K61" s="10" t="s">
        <v>572</v>
      </c>
      <c r="L61" s="21" t="s">
        <v>757</v>
      </c>
      <c r="M61" s="19" t="s">
        <v>574</v>
      </c>
      <c r="N61" s="22" t="n">
        <v>15</v>
      </c>
      <c r="O61" s="23" t="n">
        <v>1</v>
      </c>
      <c r="P61" s="24" t="n">
        <f aca="false">ROUND($J61*IF($G61="Zone",Paramètres!$B$13,1)+$O61,2)</f>
        <v>1.4</v>
      </c>
    </row>
    <row r="62" customFormat="false" ht="27.75" hidden="false" customHeight="true" outlineLevel="0" collapsed="false">
      <c r="A62" s="9" t="s">
        <v>758</v>
      </c>
      <c r="B62" s="10" t="s">
        <v>722</v>
      </c>
      <c r="C62" s="18" t="s">
        <v>759</v>
      </c>
      <c r="D62" s="18" t="s">
        <v>760</v>
      </c>
      <c r="E62" s="10" t="s">
        <v>601</v>
      </c>
      <c r="F62" s="10" t="s">
        <v>607</v>
      </c>
      <c r="G62" s="19" t="s">
        <v>570</v>
      </c>
      <c r="H62" s="13" t="n">
        <f aca="false">IF($F62="Passif","—",IF($N62&lt;=Paramètres!$B$19,0,IF($I62="Oui",3,IF($P62&lt;=Paramètres!$B$14,1,IF($P62&lt;=Paramètres!$B$15,2,3)))))</f>
        <v>2</v>
      </c>
      <c r="I62" s="19" t="s">
        <v>571</v>
      </c>
      <c r="J62" s="20" t="n">
        <v>0.5</v>
      </c>
      <c r="K62" s="10" t="s">
        <v>572</v>
      </c>
      <c r="L62" s="21" t="s">
        <v>761</v>
      </c>
      <c r="M62" s="19" t="s">
        <v>574</v>
      </c>
      <c r="N62" s="22" t="n">
        <v>20</v>
      </c>
      <c r="O62" s="23" t="n">
        <v>1</v>
      </c>
      <c r="P62" s="24" t="n">
        <f aca="false">ROUND($J62*IF($G62="Zone",Paramètres!$B$13,1)+$O62,2)</f>
        <v>1.5</v>
      </c>
    </row>
    <row r="63" customFormat="false" ht="27.75" hidden="false" customHeight="true" outlineLevel="0" collapsed="false">
      <c r="A63" s="9" t="s">
        <v>762</v>
      </c>
      <c r="B63" s="10" t="s">
        <v>722</v>
      </c>
      <c r="C63" s="18" t="s">
        <v>763</v>
      </c>
      <c r="D63" s="18" t="s">
        <v>763</v>
      </c>
      <c r="E63" s="10" t="s">
        <v>601</v>
      </c>
      <c r="F63" s="10" t="s">
        <v>621</v>
      </c>
      <c r="G63" s="19" t="s">
        <v>603</v>
      </c>
      <c r="H63" s="13" t="n">
        <f aca="false">IF($F63="Passif","—",IF($N63&lt;=Paramètres!$B$19,0,IF($I63="Oui",3,IF($P63&lt;=Paramètres!$B$14,1,IF($P63&lt;=Paramètres!$B$15,2,3)))))</f>
        <v>2</v>
      </c>
      <c r="I63" s="19" t="s">
        <v>571</v>
      </c>
      <c r="J63" s="20" t="n">
        <v>0</v>
      </c>
      <c r="K63" s="10" t="s">
        <v>572</v>
      </c>
      <c r="L63" s="21" t="s">
        <v>622</v>
      </c>
      <c r="M63" s="19" t="s">
        <v>574</v>
      </c>
      <c r="N63" s="22" t="n">
        <v>28</v>
      </c>
      <c r="O63" s="23" t="n">
        <v>1.6</v>
      </c>
      <c r="P63" s="24" t="n">
        <f aca="false">ROUND($J63*IF($G63="Zone",Paramètres!$B$13,1)+$O63,2)</f>
        <v>1.6</v>
      </c>
    </row>
    <row r="64" customFormat="false" ht="27.75" hidden="false" customHeight="true" outlineLevel="0" collapsed="false">
      <c r="A64" s="9" t="s">
        <v>764</v>
      </c>
      <c r="B64" s="10" t="s">
        <v>722</v>
      </c>
      <c r="C64" s="18" t="s">
        <v>765</v>
      </c>
      <c r="D64" s="18" t="s">
        <v>765</v>
      </c>
      <c r="E64" s="10" t="s">
        <v>601</v>
      </c>
      <c r="F64" s="10" t="s">
        <v>602</v>
      </c>
      <c r="G64" s="19" t="s">
        <v>603</v>
      </c>
      <c r="H64" s="13" t="n">
        <f aca="false">IF($F64="Passif","—",IF($N64&lt;=Paramètres!$B$19,0,IF($I64="Oui",3,IF($P64&lt;=Paramètres!$B$14,1,IF($P64&lt;=Paramètres!$B$15,2,3)))))</f>
        <v>2</v>
      </c>
      <c r="I64" s="19" t="s">
        <v>571</v>
      </c>
      <c r="J64" s="20" t="n">
        <v>0</v>
      </c>
      <c r="K64" s="10" t="s">
        <v>572</v>
      </c>
      <c r="L64" s="21" t="s">
        <v>766</v>
      </c>
      <c r="M64" s="19" t="s">
        <v>574</v>
      </c>
      <c r="N64" s="22" t="n">
        <v>40</v>
      </c>
      <c r="O64" s="23" t="n">
        <v>1.6</v>
      </c>
      <c r="P64" s="24" t="n">
        <f aca="false">ROUND($J64*IF($G64="Zone",Paramètres!$B$13,1)+$O64,2)</f>
        <v>1.6</v>
      </c>
    </row>
    <row r="65" customFormat="false" ht="27.75" hidden="false" customHeight="true" outlineLevel="0" collapsed="false">
      <c r="A65" s="9" t="s">
        <v>767</v>
      </c>
      <c r="B65" s="10" t="s">
        <v>722</v>
      </c>
      <c r="C65" s="18" t="s">
        <v>768</v>
      </c>
      <c r="D65" s="18" t="s">
        <v>769</v>
      </c>
      <c r="E65" s="10" t="s">
        <v>601</v>
      </c>
      <c r="F65" s="10" t="s">
        <v>602</v>
      </c>
      <c r="G65" s="19" t="s">
        <v>603</v>
      </c>
      <c r="H65" s="13" t="n">
        <f aca="false">IF($F65="Passif","—",IF($N65&lt;=Paramètres!$B$19,0,IF($I65="Oui",3,IF($P65&lt;=Paramètres!$B$14,1,IF($P65&lt;=Paramètres!$B$15,2,3)))))</f>
        <v>3</v>
      </c>
      <c r="I65" s="19" t="s">
        <v>594</v>
      </c>
      <c r="J65" s="20" t="n">
        <v>0</v>
      </c>
      <c r="K65" s="10" t="s">
        <v>572</v>
      </c>
      <c r="L65" s="21" t="s">
        <v>770</v>
      </c>
      <c r="M65" s="19" t="s">
        <v>574</v>
      </c>
      <c r="N65" s="22" t="n">
        <v>50</v>
      </c>
      <c r="O65" s="23" t="n">
        <v>2.5</v>
      </c>
      <c r="P65" s="24" t="n">
        <f aca="false">ROUND($J65*IF($G65="Zone",Paramètres!$B$13,1)+$O65,2)</f>
        <v>2.5</v>
      </c>
    </row>
    <row r="66" customFormat="false" ht="27.75" hidden="false" customHeight="true" outlineLevel="0" collapsed="false">
      <c r="A66" s="9" t="s">
        <v>540</v>
      </c>
      <c r="B66" s="10" t="s">
        <v>722</v>
      </c>
      <c r="C66" s="18" t="s">
        <v>771</v>
      </c>
      <c r="D66" s="18" t="s">
        <v>630</v>
      </c>
      <c r="E66" s="10" t="s">
        <v>631</v>
      </c>
      <c r="F66" s="10" t="s">
        <v>631</v>
      </c>
      <c r="G66" s="19" t="s">
        <v>603</v>
      </c>
      <c r="H66" s="22" t="s">
        <v>630</v>
      </c>
      <c r="I66" s="19" t="s">
        <v>571</v>
      </c>
      <c r="J66" s="20" t="n">
        <v>0</v>
      </c>
      <c r="K66" s="10" t="s">
        <v>630</v>
      </c>
      <c r="L66" s="21" t="s">
        <v>772</v>
      </c>
      <c r="M66" s="19" t="s">
        <v>633</v>
      </c>
      <c r="N66" s="22" t="n">
        <v>1</v>
      </c>
      <c r="O66" s="14" t="s">
        <v>630</v>
      </c>
      <c r="P66" s="14" t="s">
        <v>630</v>
      </c>
    </row>
    <row r="67" customFormat="false" ht="27.75" hidden="false" customHeight="true" outlineLevel="0" collapsed="false">
      <c r="A67" s="9" t="s">
        <v>541</v>
      </c>
      <c r="B67" s="10" t="s">
        <v>722</v>
      </c>
      <c r="C67" s="18" t="s">
        <v>773</v>
      </c>
      <c r="D67" s="18" t="s">
        <v>630</v>
      </c>
      <c r="E67" s="10" t="s">
        <v>631</v>
      </c>
      <c r="F67" s="10" t="s">
        <v>631</v>
      </c>
      <c r="G67" s="19" t="s">
        <v>603</v>
      </c>
      <c r="H67" s="22" t="s">
        <v>630</v>
      </c>
      <c r="I67" s="19" t="s">
        <v>571</v>
      </c>
      <c r="J67" s="20" t="n">
        <v>0</v>
      </c>
      <c r="K67" s="10" t="s">
        <v>630</v>
      </c>
      <c r="L67" s="21" t="s">
        <v>774</v>
      </c>
      <c r="M67" s="19" t="s">
        <v>633</v>
      </c>
      <c r="N67" s="22" t="n">
        <v>10</v>
      </c>
      <c r="O67" s="14" t="s">
        <v>630</v>
      </c>
      <c r="P67" s="14" t="s">
        <v>630</v>
      </c>
    </row>
    <row r="68" customFormat="false" ht="27.75" hidden="false" customHeight="true" outlineLevel="0" collapsed="false">
      <c r="A68" s="9" t="s">
        <v>542</v>
      </c>
      <c r="B68" s="10" t="s">
        <v>722</v>
      </c>
      <c r="C68" s="18" t="s">
        <v>775</v>
      </c>
      <c r="D68" s="18" t="s">
        <v>630</v>
      </c>
      <c r="E68" s="10" t="s">
        <v>631</v>
      </c>
      <c r="F68" s="10" t="s">
        <v>631</v>
      </c>
      <c r="G68" s="19" t="s">
        <v>603</v>
      </c>
      <c r="H68" s="22" t="s">
        <v>630</v>
      </c>
      <c r="I68" s="19" t="s">
        <v>571</v>
      </c>
      <c r="J68" s="20" t="n">
        <v>0</v>
      </c>
      <c r="K68" s="10" t="s">
        <v>630</v>
      </c>
      <c r="L68" s="21" t="s">
        <v>776</v>
      </c>
      <c r="M68" s="19" t="s">
        <v>777</v>
      </c>
      <c r="N68" s="22" t="n">
        <v>20</v>
      </c>
      <c r="O68" s="14" t="s">
        <v>630</v>
      </c>
      <c r="P68" s="14" t="s">
        <v>630</v>
      </c>
    </row>
    <row r="69" customFormat="false" ht="27.75" hidden="false" customHeight="true" outlineLevel="0" collapsed="false">
      <c r="A69" s="9" t="s">
        <v>543</v>
      </c>
      <c r="B69" s="10" t="s">
        <v>722</v>
      </c>
      <c r="C69" s="18" t="s">
        <v>778</v>
      </c>
      <c r="D69" s="18" t="s">
        <v>630</v>
      </c>
      <c r="E69" s="10" t="s">
        <v>631</v>
      </c>
      <c r="F69" s="10" t="s">
        <v>631</v>
      </c>
      <c r="G69" s="19" t="s">
        <v>603</v>
      </c>
      <c r="H69" s="22" t="s">
        <v>630</v>
      </c>
      <c r="I69" s="19" t="s">
        <v>571</v>
      </c>
      <c r="J69" s="20" t="n">
        <v>0</v>
      </c>
      <c r="K69" s="10" t="s">
        <v>630</v>
      </c>
      <c r="L69" s="21" t="s">
        <v>779</v>
      </c>
      <c r="M69" s="19" t="s">
        <v>633</v>
      </c>
      <c r="N69" s="22" t="n">
        <v>30</v>
      </c>
      <c r="O69" s="14" t="s">
        <v>630</v>
      </c>
      <c r="P69" s="14" t="s">
        <v>630</v>
      </c>
    </row>
    <row r="70" customFormat="false" ht="27.75" hidden="false" customHeight="true" outlineLevel="0" collapsed="false">
      <c r="A70" s="9" t="s">
        <v>544</v>
      </c>
      <c r="B70" s="10" t="s">
        <v>722</v>
      </c>
      <c r="C70" s="18" t="s">
        <v>780</v>
      </c>
      <c r="D70" s="18" t="s">
        <v>630</v>
      </c>
      <c r="E70" s="10" t="s">
        <v>631</v>
      </c>
      <c r="F70" s="10" t="s">
        <v>631</v>
      </c>
      <c r="G70" s="19" t="s">
        <v>603</v>
      </c>
      <c r="H70" s="22" t="s">
        <v>630</v>
      </c>
      <c r="I70" s="19" t="s">
        <v>571</v>
      </c>
      <c r="J70" s="20" t="n">
        <v>0</v>
      </c>
      <c r="K70" s="10" t="s">
        <v>630</v>
      </c>
      <c r="L70" s="21" t="s">
        <v>781</v>
      </c>
      <c r="M70" s="19" t="s">
        <v>782</v>
      </c>
      <c r="N70" s="22" t="n">
        <v>40</v>
      </c>
      <c r="O70" s="14" t="s">
        <v>630</v>
      </c>
      <c r="P70" s="14" t="s">
        <v>630</v>
      </c>
    </row>
    <row r="71" customFormat="false" ht="27.75" hidden="false" customHeight="true" outlineLevel="0" collapsed="false">
      <c r="A71" s="9" t="s">
        <v>545</v>
      </c>
      <c r="B71" s="10" t="s">
        <v>722</v>
      </c>
      <c r="C71" s="18" t="s">
        <v>783</v>
      </c>
      <c r="D71" s="18" t="s">
        <v>630</v>
      </c>
      <c r="E71" s="10" t="s">
        <v>631</v>
      </c>
      <c r="F71" s="10" t="s">
        <v>631</v>
      </c>
      <c r="G71" s="19" t="s">
        <v>603</v>
      </c>
      <c r="H71" s="22" t="s">
        <v>630</v>
      </c>
      <c r="I71" s="19" t="s">
        <v>571</v>
      </c>
      <c r="J71" s="20" t="n">
        <v>0</v>
      </c>
      <c r="K71" s="10" t="s">
        <v>630</v>
      </c>
      <c r="L71" s="21" t="s">
        <v>784</v>
      </c>
      <c r="M71" s="19" t="s">
        <v>785</v>
      </c>
      <c r="N71" s="22" t="n">
        <v>50</v>
      </c>
      <c r="O71" s="14" t="s">
        <v>630</v>
      </c>
      <c r="P71" s="14" t="s">
        <v>630</v>
      </c>
    </row>
    <row r="72" customFormat="false" ht="27.75" hidden="false" customHeight="true" outlineLevel="0" collapsed="false">
      <c r="A72" s="9" t="s">
        <v>546</v>
      </c>
      <c r="B72" s="10" t="s">
        <v>722</v>
      </c>
      <c r="C72" s="18" t="s">
        <v>786</v>
      </c>
      <c r="D72" s="18" t="s">
        <v>630</v>
      </c>
      <c r="E72" s="10" t="s">
        <v>631</v>
      </c>
      <c r="F72" s="10" t="s">
        <v>631</v>
      </c>
      <c r="G72" s="19" t="s">
        <v>603</v>
      </c>
      <c r="H72" s="22" t="s">
        <v>630</v>
      </c>
      <c r="I72" s="19" t="s">
        <v>571</v>
      </c>
      <c r="J72" s="20" t="n">
        <v>0</v>
      </c>
      <c r="K72" s="10" t="s">
        <v>630</v>
      </c>
      <c r="L72" s="21" t="s">
        <v>787</v>
      </c>
      <c r="M72" s="19" t="s">
        <v>633</v>
      </c>
      <c r="N72" s="22" t="n">
        <v>60</v>
      </c>
      <c r="O72" s="14" t="s">
        <v>630</v>
      </c>
      <c r="P72" s="14" t="s">
        <v>630</v>
      </c>
    </row>
    <row r="73" customFormat="false" ht="27.75" hidden="false" customHeight="true" outlineLevel="0" collapsed="false">
      <c r="A73" s="9" t="s">
        <v>547</v>
      </c>
      <c r="B73" s="10" t="s">
        <v>722</v>
      </c>
      <c r="C73" s="18" t="s">
        <v>788</v>
      </c>
      <c r="D73" s="18" t="s">
        <v>630</v>
      </c>
      <c r="E73" s="10" t="s">
        <v>631</v>
      </c>
      <c r="F73" s="10" t="s">
        <v>631</v>
      </c>
      <c r="G73" s="19" t="s">
        <v>603</v>
      </c>
      <c r="H73" s="22" t="s">
        <v>630</v>
      </c>
      <c r="I73" s="19" t="s">
        <v>571</v>
      </c>
      <c r="J73" s="20" t="n">
        <v>0</v>
      </c>
      <c r="K73" s="10" t="s">
        <v>630</v>
      </c>
      <c r="L73" s="21" t="s">
        <v>789</v>
      </c>
      <c r="M73" s="19" t="s">
        <v>782</v>
      </c>
      <c r="N73" s="22" t="n">
        <v>70</v>
      </c>
      <c r="O73" s="14" t="s">
        <v>630</v>
      </c>
      <c r="P73" s="14" t="s">
        <v>630</v>
      </c>
    </row>
    <row r="74" customFormat="false" ht="27.75" hidden="false" customHeight="true" outlineLevel="0" collapsed="false">
      <c r="A74" s="9" t="s">
        <v>548</v>
      </c>
      <c r="B74" s="10" t="s">
        <v>790</v>
      </c>
      <c r="C74" s="18" t="s">
        <v>791</v>
      </c>
      <c r="D74" s="18" t="s">
        <v>630</v>
      </c>
      <c r="E74" s="10" t="s">
        <v>631</v>
      </c>
      <c r="F74" s="10" t="s">
        <v>631</v>
      </c>
      <c r="G74" s="19" t="s">
        <v>603</v>
      </c>
      <c r="H74" s="22" t="s">
        <v>630</v>
      </c>
      <c r="I74" s="19" t="s">
        <v>571</v>
      </c>
      <c r="J74" s="20" t="n">
        <v>0</v>
      </c>
      <c r="K74" s="10" t="s">
        <v>630</v>
      </c>
      <c r="L74" s="21" t="s">
        <v>792</v>
      </c>
      <c r="M74" s="19" t="s">
        <v>633</v>
      </c>
      <c r="N74" s="22" t="n">
        <v>1</v>
      </c>
      <c r="O74" s="14" t="s">
        <v>630</v>
      </c>
      <c r="P74" s="14" t="s">
        <v>630</v>
      </c>
    </row>
    <row r="75" customFormat="false" ht="27.75" hidden="false" customHeight="true" outlineLevel="0" collapsed="false">
      <c r="A75" s="9" t="s">
        <v>549</v>
      </c>
      <c r="B75" s="10" t="s">
        <v>790</v>
      </c>
      <c r="C75" s="18" t="s">
        <v>793</v>
      </c>
      <c r="D75" s="18" t="s">
        <v>630</v>
      </c>
      <c r="E75" s="10" t="s">
        <v>631</v>
      </c>
      <c r="F75" s="10" t="s">
        <v>631</v>
      </c>
      <c r="G75" s="19" t="s">
        <v>603</v>
      </c>
      <c r="H75" s="22" t="s">
        <v>630</v>
      </c>
      <c r="I75" s="19" t="s">
        <v>571</v>
      </c>
      <c r="J75" s="20" t="n">
        <v>0</v>
      </c>
      <c r="K75" s="10" t="s">
        <v>630</v>
      </c>
      <c r="L75" s="21" t="s">
        <v>794</v>
      </c>
      <c r="M75" s="19" t="s">
        <v>633</v>
      </c>
      <c r="N75" s="22" t="n">
        <v>1</v>
      </c>
      <c r="O75" s="14" t="s">
        <v>630</v>
      </c>
      <c r="P75" s="14" t="s">
        <v>630</v>
      </c>
    </row>
    <row r="76" customFormat="false" ht="27.75" hidden="false" customHeight="true" outlineLevel="0" collapsed="false">
      <c r="A76" s="9" t="s">
        <v>550</v>
      </c>
      <c r="B76" s="10" t="s">
        <v>790</v>
      </c>
      <c r="C76" s="18" t="s">
        <v>795</v>
      </c>
      <c r="D76" s="18" t="s">
        <v>630</v>
      </c>
      <c r="E76" s="10" t="s">
        <v>631</v>
      </c>
      <c r="F76" s="10" t="s">
        <v>631</v>
      </c>
      <c r="G76" s="19" t="s">
        <v>603</v>
      </c>
      <c r="H76" s="22" t="s">
        <v>630</v>
      </c>
      <c r="I76" s="19" t="s">
        <v>571</v>
      </c>
      <c r="J76" s="20" t="n">
        <v>0</v>
      </c>
      <c r="K76" s="10" t="s">
        <v>630</v>
      </c>
      <c r="L76" s="21" t="s">
        <v>796</v>
      </c>
      <c r="M76" s="19" t="s">
        <v>633</v>
      </c>
      <c r="N76" s="22" t="n">
        <v>1</v>
      </c>
      <c r="O76" s="14" t="s">
        <v>630</v>
      </c>
      <c r="P76" s="14" t="s">
        <v>630</v>
      </c>
    </row>
    <row r="77" customFormat="false" ht="27.75" hidden="false" customHeight="true" outlineLevel="0" collapsed="false">
      <c r="A77" s="9" t="s">
        <v>551</v>
      </c>
      <c r="B77" s="10" t="s">
        <v>790</v>
      </c>
      <c r="C77" s="18" t="s">
        <v>797</v>
      </c>
      <c r="D77" s="18" t="s">
        <v>630</v>
      </c>
      <c r="E77" s="10" t="s">
        <v>631</v>
      </c>
      <c r="F77" s="10" t="s">
        <v>631</v>
      </c>
      <c r="G77" s="19" t="s">
        <v>603</v>
      </c>
      <c r="H77" s="22" t="s">
        <v>630</v>
      </c>
      <c r="I77" s="19" t="s">
        <v>571</v>
      </c>
      <c r="J77" s="20" t="n">
        <v>0</v>
      </c>
      <c r="K77" s="10" t="s">
        <v>630</v>
      </c>
      <c r="L77" s="21" t="s">
        <v>798</v>
      </c>
      <c r="M77" s="19" t="s">
        <v>633</v>
      </c>
      <c r="N77" s="22" t="n">
        <v>1</v>
      </c>
      <c r="O77" s="14" t="s">
        <v>630</v>
      </c>
      <c r="P77" s="14" t="s">
        <v>630</v>
      </c>
    </row>
    <row r="78" customFormat="false" ht="27.75" hidden="false" customHeight="true" outlineLevel="0" collapsed="false">
      <c r="A78" s="9" t="s">
        <v>552</v>
      </c>
      <c r="B78" s="10" t="s">
        <v>790</v>
      </c>
      <c r="C78" s="18" t="s">
        <v>799</v>
      </c>
      <c r="D78" s="18" t="s">
        <v>630</v>
      </c>
      <c r="E78" s="10" t="s">
        <v>631</v>
      </c>
      <c r="F78" s="10" t="s">
        <v>631</v>
      </c>
      <c r="G78" s="19" t="s">
        <v>603</v>
      </c>
      <c r="H78" s="22" t="s">
        <v>630</v>
      </c>
      <c r="I78" s="19" t="s">
        <v>571</v>
      </c>
      <c r="J78" s="20" t="n">
        <v>0</v>
      </c>
      <c r="K78" s="10" t="s">
        <v>630</v>
      </c>
      <c r="L78" s="21" t="s">
        <v>800</v>
      </c>
      <c r="M78" s="19" t="s">
        <v>633</v>
      </c>
      <c r="N78" s="22" t="n">
        <v>1</v>
      </c>
      <c r="O78" s="14" t="s">
        <v>630</v>
      </c>
      <c r="P78" s="14" t="s">
        <v>630</v>
      </c>
    </row>
    <row r="79" customFormat="false" ht="27.75" hidden="false" customHeight="true" outlineLevel="0" collapsed="false">
      <c r="A79" s="9" t="s">
        <v>553</v>
      </c>
      <c r="B79" s="10" t="s">
        <v>790</v>
      </c>
      <c r="C79" s="18" t="s">
        <v>801</v>
      </c>
      <c r="D79" s="18" t="s">
        <v>630</v>
      </c>
      <c r="E79" s="10" t="s">
        <v>631</v>
      </c>
      <c r="F79" s="10" t="s">
        <v>631</v>
      </c>
      <c r="G79" s="19" t="s">
        <v>603</v>
      </c>
      <c r="H79" s="22" t="s">
        <v>630</v>
      </c>
      <c r="I79" s="19" t="s">
        <v>571</v>
      </c>
      <c r="J79" s="20" t="n">
        <v>0</v>
      </c>
      <c r="K79" s="10" t="s">
        <v>630</v>
      </c>
      <c r="L79" s="21" t="s">
        <v>802</v>
      </c>
      <c r="M79" s="19" t="s">
        <v>633</v>
      </c>
      <c r="N79" s="22" t="n">
        <v>1</v>
      </c>
      <c r="O79" s="14" t="s">
        <v>630</v>
      </c>
      <c r="P79" s="14" t="s">
        <v>630</v>
      </c>
    </row>
    <row r="80" customFormat="false" ht="27.75" hidden="false" customHeight="true" outlineLevel="0" collapsed="false">
      <c r="A80" s="9" t="s">
        <v>554</v>
      </c>
      <c r="B80" s="10" t="s">
        <v>790</v>
      </c>
      <c r="C80" s="18" t="s">
        <v>803</v>
      </c>
      <c r="D80" s="18" t="s">
        <v>630</v>
      </c>
      <c r="E80" s="10" t="s">
        <v>631</v>
      </c>
      <c r="F80" s="10" t="s">
        <v>631</v>
      </c>
      <c r="G80" s="19" t="s">
        <v>603</v>
      </c>
      <c r="H80" s="22" t="s">
        <v>630</v>
      </c>
      <c r="I80" s="19" t="s">
        <v>571</v>
      </c>
      <c r="J80" s="20" t="n">
        <v>0</v>
      </c>
      <c r="K80" s="10" t="s">
        <v>630</v>
      </c>
      <c r="L80" s="21" t="s">
        <v>804</v>
      </c>
      <c r="M80" s="19" t="s">
        <v>633</v>
      </c>
      <c r="N80" s="22" t="n">
        <v>1</v>
      </c>
      <c r="O80" s="14" t="s">
        <v>630</v>
      </c>
      <c r="P80" s="14" t="s">
        <v>630</v>
      </c>
    </row>
    <row r="81" customFormat="false" ht="27.75" hidden="false" customHeight="true" outlineLevel="0" collapsed="false">
      <c r="A81" s="9" t="s">
        <v>555</v>
      </c>
      <c r="B81" s="10" t="s">
        <v>790</v>
      </c>
      <c r="C81" s="18" t="s">
        <v>805</v>
      </c>
      <c r="D81" s="18" t="s">
        <v>630</v>
      </c>
      <c r="E81" s="10" t="s">
        <v>631</v>
      </c>
      <c r="F81" s="10" t="s">
        <v>631</v>
      </c>
      <c r="G81" s="19" t="s">
        <v>603</v>
      </c>
      <c r="H81" s="22" t="s">
        <v>630</v>
      </c>
      <c r="I81" s="19" t="s">
        <v>571</v>
      </c>
      <c r="J81" s="20" t="n">
        <v>0</v>
      </c>
      <c r="K81" s="10" t="s">
        <v>630</v>
      </c>
      <c r="L81" s="21" t="s">
        <v>806</v>
      </c>
      <c r="M81" s="19" t="s">
        <v>633</v>
      </c>
      <c r="N81" s="22" t="n">
        <v>1</v>
      </c>
      <c r="O81" s="14" t="s">
        <v>630</v>
      </c>
      <c r="P81" s="14" t="s">
        <v>630</v>
      </c>
    </row>
    <row r="82" customFormat="false" ht="27.75" hidden="false" customHeight="true" outlineLevel="0" collapsed="false">
      <c r="A82" s="9" t="s">
        <v>556</v>
      </c>
      <c r="B82" s="10" t="s">
        <v>790</v>
      </c>
      <c r="C82" s="18" t="s">
        <v>807</v>
      </c>
      <c r="D82" s="18" t="s">
        <v>630</v>
      </c>
      <c r="E82" s="10" t="s">
        <v>631</v>
      </c>
      <c r="F82" s="10" t="s">
        <v>631</v>
      </c>
      <c r="G82" s="19" t="s">
        <v>603</v>
      </c>
      <c r="H82" s="22" t="s">
        <v>630</v>
      </c>
      <c r="I82" s="19" t="s">
        <v>571</v>
      </c>
      <c r="J82" s="20" t="n">
        <v>0</v>
      </c>
      <c r="K82" s="10" t="s">
        <v>630</v>
      </c>
      <c r="L82" s="21" t="s">
        <v>808</v>
      </c>
      <c r="M82" s="19" t="s">
        <v>633</v>
      </c>
      <c r="N82" s="22" t="n">
        <v>1</v>
      </c>
      <c r="O82" s="14" t="s">
        <v>630</v>
      </c>
      <c r="P82" s="14" t="s">
        <v>630</v>
      </c>
    </row>
    <row r="83" customFormat="false" ht="27.75" hidden="false" customHeight="true" outlineLevel="0" collapsed="false">
      <c r="A83" s="9" t="s">
        <v>557</v>
      </c>
      <c r="B83" s="10" t="s">
        <v>790</v>
      </c>
      <c r="C83" s="18" t="s">
        <v>809</v>
      </c>
      <c r="D83" s="18" t="s">
        <v>630</v>
      </c>
      <c r="E83" s="10" t="s">
        <v>631</v>
      </c>
      <c r="F83" s="10" t="s">
        <v>631</v>
      </c>
      <c r="G83" s="19" t="s">
        <v>603</v>
      </c>
      <c r="H83" s="22" t="s">
        <v>630</v>
      </c>
      <c r="I83" s="19" t="s">
        <v>571</v>
      </c>
      <c r="J83" s="20" t="n">
        <v>0</v>
      </c>
      <c r="K83" s="10" t="s">
        <v>630</v>
      </c>
      <c r="L83" s="21" t="s">
        <v>810</v>
      </c>
      <c r="M83" s="19" t="s">
        <v>633</v>
      </c>
      <c r="N83" s="22" t="n">
        <v>1</v>
      </c>
      <c r="O83" s="14" t="s">
        <v>630</v>
      </c>
      <c r="P83" s="14" t="s">
        <v>630</v>
      </c>
    </row>
    <row r="85" customFormat="false" ht="15" hidden="false" customHeight="true" outlineLevel="0" collapsed="false">
      <c r="A85" s="17" t="s">
        <v>811</v>
      </c>
    </row>
    <row r="86" customFormat="false" ht="15" hidden="false" customHeight="true" outlineLevel="0" collapsed="false">
      <c r="A86" s="17" t="s">
        <v>812</v>
      </c>
    </row>
  </sheetData>
  <autoFilter ref="A4:P83"/>
  <conditionalFormatting sqref="A5:P83">
    <cfRule type="expression" priority="2" aboveAverage="0" equalAverage="0" bottom="0" percent="0" rank="0" text="" dxfId="26">
      <formula>$I5="Oui"</formula>
    </cfRule>
  </conditionalFormatting>
  <dataValidations count="2">
    <dataValidation allowBlank="false" errorStyle="stop" operator="between" showDropDown="false" showErrorMessage="false" showInputMessage="false" sqref="G5:G83" type="list">
      <formula1>"Mono,Zone,Soi"</formula1>
      <formula2>0</formula2>
    </dataValidation>
    <dataValidation allowBlank="false" errorStyle="stop" operator="between" showDropDown="false" showErrorMessage="false" showInputMessage="false" sqref="I5:I83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7"/>
    <col collapsed="false" customWidth="true" hidden="false" outlineLevel="0" max="3" min="3" style="1" width="11"/>
    <col collapsed="false" customWidth="true" hidden="false" outlineLevel="0" max="5" min="4" style="1" width="15"/>
    <col collapsed="false" customWidth="true" hidden="false" outlineLevel="0" max="7" min="6" style="1" width="52"/>
    <col collapsed="false" customWidth="true" hidden="false" outlineLevel="0" max="8" min="8" style="1" width="22"/>
    <col collapsed="false" customWidth="true" hidden="false" outlineLevel="0" max="10" min="9" style="1" width="9"/>
    <col collapsed="false" customWidth="true" hidden="false" outlineLevel="0" max="11" min="11" style="1" width="12"/>
  </cols>
  <sheetData>
    <row r="1" customFormat="false" ht="17.25" hidden="false" customHeight="true" outlineLevel="0" collapsed="false">
      <c r="A1" s="2" t="s">
        <v>813</v>
      </c>
    </row>
    <row r="2" customFormat="false" ht="15" hidden="false" customHeight="true" outlineLevel="0" collapsed="false">
      <c r="A2" s="3" t="s">
        <v>814</v>
      </c>
    </row>
    <row r="4" customFormat="false" ht="36" hidden="false" customHeight="true" outlineLevel="0" collapsed="false">
      <c r="A4" s="8" t="s">
        <v>58</v>
      </c>
      <c r="B4" s="8" t="s">
        <v>815</v>
      </c>
      <c r="C4" s="8" t="s">
        <v>69</v>
      </c>
      <c r="D4" s="8" t="s">
        <v>816</v>
      </c>
      <c r="E4" s="8" t="s">
        <v>817</v>
      </c>
      <c r="F4" s="8" t="s">
        <v>818</v>
      </c>
      <c r="G4" s="8" t="s">
        <v>819</v>
      </c>
      <c r="H4" s="8" t="s">
        <v>820</v>
      </c>
      <c r="K4" s="8" t="s">
        <v>821</v>
      </c>
    </row>
    <row r="5" customFormat="false" ht="42" hidden="false" customHeight="true" outlineLevel="0" collapsed="false">
      <c r="A5" s="25" t="s">
        <v>822</v>
      </c>
      <c r="B5" s="10" t="s">
        <v>823</v>
      </c>
      <c r="C5" s="22" t="n">
        <v>0</v>
      </c>
      <c r="D5" s="19" t="s">
        <v>824</v>
      </c>
      <c r="E5" s="10" t="s">
        <v>825</v>
      </c>
      <c r="F5" s="21" t="s">
        <v>826</v>
      </c>
      <c r="G5" s="21" t="s">
        <v>827</v>
      </c>
      <c r="H5" s="10" t="s">
        <v>791</v>
      </c>
      <c r="K5" s="26" t="s">
        <v>630</v>
      </c>
    </row>
    <row r="6" customFormat="false" ht="42" hidden="false" customHeight="true" outlineLevel="0" collapsed="false">
      <c r="A6" s="25" t="s">
        <v>828</v>
      </c>
      <c r="B6" s="10" t="s">
        <v>829</v>
      </c>
      <c r="C6" s="22" t="n">
        <v>20</v>
      </c>
      <c r="D6" s="19" t="s">
        <v>830</v>
      </c>
      <c r="E6" s="10" t="s">
        <v>831</v>
      </c>
      <c r="F6" s="21" t="s">
        <v>832</v>
      </c>
      <c r="G6" s="21" t="s">
        <v>833</v>
      </c>
      <c r="H6" s="10" t="s">
        <v>793</v>
      </c>
      <c r="K6" s="26" t="s">
        <v>822</v>
      </c>
    </row>
    <row r="7" customFormat="false" ht="42" hidden="false" customHeight="true" outlineLevel="0" collapsed="false">
      <c r="A7" s="25" t="s">
        <v>834</v>
      </c>
      <c r="B7" s="10" t="s">
        <v>835</v>
      </c>
      <c r="C7" s="22" t="n">
        <v>30</v>
      </c>
      <c r="D7" s="19" t="s">
        <v>836</v>
      </c>
      <c r="E7" s="10" t="s">
        <v>837</v>
      </c>
      <c r="F7" s="21" t="s">
        <v>838</v>
      </c>
      <c r="G7" s="21" t="s">
        <v>839</v>
      </c>
      <c r="H7" s="10" t="s">
        <v>795</v>
      </c>
      <c r="K7" s="26" t="s">
        <v>828</v>
      </c>
    </row>
    <row r="8" customFormat="false" ht="42" hidden="false" customHeight="true" outlineLevel="0" collapsed="false">
      <c r="A8" s="25" t="s">
        <v>840</v>
      </c>
      <c r="B8" s="10" t="s">
        <v>841</v>
      </c>
      <c r="C8" s="22" t="n">
        <v>40</v>
      </c>
      <c r="D8" s="19" t="s">
        <v>842</v>
      </c>
      <c r="E8" s="10" t="s">
        <v>843</v>
      </c>
      <c r="F8" s="21" t="s">
        <v>844</v>
      </c>
      <c r="G8" s="21" t="s">
        <v>845</v>
      </c>
      <c r="H8" s="10" t="s">
        <v>797</v>
      </c>
      <c r="K8" s="26" t="s">
        <v>834</v>
      </c>
    </row>
    <row r="9" customFormat="false" ht="42" hidden="false" customHeight="true" outlineLevel="0" collapsed="false">
      <c r="A9" s="25" t="s">
        <v>846</v>
      </c>
      <c r="B9" s="10" t="s">
        <v>847</v>
      </c>
      <c r="C9" s="22" t="n">
        <v>50</v>
      </c>
      <c r="D9" s="19" t="s">
        <v>848</v>
      </c>
      <c r="E9" s="10" t="s">
        <v>849</v>
      </c>
      <c r="F9" s="21" t="s">
        <v>850</v>
      </c>
      <c r="G9" s="21" t="s">
        <v>851</v>
      </c>
      <c r="H9" s="10" t="s">
        <v>799</v>
      </c>
      <c r="K9" s="26" t="s">
        <v>840</v>
      </c>
    </row>
    <row r="10" customFormat="false" ht="42" hidden="false" customHeight="true" outlineLevel="0" collapsed="false">
      <c r="A10" s="25" t="s">
        <v>852</v>
      </c>
      <c r="B10" s="10" t="s">
        <v>853</v>
      </c>
      <c r="C10" s="22" t="n">
        <v>60</v>
      </c>
      <c r="D10" s="19" t="s">
        <v>854</v>
      </c>
      <c r="E10" s="10" t="s">
        <v>855</v>
      </c>
      <c r="F10" s="21" t="s">
        <v>856</v>
      </c>
      <c r="G10" s="21" t="s">
        <v>857</v>
      </c>
      <c r="H10" s="10" t="s">
        <v>801</v>
      </c>
      <c r="K10" s="26" t="s">
        <v>846</v>
      </c>
    </row>
    <row r="11" customFormat="false" ht="42" hidden="false" customHeight="true" outlineLevel="0" collapsed="false">
      <c r="A11" s="25" t="s">
        <v>858</v>
      </c>
      <c r="B11" s="10" t="s">
        <v>859</v>
      </c>
      <c r="C11" s="22" t="n">
        <v>70</v>
      </c>
      <c r="D11" s="19" t="s">
        <v>860</v>
      </c>
      <c r="E11" s="10" t="s">
        <v>861</v>
      </c>
      <c r="F11" s="21" t="s">
        <v>862</v>
      </c>
      <c r="G11" s="21" t="s">
        <v>863</v>
      </c>
      <c r="H11" s="10" t="s">
        <v>803</v>
      </c>
      <c r="K11" s="26" t="s">
        <v>852</v>
      </c>
    </row>
    <row r="12" customFormat="false" ht="42" hidden="false" customHeight="true" outlineLevel="0" collapsed="false">
      <c r="A12" s="25" t="s">
        <v>864</v>
      </c>
      <c r="B12" s="10" t="s">
        <v>865</v>
      </c>
      <c r="C12" s="22" t="n">
        <v>80</v>
      </c>
      <c r="D12" s="19" t="s">
        <v>866</v>
      </c>
      <c r="E12" s="10" t="s">
        <v>867</v>
      </c>
      <c r="F12" s="21" t="s">
        <v>868</v>
      </c>
      <c r="G12" s="21" t="s">
        <v>869</v>
      </c>
      <c r="H12" s="10" t="s">
        <v>805</v>
      </c>
      <c r="K12" s="26" t="s">
        <v>858</v>
      </c>
    </row>
    <row r="13" customFormat="false" ht="42" hidden="false" customHeight="true" outlineLevel="0" collapsed="false">
      <c r="A13" s="25" t="s">
        <v>870</v>
      </c>
      <c r="B13" s="10" t="s">
        <v>871</v>
      </c>
      <c r="C13" s="22" t="n">
        <v>90</v>
      </c>
      <c r="D13" s="19" t="s">
        <v>872</v>
      </c>
      <c r="E13" s="10" t="s">
        <v>873</v>
      </c>
      <c r="F13" s="21" t="s">
        <v>874</v>
      </c>
      <c r="G13" s="21" t="s">
        <v>875</v>
      </c>
      <c r="H13" s="10" t="s">
        <v>807</v>
      </c>
      <c r="K13" s="26" t="s">
        <v>864</v>
      </c>
    </row>
    <row r="14" customFormat="false" ht="42" hidden="false" customHeight="true" outlineLevel="0" collapsed="false">
      <c r="A14" s="25" t="s">
        <v>46</v>
      </c>
      <c r="B14" s="10" t="s">
        <v>876</v>
      </c>
      <c r="C14" s="22" t="n">
        <v>100</v>
      </c>
      <c r="D14" s="19" t="s">
        <v>877</v>
      </c>
      <c r="E14" s="10" t="s">
        <v>878</v>
      </c>
      <c r="F14" s="21" t="s">
        <v>879</v>
      </c>
      <c r="G14" s="21" t="s">
        <v>880</v>
      </c>
      <c r="H14" s="10" t="s">
        <v>809</v>
      </c>
      <c r="K14" s="26" t="s">
        <v>870</v>
      </c>
    </row>
    <row r="15" customFormat="false" ht="15" hidden="false" customHeight="true" outlineLevel="0" collapsed="false">
      <c r="A15" s="17" t="s">
        <v>881</v>
      </c>
      <c r="K15" s="26" t="s">
        <v>46</v>
      </c>
    </row>
    <row r="17" customFormat="false" ht="19.5" hidden="false" customHeight="true" outlineLevel="0" collapsed="false">
      <c r="A17" s="27" t="s">
        <v>882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customFormat="false" ht="24" hidden="false" customHeight="true" outlineLevel="0" collapsed="false">
      <c r="A18" s="8" t="s">
        <v>883</v>
      </c>
      <c r="B18" s="8" t="s">
        <v>834</v>
      </c>
      <c r="C18" s="8" t="s">
        <v>864</v>
      </c>
      <c r="D18" s="8" t="s">
        <v>846</v>
      </c>
      <c r="E18" s="8" t="s">
        <v>858</v>
      </c>
      <c r="F18" s="8" t="s">
        <v>852</v>
      </c>
      <c r="G18" s="8" t="s">
        <v>840</v>
      </c>
      <c r="H18" s="8" t="s">
        <v>828</v>
      </c>
      <c r="I18" s="8" t="s">
        <v>46</v>
      </c>
      <c r="J18" s="8" t="s">
        <v>870</v>
      </c>
      <c r="K18" s="8" t="s">
        <v>822</v>
      </c>
    </row>
    <row r="19" customFormat="false" ht="15" hidden="false" customHeight="true" outlineLevel="0" collapsed="false">
      <c r="A19" s="25" t="s">
        <v>834</v>
      </c>
      <c r="B19" s="24" t="n">
        <v>1</v>
      </c>
      <c r="C19" s="24" t="n">
        <v>1</v>
      </c>
      <c r="D19" s="24" t="n">
        <v>1</v>
      </c>
      <c r="E19" s="29" t="n">
        <v>0.75</v>
      </c>
      <c r="F19" s="30" t="n">
        <v>1.5</v>
      </c>
      <c r="G19" s="24" t="n">
        <v>1</v>
      </c>
      <c r="H19" s="24" t="n">
        <v>1</v>
      </c>
      <c r="I19" s="24" t="n">
        <v>1</v>
      </c>
      <c r="J19" s="24" t="n">
        <v>1</v>
      </c>
      <c r="K19" s="24" t="n">
        <v>1</v>
      </c>
    </row>
    <row r="20" customFormat="false" ht="15" hidden="false" customHeight="true" outlineLevel="0" collapsed="false">
      <c r="A20" s="25" t="s">
        <v>864</v>
      </c>
      <c r="B20" s="24" t="n">
        <v>1</v>
      </c>
      <c r="C20" s="24" t="n">
        <v>1</v>
      </c>
      <c r="D20" s="24" t="n">
        <v>1</v>
      </c>
      <c r="E20" s="24" t="n">
        <v>1</v>
      </c>
      <c r="F20" s="29" t="n">
        <v>0.75</v>
      </c>
      <c r="G20" s="24" t="n">
        <v>1</v>
      </c>
      <c r="H20" s="30" t="n">
        <v>1.5</v>
      </c>
      <c r="I20" s="24" t="n">
        <v>1</v>
      </c>
      <c r="J20" s="24" t="n">
        <v>1</v>
      </c>
      <c r="K20" s="24" t="n">
        <v>1</v>
      </c>
    </row>
    <row r="21" customFormat="false" ht="15" hidden="false" customHeight="true" outlineLevel="0" collapsed="false">
      <c r="A21" s="25" t="s">
        <v>846</v>
      </c>
      <c r="B21" s="24" t="n">
        <v>1</v>
      </c>
      <c r="C21" s="24" t="n">
        <v>1</v>
      </c>
      <c r="D21" s="24" t="n">
        <v>1</v>
      </c>
      <c r="E21" s="24" t="n">
        <v>1</v>
      </c>
      <c r="F21" s="24" t="n">
        <v>1</v>
      </c>
      <c r="G21" s="24" t="n">
        <v>1</v>
      </c>
      <c r="H21" s="29" t="n">
        <v>0.75</v>
      </c>
      <c r="I21" s="24" t="n">
        <v>1</v>
      </c>
      <c r="J21" s="29" t="n">
        <v>0.75</v>
      </c>
      <c r="K21" s="24" t="n">
        <v>1</v>
      </c>
    </row>
    <row r="22" customFormat="false" ht="15" hidden="false" customHeight="true" outlineLevel="0" collapsed="false">
      <c r="A22" s="25" t="s">
        <v>858</v>
      </c>
      <c r="B22" s="30" t="n">
        <v>1.5</v>
      </c>
      <c r="C22" s="24" t="n">
        <v>1</v>
      </c>
      <c r="D22" s="24" t="n">
        <v>1</v>
      </c>
      <c r="E22" s="24" t="n">
        <v>1</v>
      </c>
      <c r="F22" s="24" t="n">
        <v>1</v>
      </c>
      <c r="G22" s="29" t="n">
        <v>0.75</v>
      </c>
      <c r="H22" s="24" t="n">
        <v>1</v>
      </c>
      <c r="I22" s="24" t="n">
        <v>1</v>
      </c>
      <c r="J22" s="24" t="n">
        <v>1</v>
      </c>
      <c r="K22" s="24" t="n">
        <v>1</v>
      </c>
    </row>
    <row r="23" customFormat="false" ht="15" hidden="false" customHeight="true" outlineLevel="0" collapsed="false">
      <c r="A23" s="25" t="s">
        <v>852</v>
      </c>
      <c r="B23" s="29" t="n">
        <v>0.75</v>
      </c>
      <c r="C23" s="30" t="n">
        <v>1.5</v>
      </c>
      <c r="D23" s="24" t="n">
        <v>1</v>
      </c>
      <c r="E23" s="24" t="n">
        <v>1</v>
      </c>
      <c r="F23" s="24" t="n">
        <v>1</v>
      </c>
      <c r="G23" s="24" t="n">
        <v>1</v>
      </c>
      <c r="H23" s="24" t="n">
        <v>1</v>
      </c>
      <c r="I23" s="24" t="n">
        <v>1</v>
      </c>
      <c r="J23" s="24" t="n">
        <v>1</v>
      </c>
      <c r="K23" s="24" t="n">
        <v>1</v>
      </c>
    </row>
    <row r="24" customFormat="false" ht="15" hidden="false" customHeight="true" outlineLevel="0" collapsed="false">
      <c r="A24" s="25" t="s">
        <v>840</v>
      </c>
      <c r="B24" s="24" t="n">
        <v>1</v>
      </c>
      <c r="C24" s="24" t="n">
        <v>1</v>
      </c>
      <c r="D24" s="24" t="n">
        <v>1</v>
      </c>
      <c r="E24" s="30" t="n">
        <v>1.5</v>
      </c>
      <c r="F24" s="24" t="n">
        <v>1</v>
      </c>
      <c r="G24" s="24" t="n">
        <v>1</v>
      </c>
      <c r="H24" s="29" t="n">
        <v>0.75</v>
      </c>
      <c r="I24" s="24" t="n">
        <v>1</v>
      </c>
      <c r="J24" s="24" t="n">
        <v>1</v>
      </c>
      <c r="K24" s="24" t="n">
        <v>1</v>
      </c>
    </row>
    <row r="25" customFormat="false" ht="15" hidden="false" customHeight="true" outlineLevel="0" collapsed="false">
      <c r="A25" s="25" t="s">
        <v>828</v>
      </c>
      <c r="B25" s="24" t="n">
        <v>1</v>
      </c>
      <c r="C25" s="29" t="n">
        <v>0.75</v>
      </c>
      <c r="D25" s="30" t="n">
        <v>1.5</v>
      </c>
      <c r="E25" s="24" t="n">
        <v>1</v>
      </c>
      <c r="F25" s="24" t="n">
        <v>1</v>
      </c>
      <c r="G25" s="30" t="n">
        <v>1.5</v>
      </c>
      <c r="H25" s="24" t="n">
        <v>1</v>
      </c>
      <c r="I25" s="24" t="n">
        <v>1</v>
      </c>
      <c r="J25" s="24" t="n">
        <v>1</v>
      </c>
      <c r="K25" s="24" t="n">
        <v>1</v>
      </c>
    </row>
    <row r="26" customFormat="false" ht="15" hidden="false" customHeight="true" outlineLevel="0" collapsed="false">
      <c r="A26" s="25" t="s">
        <v>46</v>
      </c>
      <c r="B26" s="24" t="n">
        <v>1</v>
      </c>
      <c r="C26" s="24" t="n">
        <v>1</v>
      </c>
      <c r="D26" s="24" t="n">
        <v>1</v>
      </c>
      <c r="E26" s="24" t="n">
        <v>1</v>
      </c>
      <c r="F26" s="24" t="n">
        <v>1</v>
      </c>
      <c r="G26" s="24" t="n">
        <v>1</v>
      </c>
      <c r="H26" s="24" t="n">
        <v>1</v>
      </c>
      <c r="I26" s="24" t="n">
        <v>1</v>
      </c>
      <c r="J26" s="30" t="n">
        <v>1.5</v>
      </c>
      <c r="K26" s="24" t="n">
        <v>1</v>
      </c>
    </row>
    <row r="27" customFormat="false" ht="15" hidden="false" customHeight="true" outlineLevel="0" collapsed="false">
      <c r="A27" s="25" t="s">
        <v>870</v>
      </c>
      <c r="B27" s="24" t="n">
        <v>1</v>
      </c>
      <c r="C27" s="24" t="n">
        <v>1</v>
      </c>
      <c r="D27" s="29" t="n">
        <v>0.75</v>
      </c>
      <c r="E27" s="24" t="n">
        <v>1</v>
      </c>
      <c r="F27" s="24" t="n">
        <v>1</v>
      </c>
      <c r="G27" s="24" t="n">
        <v>1</v>
      </c>
      <c r="H27" s="24" t="n">
        <v>1</v>
      </c>
      <c r="I27" s="30" t="n">
        <v>1.5</v>
      </c>
      <c r="J27" s="24" t="n">
        <v>1</v>
      </c>
      <c r="K27" s="24" t="n">
        <v>1</v>
      </c>
    </row>
    <row r="28" customFormat="false" ht="15" hidden="false" customHeight="true" outlineLevel="0" collapsed="false">
      <c r="A28" s="25" t="s">
        <v>822</v>
      </c>
      <c r="B28" s="24" t="n">
        <v>1</v>
      </c>
      <c r="C28" s="24" t="n">
        <v>1</v>
      </c>
      <c r="D28" s="24" t="n">
        <v>1</v>
      </c>
      <c r="E28" s="24" t="n">
        <v>1</v>
      </c>
      <c r="F28" s="24" t="n">
        <v>1</v>
      </c>
      <c r="G28" s="24" t="n">
        <v>1</v>
      </c>
      <c r="H28" s="24" t="n">
        <v>1</v>
      </c>
      <c r="I28" s="24" t="n">
        <v>1</v>
      </c>
      <c r="J28" s="24" t="n">
        <v>1</v>
      </c>
      <c r="K28" s="24" t="n">
        <v>1</v>
      </c>
    </row>
    <row r="29" customFormat="false" ht="15" hidden="false" customHeight="true" outlineLevel="0" collapsed="false">
      <c r="A29" s="17" t="s">
        <v>884</v>
      </c>
    </row>
  </sheetData>
  <conditionalFormatting sqref="A5:A14">
    <cfRule type="expression" priority="2" aboveAverage="0" equalAverage="0" bottom="0" percent="0" rank="0" text="" dxfId="16">
      <formula>$A5="Neutre"</formula>
    </cfRule>
    <cfRule type="expression" priority="3" aboveAverage="0" equalAverage="0" bottom="0" percent="0" rank="0" text="" dxfId="17">
      <formula>$A5="Terre"</formula>
    </cfRule>
    <cfRule type="expression" priority="4" aboveAverage="0" equalAverage="0" bottom="0" percent="0" rank="0" text="" dxfId="18">
      <formula>$A5="Feu"</formula>
    </cfRule>
    <cfRule type="expression" priority="5" aboveAverage="0" equalAverage="0" bottom="0" percent="0" rank="0" text="" dxfId="19">
      <formula>$A5="Vent"</formula>
    </cfRule>
    <cfRule type="expression" priority="6" aboveAverage="0" equalAverage="0" bottom="0" percent="0" rank="0" text="" dxfId="20">
      <formula>$A5="Acide"</formula>
    </cfRule>
    <cfRule type="expression" priority="7" aboveAverage="0" equalAverage="0" bottom="0" percent="0" rank="0" text="" dxfId="21">
      <formula>$A5="Eau"</formula>
    </cfRule>
    <cfRule type="expression" priority="8" aboveAverage="0" equalAverage="0" bottom="0" percent="0" rank="0" text="" dxfId="22">
      <formula>$A5="Glace"</formula>
    </cfRule>
    <cfRule type="expression" priority="9" aboveAverage="0" equalAverage="0" bottom="0" percent="0" rank="0" text="" dxfId="23">
      <formula>$A5="Électricité"</formula>
    </cfRule>
    <cfRule type="expression" priority="10" aboveAverage="0" equalAverage="0" bottom="0" percent="0" rank="0" text="" dxfId="24">
      <formula>$A5="Lumière"</formula>
    </cfRule>
    <cfRule type="expression" priority="11" aboveAverage="0" equalAverage="0" bottom="0" percent="0" rank="0" text="" dxfId="25">
      <formula>$A5="Ombre"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8"/>
    <col collapsed="false" customWidth="true" hidden="false" outlineLevel="0" max="4" min="4" style="1" width="60"/>
    <col collapsed="false" customWidth="true" hidden="false" outlineLevel="0" max="5" min="5" style="1" width="42"/>
    <col collapsed="false" customWidth="true" hidden="false" outlineLevel="0" max="6" min="6" style="1" width="20"/>
    <col collapsed="false" customWidth="true" hidden="false" outlineLevel="0" max="7" min="7" style="1" width="11"/>
    <col collapsed="false" customWidth="true" hidden="false" outlineLevel="0" max="9" min="8" style="1" width="24"/>
    <col collapsed="false" customWidth="true" hidden="false" outlineLevel="0" max="10" min="10" style="1" width="26"/>
    <col collapsed="false" customWidth="true" hidden="false" outlineLevel="0" max="12" min="11" style="1" width="14"/>
  </cols>
  <sheetData>
    <row r="1" customFormat="false" ht="17.25" hidden="false" customHeight="true" outlineLevel="0" collapsed="false">
      <c r="A1" s="2" t="s">
        <v>885</v>
      </c>
    </row>
    <row r="2" customFormat="false" ht="15" hidden="false" customHeight="true" outlineLevel="0" collapsed="false">
      <c r="A2" s="3" t="s">
        <v>886</v>
      </c>
    </row>
    <row r="4" customFormat="false" ht="36" hidden="false" customHeight="true" outlineLevel="0" collapsed="false">
      <c r="A4" s="8" t="s">
        <v>887</v>
      </c>
      <c r="B4" s="8" t="s">
        <v>888</v>
      </c>
      <c r="C4" s="8" t="s">
        <v>889</v>
      </c>
      <c r="D4" s="8" t="s">
        <v>890</v>
      </c>
      <c r="E4" s="8" t="s">
        <v>891</v>
      </c>
      <c r="F4" s="8" t="s">
        <v>892</v>
      </c>
      <c r="G4" s="8" t="s">
        <v>893</v>
      </c>
      <c r="H4" s="8" t="s">
        <v>894</v>
      </c>
      <c r="I4" s="8" t="s">
        <v>895</v>
      </c>
      <c r="J4" s="8" t="s">
        <v>896</v>
      </c>
      <c r="K4" s="8" t="s">
        <v>897</v>
      </c>
      <c r="L4" s="8" t="s">
        <v>898</v>
      </c>
    </row>
    <row r="5" customFormat="false" ht="39.75" hidden="false" customHeight="true" outlineLevel="0" collapsed="false">
      <c r="A5" s="25" t="s">
        <v>834</v>
      </c>
      <c r="B5" s="25" t="s">
        <v>834</v>
      </c>
      <c r="C5" s="25" t="s">
        <v>899</v>
      </c>
      <c r="D5" s="21" t="s">
        <v>900</v>
      </c>
      <c r="E5" s="31" t="s">
        <v>901</v>
      </c>
      <c r="F5" s="7" t="s">
        <v>902</v>
      </c>
      <c r="G5" s="13" t="n">
        <f aca="false">MAX(INDEX(Éléments!$C$5:$C$14,MATCH(A5,Éléments!$A$5:$A$14,0)),INDEX(Éléments!$C$5:$C$14,MATCH(B5,Éléments!$A$5:$A$14,0)),Paramètres!$B$11)</f>
        <v>85</v>
      </c>
      <c r="H5" s="11" t="s">
        <v>903</v>
      </c>
      <c r="I5" s="11" t="s">
        <v>904</v>
      </c>
      <c r="J5" s="11" t="s">
        <v>905</v>
      </c>
      <c r="K5" s="26" t="str">
        <f aca="false">A5&amp;"|"&amp;B5</f>
        <v>Feu|Feu</v>
      </c>
      <c r="L5" s="26" t="str">
        <f aca="false">B5&amp;"|"&amp;A5</f>
        <v>Feu|Feu</v>
      </c>
    </row>
    <row r="6" customFormat="false" ht="39.75" hidden="false" customHeight="true" outlineLevel="0" collapsed="false">
      <c r="A6" s="25" t="s">
        <v>834</v>
      </c>
      <c r="B6" s="25" t="s">
        <v>864</v>
      </c>
      <c r="C6" s="25" t="s">
        <v>906</v>
      </c>
      <c r="D6" s="21" t="s">
        <v>907</v>
      </c>
      <c r="E6" s="31" t="s">
        <v>908</v>
      </c>
      <c r="F6" s="7" t="s">
        <v>909</v>
      </c>
      <c r="G6" s="13" t="n">
        <f aca="false">MAX(INDEX(Éléments!$C$5:$C$14,MATCH(A6,Éléments!$A$5:$A$14,0)),INDEX(Éléments!$C$5:$C$14,MATCH(B6,Éléments!$A$5:$A$14,0)),Paramètres!$B$11)</f>
        <v>85</v>
      </c>
      <c r="H6" s="11" t="s">
        <v>910</v>
      </c>
      <c r="I6" s="11" t="s">
        <v>911</v>
      </c>
      <c r="J6" s="11" t="s">
        <v>912</v>
      </c>
      <c r="K6" s="26" t="str">
        <f aca="false">A6&amp;"|"&amp;B6</f>
        <v>Feu|Électricité</v>
      </c>
      <c r="L6" s="26" t="str">
        <f aca="false">B6&amp;"|"&amp;A6</f>
        <v>Électricité|Feu</v>
      </c>
    </row>
    <row r="7" customFormat="false" ht="39.75" hidden="false" customHeight="true" outlineLevel="0" collapsed="false">
      <c r="A7" s="25" t="s">
        <v>834</v>
      </c>
      <c r="B7" s="25" t="s">
        <v>846</v>
      </c>
      <c r="C7" s="25" t="s">
        <v>913</v>
      </c>
      <c r="D7" s="21" t="s">
        <v>914</v>
      </c>
      <c r="E7" s="31" t="s">
        <v>915</v>
      </c>
      <c r="F7" s="7" t="s">
        <v>916</v>
      </c>
      <c r="G7" s="13" t="n">
        <f aca="false">MAX(INDEX(Éléments!$C$5:$C$14,MATCH(A7,Éléments!$A$5:$A$14,0)),INDEX(Éléments!$C$5:$C$14,MATCH(B7,Éléments!$A$5:$A$14,0)),Paramètres!$B$11)</f>
        <v>85</v>
      </c>
      <c r="H7" s="11" t="s">
        <v>917</v>
      </c>
      <c r="I7" s="11" t="s">
        <v>918</v>
      </c>
      <c r="J7" s="11" t="s">
        <v>919</v>
      </c>
      <c r="K7" s="26" t="str">
        <f aca="false">A7&amp;"|"&amp;B7</f>
        <v>Feu|Acide</v>
      </c>
      <c r="L7" s="26" t="str">
        <f aca="false">B7&amp;"|"&amp;A7</f>
        <v>Acide|Feu</v>
      </c>
    </row>
    <row r="8" customFormat="false" ht="39.75" hidden="false" customHeight="true" outlineLevel="0" collapsed="false">
      <c r="A8" s="25" t="s">
        <v>834</v>
      </c>
      <c r="B8" s="25" t="s">
        <v>858</v>
      </c>
      <c r="C8" s="25" t="s">
        <v>920</v>
      </c>
      <c r="D8" s="21" t="s">
        <v>921</v>
      </c>
      <c r="E8" s="31" t="s">
        <v>922</v>
      </c>
      <c r="F8" s="7" t="s">
        <v>923</v>
      </c>
      <c r="G8" s="13" t="n">
        <f aca="false">MAX(INDEX(Éléments!$C$5:$C$14,MATCH(A8,Éléments!$A$5:$A$14,0)),INDEX(Éléments!$C$5:$C$14,MATCH(B8,Éléments!$A$5:$A$14,0)),Paramètres!$B$11)</f>
        <v>85</v>
      </c>
      <c r="H8" s="11" t="s">
        <v>924</v>
      </c>
      <c r="I8" s="11" t="s">
        <v>925</v>
      </c>
      <c r="J8" s="11" t="s">
        <v>926</v>
      </c>
      <c r="K8" s="26" t="str">
        <f aca="false">A8&amp;"|"&amp;B8</f>
        <v>Feu|Glace</v>
      </c>
      <c r="L8" s="26" t="str">
        <f aca="false">B8&amp;"|"&amp;A8</f>
        <v>Glace|Feu</v>
      </c>
    </row>
    <row r="9" customFormat="false" ht="39.75" hidden="false" customHeight="true" outlineLevel="0" collapsed="false">
      <c r="A9" s="25" t="s">
        <v>834</v>
      </c>
      <c r="B9" s="25" t="s">
        <v>852</v>
      </c>
      <c r="C9" s="25" t="s">
        <v>927</v>
      </c>
      <c r="D9" s="21" t="s">
        <v>928</v>
      </c>
      <c r="E9" s="31" t="s">
        <v>929</v>
      </c>
      <c r="F9" s="7" t="s">
        <v>930</v>
      </c>
      <c r="G9" s="13" t="n">
        <f aca="false">MAX(INDEX(Éléments!$C$5:$C$14,MATCH(A9,Éléments!$A$5:$A$14,0)),INDEX(Éléments!$C$5:$C$14,MATCH(B9,Éléments!$A$5:$A$14,0)),Paramètres!$B$11)</f>
        <v>85</v>
      </c>
      <c r="H9" s="11" t="s">
        <v>931</v>
      </c>
      <c r="I9" s="11" t="s">
        <v>932</v>
      </c>
      <c r="J9" s="11" t="s">
        <v>933</v>
      </c>
      <c r="K9" s="26" t="str">
        <f aca="false">A9&amp;"|"&amp;B9</f>
        <v>Feu|Eau</v>
      </c>
      <c r="L9" s="26" t="str">
        <f aca="false">B9&amp;"|"&amp;A9</f>
        <v>Eau|Feu</v>
      </c>
    </row>
    <row r="10" customFormat="false" ht="39.75" hidden="false" customHeight="true" outlineLevel="0" collapsed="false">
      <c r="A10" s="25" t="s">
        <v>834</v>
      </c>
      <c r="B10" s="25" t="s">
        <v>840</v>
      </c>
      <c r="C10" s="25" t="s">
        <v>934</v>
      </c>
      <c r="D10" s="21" t="s">
        <v>935</v>
      </c>
      <c r="E10" s="31" t="s">
        <v>936</v>
      </c>
      <c r="F10" s="7" t="s">
        <v>937</v>
      </c>
      <c r="G10" s="13" t="n">
        <f aca="false">MAX(INDEX(Éléments!$C$5:$C$14,MATCH(A10,Éléments!$A$5:$A$14,0)),INDEX(Éléments!$C$5:$C$14,MATCH(B10,Éléments!$A$5:$A$14,0)),Paramètres!$B$11)</f>
        <v>85</v>
      </c>
      <c r="H10" s="11" t="s">
        <v>938</v>
      </c>
      <c r="I10" s="11" t="s">
        <v>939</v>
      </c>
      <c r="J10" s="11" t="s">
        <v>940</v>
      </c>
      <c r="K10" s="26" t="str">
        <f aca="false">A10&amp;"|"&amp;B10</f>
        <v>Feu|Vent</v>
      </c>
      <c r="L10" s="26" t="str">
        <f aca="false">B10&amp;"|"&amp;A10</f>
        <v>Vent|Feu</v>
      </c>
    </row>
    <row r="11" customFormat="false" ht="39.75" hidden="false" customHeight="true" outlineLevel="0" collapsed="false">
      <c r="A11" s="25" t="s">
        <v>834</v>
      </c>
      <c r="B11" s="25" t="s">
        <v>828</v>
      </c>
      <c r="C11" s="25" t="s">
        <v>941</v>
      </c>
      <c r="D11" s="21" t="s">
        <v>942</v>
      </c>
      <c r="E11" s="31" t="s">
        <v>943</v>
      </c>
      <c r="F11" s="7" t="s">
        <v>930</v>
      </c>
      <c r="G11" s="13" t="n">
        <f aca="false">MAX(INDEX(Éléments!$C$5:$C$14,MATCH(A11,Éléments!$A$5:$A$14,0)),INDEX(Éléments!$C$5:$C$14,MATCH(B11,Éléments!$A$5:$A$14,0)),Paramètres!$B$11)</f>
        <v>85</v>
      </c>
      <c r="H11" s="11" t="s">
        <v>944</v>
      </c>
      <c r="I11" s="11" t="s">
        <v>945</v>
      </c>
      <c r="J11" s="11" t="s">
        <v>946</v>
      </c>
      <c r="K11" s="26" t="str">
        <f aca="false">A11&amp;"|"&amp;B11</f>
        <v>Feu|Terre</v>
      </c>
      <c r="L11" s="26" t="str">
        <f aca="false">B11&amp;"|"&amp;A11</f>
        <v>Terre|Feu</v>
      </c>
    </row>
    <row r="12" customFormat="false" ht="39.75" hidden="false" customHeight="true" outlineLevel="0" collapsed="false">
      <c r="A12" s="25" t="s">
        <v>834</v>
      </c>
      <c r="B12" s="25" t="s">
        <v>46</v>
      </c>
      <c r="C12" s="25" t="s">
        <v>947</v>
      </c>
      <c r="D12" s="21" t="s">
        <v>948</v>
      </c>
      <c r="E12" s="31" t="s">
        <v>949</v>
      </c>
      <c r="F12" s="7" t="s">
        <v>950</v>
      </c>
      <c r="G12" s="13" t="n">
        <f aca="false">MAX(INDEX(Éléments!$C$5:$C$14,MATCH(A12,Éléments!$A$5:$A$14,0)),INDEX(Éléments!$C$5:$C$14,MATCH(B12,Éléments!$A$5:$A$14,0)),Paramètres!$B$11)</f>
        <v>100</v>
      </c>
      <c r="H12" s="11" t="s">
        <v>951</v>
      </c>
      <c r="I12" s="11" t="s">
        <v>952</v>
      </c>
      <c r="J12" s="11" t="s">
        <v>953</v>
      </c>
      <c r="K12" s="26" t="str">
        <f aca="false">A12&amp;"|"&amp;B12</f>
        <v>Feu|Ombre</v>
      </c>
      <c r="L12" s="26" t="str">
        <f aca="false">B12&amp;"|"&amp;A12</f>
        <v>Ombre|Feu</v>
      </c>
    </row>
    <row r="13" customFormat="false" ht="39.75" hidden="false" customHeight="true" outlineLevel="0" collapsed="false">
      <c r="A13" s="25" t="s">
        <v>834</v>
      </c>
      <c r="B13" s="25" t="s">
        <v>870</v>
      </c>
      <c r="C13" s="25" t="s">
        <v>954</v>
      </c>
      <c r="D13" s="21" t="s">
        <v>955</v>
      </c>
      <c r="E13" s="31" t="s">
        <v>956</v>
      </c>
      <c r="F13" s="7" t="s">
        <v>957</v>
      </c>
      <c r="G13" s="13" t="n">
        <f aca="false">MAX(INDEX(Éléments!$C$5:$C$14,MATCH(A13,Éléments!$A$5:$A$14,0)),INDEX(Éléments!$C$5:$C$14,MATCH(B13,Éléments!$A$5:$A$14,0)),Paramètres!$B$11)</f>
        <v>90</v>
      </c>
      <c r="H13" s="11" t="s">
        <v>958</v>
      </c>
      <c r="I13" s="11" t="s">
        <v>959</v>
      </c>
      <c r="J13" s="11" t="s">
        <v>960</v>
      </c>
      <c r="K13" s="26" t="str">
        <f aca="false">A13&amp;"|"&amp;B13</f>
        <v>Feu|Lumière</v>
      </c>
      <c r="L13" s="26" t="str">
        <f aca="false">B13&amp;"|"&amp;A13</f>
        <v>Lumière|Feu</v>
      </c>
    </row>
    <row r="14" customFormat="false" ht="39.75" hidden="false" customHeight="true" outlineLevel="0" collapsed="false">
      <c r="A14" s="25" t="s">
        <v>834</v>
      </c>
      <c r="B14" s="25" t="s">
        <v>822</v>
      </c>
      <c r="C14" s="25" t="s">
        <v>961</v>
      </c>
      <c r="D14" s="21" t="s">
        <v>962</v>
      </c>
      <c r="E14" s="31" t="s">
        <v>963</v>
      </c>
      <c r="F14" s="7" t="s">
        <v>964</v>
      </c>
      <c r="G14" s="13" t="n">
        <f aca="false">MAX(INDEX(Éléments!$C$5:$C$14,MATCH(A14,Éléments!$A$5:$A$14,0)),INDEX(Éléments!$C$5:$C$14,MATCH(B14,Éléments!$A$5:$A$14,0)),Paramètres!$B$11)</f>
        <v>85</v>
      </c>
      <c r="H14" s="11" t="s">
        <v>965</v>
      </c>
      <c r="I14" s="11" t="s">
        <v>966</v>
      </c>
      <c r="J14" s="11" t="s">
        <v>967</v>
      </c>
      <c r="K14" s="26" t="str">
        <f aca="false">A14&amp;"|"&amp;B14</f>
        <v>Feu|Neutre</v>
      </c>
      <c r="L14" s="26" t="str">
        <f aca="false">B14&amp;"|"&amp;A14</f>
        <v>Neutre|Feu</v>
      </c>
    </row>
    <row r="15" customFormat="false" ht="39.75" hidden="false" customHeight="true" outlineLevel="0" collapsed="false">
      <c r="A15" s="25" t="s">
        <v>864</v>
      </c>
      <c r="B15" s="25" t="s">
        <v>864</v>
      </c>
      <c r="C15" s="25" t="s">
        <v>968</v>
      </c>
      <c r="D15" s="21" t="s">
        <v>969</v>
      </c>
      <c r="E15" s="31" t="s">
        <v>970</v>
      </c>
      <c r="F15" s="7" t="s">
        <v>971</v>
      </c>
      <c r="G15" s="13" t="n">
        <f aca="false">MAX(INDEX(Éléments!$C$5:$C$14,MATCH(A15,Éléments!$A$5:$A$14,0)),INDEX(Éléments!$C$5:$C$14,MATCH(B15,Éléments!$A$5:$A$14,0)),Paramètres!$B$11)</f>
        <v>85</v>
      </c>
      <c r="H15" s="11" t="s">
        <v>972</v>
      </c>
      <c r="I15" s="11" t="s">
        <v>973</v>
      </c>
      <c r="J15" s="11" t="s">
        <v>974</v>
      </c>
      <c r="K15" s="26" t="str">
        <f aca="false">A15&amp;"|"&amp;B15</f>
        <v>Électricité|Électricité</v>
      </c>
      <c r="L15" s="26" t="str">
        <f aca="false">B15&amp;"|"&amp;A15</f>
        <v>Électricité|Électricité</v>
      </c>
    </row>
    <row r="16" customFormat="false" ht="39.75" hidden="false" customHeight="true" outlineLevel="0" collapsed="false">
      <c r="A16" s="25" t="s">
        <v>864</v>
      </c>
      <c r="B16" s="25" t="s">
        <v>846</v>
      </c>
      <c r="C16" s="25" t="s">
        <v>975</v>
      </c>
      <c r="D16" s="21" t="s">
        <v>976</v>
      </c>
      <c r="E16" s="31" t="s">
        <v>977</v>
      </c>
      <c r="F16" s="7" t="s">
        <v>978</v>
      </c>
      <c r="G16" s="13" t="n">
        <f aca="false">MAX(INDEX(Éléments!$C$5:$C$14,MATCH(A16,Éléments!$A$5:$A$14,0)),INDEX(Éléments!$C$5:$C$14,MATCH(B16,Éléments!$A$5:$A$14,0)),Paramètres!$B$11)</f>
        <v>85</v>
      </c>
      <c r="H16" s="11" t="s">
        <v>979</v>
      </c>
      <c r="I16" s="11" t="s">
        <v>980</v>
      </c>
      <c r="J16" s="11" t="s">
        <v>981</v>
      </c>
      <c r="K16" s="26" t="str">
        <f aca="false">A16&amp;"|"&amp;B16</f>
        <v>Électricité|Acide</v>
      </c>
      <c r="L16" s="26" t="str">
        <f aca="false">B16&amp;"|"&amp;A16</f>
        <v>Acide|Électricité</v>
      </c>
    </row>
    <row r="17" customFormat="false" ht="39.75" hidden="false" customHeight="true" outlineLevel="0" collapsed="false">
      <c r="A17" s="25" t="s">
        <v>864</v>
      </c>
      <c r="B17" s="25" t="s">
        <v>858</v>
      </c>
      <c r="C17" s="25" t="s">
        <v>982</v>
      </c>
      <c r="D17" s="21" t="s">
        <v>983</v>
      </c>
      <c r="E17" s="31" t="s">
        <v>984</v>
      </c>
      <c r="F17" s="7" t="s">
        <v>985</v>
      </c>
      <c r="G17" s="13" t="n">
        <f aca="false">MAX(INDEX(Éléments!$C$5:$C$14,MATCH(A17,Éléments!$A$5:$A$14,0)),INDEX(Éléments!$C$5:$C$14,MATCH(B17,Éléments!$A$5:$A$14,0)),Paramètres!$B$11)</f>
        <v>85</v>
      </c>
      <c r="H17" s="11" t="s">
        <v>986</v>
      </c>
      <c r="I17" s="11" t="s">
        <v>987</v>
      </c>
      <c r="J17" s="11" t="s">
        <v>988</v>
      </c>
      <c r="K17" s="26" t="str">
        <f aca="false">A17&amp;"|"&amp;B17</f>
        <v>Électricité|Glace</v>
      </c>
      <c r="L17" s="26" t="str">
        <f aca="false">B17&amp;"|"&amp;A17</f>
        <v>Glace|Électricité</v>
      </c>
    </row>
    <row r="18" customFormat="false" ht="39.75" hidden="false" customHeight="true" outlineLevel="0" collapsed="false">
      <c r="A18" s="25" t="s">
        <v>864</v>
      </c>
      <c r="B18" s="25" t="s">
        <v>852</v>
      </c>
      <c r="C18" s="25" t="s">
        <v>989</v>
      </c>
      <c r="D18" s="21" t="s">
        <v>990</v>
      </c>
      <c r="E18" s="31" t="s">
        <v>991</v>
      </c>
      <c r="F18" s="7" t="s">
        <v>992</v>
      </c>
      <c r="G18" s="13" t="n">
        <f aca="false">MAX(INDEX(Éléments!$C$5:$C$14,MATCH(A18,Éléments!$A$5:$A$14,0)),INDEX(Éléments!$C$5:$C$14,MATCH(B18,Éléments!$A$5:$A$14,0)),Paramètres!$B$11)</f>
        <v>85</v>
      </c>
      <c r="H18" s="11" t="s">
        <v>993</v>
      </c>
      <c r="I18" s="11" t="s">
        <v>994</v>
      </c>
      <c r="J18" s="11" t="s">
        <v>995</v>
      </c>
      <c r="K18" s="26" t="str">
        <f aca="false">A18&amp;"|"&amp;B18</f>
        <v>Électricité|Eau</v>
      </c>
      <c r="L18" s="26" t="str">
        <f aca="false">B18&amp;"|"&amp;A18</f>
        <v>Eau|Électricité</v>
      </c>
    </row>
    <row r="19" customFormat="false" ht="39.75" hidden="false" customHeight="true" outlineLevel="0" collapsed="false">
      <c r="A19" s="25" t="s">
        <v>864</v>
      </c>
      <c r="B19" s="25" t="s">
        <v>840</v>
      </c>
      <c r="C19" s="25" t="s">
        <v>996</v>
      </c>
      <c r="D19" s="21" t="s">
        <v>997</v>
      </c>
      <c r="E19" s="31" t="s">
        <v>998</v>
      </c>
      <c r="F19" s="7" t="s">
        <v>999</v>
      </c>
      <c r="G19" s="13" t="n">
        <f aca="false">MAX(INDEX(Éléments!$C$5:$C$14,MATCH(A19,Éléments!$A$5:$A$14,0)),INDEX(Éléments!$C$5:$C$14,MATCH(B19,Éléments!$A$5:$A$14,0)),Paramètres!$B$11)</f>
        <v>85</v>
      </c>
      <c r="H19" s="11" t="s">
        <v>1000</v>
      </c>
      <c r="I19" s="11" t="s">
        <v>1001</v>
      </c>
      <c r="J19" s="11" t="s">
        <v>1002</v>
      </c>
      <c r="K19" s="26" t="str">
        <f aca="false">A19&amp;"|"&amp;B19</f>
        <v>Électricité|Vent</v>
      </c>
      <c r="L19" s="26" t="str">
        <f aca="false">B19&amp;"|"&amp;A19</f>
        <v>Vent|Électricité</v>
      </c>
    </row>
    <row r="20" customFormat="false" ht="39.75" hidden="false" customHeight="true" outlineLevel="0" collapsed="false">
      <c r="A20" s="25" t="s">
        <v>864</v>
      </c>
      <c r="B20" s="25" t="s">
        <v>828</v>
      </c>
      <c r="C20" s="25" t="s">
        <v>1003</v>
      </c>
      <c r="D20" s="21" t="s">
        <v>1004</v>
      </c>
      <c r="E20" s="31" t="s">
        <v>1005</v>
      </c>
      <c r="F20" s="7" t="s">
        <v>1006</v>
      </c>
      <c r="G20" s="13" t="n">
        <f aca="false">MAX(INDEX(Éléments!$C$5:$C$14,MATCH(A20,Éléments!$A$5:$A$14,0)),INDEX(Éléments!$C$5:$C$14,MATCH(B20,Éléments!$A$5:$A$14,0)),Paramètres!$B$11)</f>
        <v>85</v>
      </c>
      <c r="H20" s="11" t="s">
        <v>1007</v>
      </c>
      <c r="I20" s="11" t="s">
        <v>1008</v>
      </c>
      <c r="J20" s="11" t="s">
        <v>1009</v>
      </c>
      <c r="K20" s="26" t="str">
        <f aca="false">A20&amp;"|"&amp;B20</f>
        <v>Électricité|Terre</v>
      </c>
      <c r="L20" s="26" t="str">
        <f aca="false">B20&amp;"|"&amp;A20</f>
        <v>Terre|Électricité</v>
      </c>
    </row>
    <row r="21" customFormat="false" ht="39.75" hidden="false" customHeight="true" outlineLevel="0" collapsed="false">
      <c r="A21" s="25" t="s">
        <v>864</v>
      </c>
      <c r="B21" s="25" t="s">
        <v>46</v>
      </c>
      <c r="C21" s="25" t="s">
        <v>1010</v>
      </c>
      <c r="D21" s="21" t="s">
        <v>1011</v>
      </c>
      <c r="E21" s="31" t="s">
        <v>1012</v>
      </c>
      <c r="F21" s="7" t="s">
        <v>1013</v>
      </c>
      <c r="G21" s="13" t="n">
        <f aca="false">MAX(INDEX(Éléments!$C$5:$C$14,MATCH(A21,Éléments!$A$5:$A$14,0)),INDEX(Éléments!$C$5:$C$14,MATCH(B21,Éléments!$A$5:$A$14,0)),Paramètres!$B$11)</f>
        <v>100</v>
      </c>
      <c r="H21" s="11" t="s">
        <v>1014</v>
      </c>
      <c r="I21" s="11" t="s">
        <v>1015</v>
      </c>
      <c r="J21" s="11" t="s">
        <v>1016</v>
      </c>
      <c r="K21" s="26" t="str">
        <f aca="false">A21&amp;"|"&amp;B21</f>
        <v>Électricité|Ombre</v>
      </c>
      <c r="L21" s="26" t="str">
        <f aca="false">B21&amp;"|"&amp;A21</f>
        <v>Ombre|Électricité</v>
      </c>
    </row>
    <row r="22" customFormat="false" ht="39.75" hidden="false" customHeight="true" outlineLevel="0" collapsed="false">
      <c r="A22" s="25" t="s">
        <v>864</v>
      </c>
      <c r="B22" s="25" t="s">
        <v>870</v>
      </c>
      <c r="C22" s="25" t="s">
        <v>1017</v>
      </c>
      <c r="D22" s="21" t="s">
        <v>1018</v>
      </c>
      <c r="E22" s="31" t="s">
        <v>1019</v>
      </c>
      <c r="F22" s="7" t="s">
        <v>1020</v>
      </c>
      <c r="G22" s="13" t="n">
        <f aca="false">MAX(INDEX(Éléments!$C$5:$C$14,MATCH(A22,Éléments!$A$5:$A$14,0)),INDEX(Éléments!$C$5:$C$14,MATCH(B22,Éléments!$A$5:$A$14,0)),Paramètres!$B$11)</f>
        <v>90</v>
      </c>
      <c r="H22" s="11" t="s">
        <v>1021</v>
      </c>
      <c r="I22" s="11" t="s">
        <v>1022</v>
      </c>
      <c r="J22" s="11" t="s">
        <v>1023</v>
      </c>
      <c r="K22" s="26" t="str">
        <f aca="false">A22&amp;"|"&amp;B22</f>
        <v>Électricité|Lumière</v>
      </c>
      <c r="L22" s="26" t="str">
        <f aca="false">B22&amp;"|"&amp;A22</f>
        <v>Lumière|Électricité</v>
      </c>
    </row>
    <row r="23" customFormat="false" ht="39.75" hidden="false" customHeight="true" outlineLevel="0" collapsed="false">
      <c r="A23" s="25" t="s">
        <v>864</v>
      </c>
      <c r="B23" s="25" t="s">
        <v>822</v>
      </c>
      <c r="C23" s="25" t="s">
        <v>1024</v>
      </c>
      <c r="D23" s="21" t="s">
        <v>1025</v>
      </c>
      <c r="E23" s="31" t="s">
        <v>1026</v>
      </c>
      <c r="F23" s="7" t="s">
        <v>1027</v>
      </c>
      <c r="G23" s="13" t="n">
        <f aca="false">MAX(INDEX(Éléments!$C$5:$C$14,MATCH(A23,Éléments!$A$5:$A$14,0)),INDEX(Éléments!$C$5:$C$14,MATCH(B23,Éléments!$A$5:$A$14,0)),Paramètres!$B$11)</f>
        <v>85</v>
      </c>
      <c r="H23" s="11" t="s">
        <v>1028</v>
      </c>
      <c r="I23" s="11" t="s">
        <v>1029</v>
      </c>
      <c r="J23" s="11" t="s">
        <v>1030</v>
      </c>
      <c r="K23" s="26" t="str">
        <f aca="false">A23&amp;"|"&amp;B23</f>
        <v>Électricité|Neutre</v>
      </c>
      <c r="L23" s="26" t="str">
        <f aca="false">B23&amp;"|"&amp;A23</f>
        <v>Neutre|Électricité</v>
      </c>
    </row>
    <row r="24" customFormat="false" ht="39.75" hidden="false" customHeight="true" outlineLevel="0" collapsed="false">
      <c r="A24" s="25" t="s">
        <v>846</v>
      </c>
      <c r="B24" s="25" t="s">
        <v>846</v>
      </c>
      <c r="C24" s="25" t="s">
        <v>849</v>
      </c>
      <c r="D24" s="21" t="s">
        <v>1031</v>
      </c>
      <c r="E24" s="31" t="s">
        <v>1032</v>
      </c>
      <c r="F24" s="7" t="s">
        <v>1033</v>
      </c>
      <c r="G24" s="13" t="n">
        <f aca="false">MAX(INDEX(Éléments!$C$5:$C$14,MATCH(A24,Éléments!$A$5:$A$14,0)),INDEX(Éléments!$C$5:$C$14,MATCH(B24,Éléments!$A$5:$A$14,0)),Paramètres!$B$11)</f>
        <v>85</v>
      </c>
      <c r="H24" s="11" t="s">
        <v>1034</v>
      </c>
      <c r="I24" s="11" t="s">
        <v>1035</v>
      </c>
      <c r="J24" s="11" t="s">
        <v>1036</v>
      </c>
      <c r="K24" s="26" t="str">
        <f aca="false">A24&amp;"|"&amp;B24</f>
        <v>Acide|Acide</v>
      </c>
      <c r="L24" s="26" t="str">
        <f aca="false">B24&amp;"|"&amp;A24</f>
        <v>Acide|Acide</v>
      </c>
    </row>
    <row r="25" customFormat="false" ht="39.75" hidden="false" customHeight="true" outlineLevel="0" collapsed="false">
      <c r="A25" s="25" t="s">
        <v>846</v>
      </c>
      <c r="B25" s="25" t="s">
        <v>858</v>
      </c>
      <c r="C25" s="25" t="s">
        <v>1037</v>
      </c>
      <c r="D25" s="21" t="s">
        <v>1038</v>
      </c>
      <c r="E25" s="31" t="s">
        <v>1039</v>
      </c>
      <c r="F25" s="7" t="s">
        <v>1040</v>
      </c>
      <c r="G25" s="13" t="n">
        <f aca="false">MAX(INDEX(Éléments!$C$5:$C$14,MATCH(A25,Éléments!$A$5:$A$14,0)),INDEX(Éléments!$C$5:$C$14,MATCH(B25,Éléments!$A$5:$A$14,0)),Paramètres!$B$11)</f>
        <v>85</v>
      </c>
      <c r="H25" s="11" t="s">
        <v>1041</v>
      </c>
      <c r="I25" s="11" t="s">
        <v>1042</v>
      </c>
      <c r="J25" s="11" t="s">
        <v>1043</v>
      </c>
      <c r="K25" s="26" t="str">
        <f aca="false">A25&amp;"|"&amp;B25</f>
        <v>Acide|Glace</v>
      </c>
      <c r="L25" s="26" t="str">
        <f aca="false">B25&amp;"|"&amp;A25</f>
        <v>Glace|Acide</v>
      </c>
    </row>
    <row r="26" customFormat="false" ht="39.75" hidden="false" customHeight="true" outlineLevel="0" collapsed="false">
      <c r="A26" s="25" t="s">
        <v>846</v>
      </c>
      <c r="B26" s="25" t="s">
        <v>852</v>
      </c>
      <c r="C26" s="25" t="s">
        <v>1044</v>
      </c>
      <c r="D26" s="21" t="s">
        <v>1045</v>
      </c>
      <c r="E26" s="31" t="s">
        <v>1046</v>
      </c>
      <c r="F26" s="7" t="s">
        <v>930</v>
      </c>
      <c r="G26" s="13" t="n">
        <f aca="false">MAX(INDEX(Éléments!$C$5:$C$14,MATCH(A26,Éléments!$A$5:$A$14,0)),INDEX(Éléments!$C$5:$C$14,MATCH(B26,Éléments!$A$5:$A$14,0)),Paramètres!$B$11)</f>
        <v>85</v>
      </c>
      <c r="H26" s="11" t="s">
        <v>1047</v>
      </c>
      <c r="I26" s="11" t="s">
        <v>1048</v>
      </c>
      <c r="J26" s="11" t="s">
        <v>1049</v>
      </c>
      <c r="K26" s="26" t="str">
        <f aca="false">A26&amp;"|"&amp;B26</f>
        <v>Acide|Eau</v>
      </c>
      <c r="L26" s="26" t="str">
        <f aca="false">B26&amp;"|"&amp;A26</f>
        <v>Eau|Acide</v>
      </c>
    </row>
    <row r="27" customFormat="false" ht="39.75" hidden="false" customHeight="true" outlineLevel="0" collapsed="false">
      <c r="A27" s="25" t="s">
        <v>846</v>
      </c>
      <c r="B27" s="25" t="s">
        <v>840</v>
      </c>
      <c r="C27" s="25" t="s">
        <v>1050</v>
      </c>
      <c r="D27" s="21" t="s">
        <v>1051</v>
      </c>
      <c r="E27" s="31" t="s">
        <v>1052</v>
      </c>
      <c r="F27" s="7" t="s">
        <v>1053</v>
      </c>
      <c r="G27" s="13" t="n">
        <f aca="false">MAX(INDEX(Éléments!$C$5:$C$14,MATCH(A27,Éléments!$A$5:$A$14,0)),INDEX(Éléments!$C$5:$C$14,MATCH(B27,Éléments!$A$5:$A$14,0)),Paramètres!$B$11)</f>
        <v>85</v>
      </c>
      <c r="H27" s="11" t="s">
        <v>1054</v>
      </c>
      <c r="I27" s="11" t="s">
        <v>1055</v>
      </c>
      <c r="J27" s="11" t="s">
        <v>1056</v>
      </c>
      <c r="K27" s="26" t="str">
        <f aca="false">A27&amp;"|"&amp;B27</f>
        <v>Acide|Vent</v>
      </c>
      <c r="L27" s="26" t="str">
        <f aca="false">B27&amp;"|"&amp;A27</f>
        <v>Vent|Acide</v>
      </c>
    </row>
    <row r="28" customFormat="false" ht="39.75" hidden="false" customHeight="true" outlineLevel="0" collapsed="false">
      <c r="A28" s="25" t="s">
        <v>846</v>
      </c>
      <c r="B28" s="25" t="s">
        <v>828</v>
      </c>
      <c r="C28" s="25" t="s">
        <v>1057</v>
      </c>
      <c r="D28" s="21" t="s">
        <v>1058</v>
      </c>
      <c r="E28" s="31" t="s">
        <v>1059</v>
      </c>
      <c r="F28" s="7" t="s">
        <v>1060</v>
      </c>
      <c r="G28" s="13" t="n">
        <f aca="false">MAX(INDEX(Éléments!$C$5:$C$14,MATCH(A28,Éléments!$A$5:$A$14,0)),INDEX(Éléments!$C$5:$C$14,MATCH(B28,Éléments!$A$5:$A$14,0)),Paramètres!$B$11)</f>
        <v>85</v>
      </c>
      <c r="H28" s="11" t="s">
        <v>1061</v>
      </c>
      <c r="I28" s="11" t="s">
        <v>1062</v>
      </c>
      <c r="J28" s="11" t="s">
        <v>1063</v>
      </c>
      <c r="K28" s="26" t="str">
        <f aca="false">A28&amp;"|"&amp;B28</f>
        <v>Acide|Terre</v>
      </c>
      <c r="L28" s="26" t="str">
        <f aca="false">B28&amp;"|"&amp;A28</f>
        <v>Terre|Acide</v>
      </c>
    </row>
    <row r="29" customFormat="false" ht="39.75" hidden="false" customHeight="true" outlineLevel="0" collapsed="false">
      <c r="A29" s="25" t="s">
        <v>846</v>
      </c>
      <c r="B29" s="25" t="s">
        <v>46</v>
      </c>
      <c r="C29" s="25" t="s">
        <v>1064</v>
      </c>
      <c r="D29" s="21" t="s">
        <v>1065</v>
      </c>
      <c r="E29" s="31" t="s">
        <v>1066</v>
      </c>
      <c r="F29" s="7" t="s">
        <v>950</v>
      </c>
      <c r="G29" s="13" t="n">
        <f aca="false">MAX(INDEX(Éléments!$C$5:$C$14,MATCH(A29,Éléments!$A$5:$A$14,0)),INDEX(Éléments!$C$5:$C$14,MATCH(B29,Éléments!$A$5:$A$14,0)),Paramètres!$B$11)</f>
        <v>100</v>
      </c>
      <c r="H29" s="11" t="s">
        <v>1067</v>
      </c>
      <c r="I29" s="11" t="s">
        <v>1068</v>
      </c>
      <c r="J29" s="11" t="s">
        <v>1069</v>
      </c>
      <c r="K29" s="26" t="str">
        <f aca="false">A29&amp;"|"&amp;B29</f>
        <v>Acide|Ombre</v>
      </c>
      <c r="L29" s="26" t="str">
        <f aca="false">B29&amp;"|"&amp;A29</f>
        <v>Ombre|Acide</v>
      </c>
    </row>
    <row r="30" customFormat="false" ht="39.75" hidden="false" customHeight="true" outlineLevel="0" collapsed="false">
      <c r="A30" s="25" t="s">
        <v>846</v>
      </c>
      <c r="B30" s="25" t="s">
        <v>870</v>
      </c>
      <c r="C30" s="25" t="s">
        <v>1070</v>
      </c>
      <c r="D30" s="21" t="s">
        <v>1071</v>
      </c>
      <c r="E30" s="31" t="s">
        <v>1072</v>
      </c>
      <c r="F30" s="7" t="s">
        <v>1073</v>
      </c>
      <c r="G30" s="13" t="n">
        <f aca="false">MAX(INDEX(Éléments!$C$5:$C$14,MATCH(A30,Éléments!$A$5:$A$14,0)),INDEX(Éléments!$C$5:$C$14,MATCH(B30,Éléments!$A$5:$A$14,0)),Paramètres!$B$11)</f>
        <v>90</v>
      </c>
      <c r="H30" s="11" t="s">
        <v>1074</v>
      </c>
      <c r="I30" s="11" t="s">
        <v>1075</v>
      </c>
      <c r="J30" s="11" t="s">
        <v>1076</v>
      </c>
      <c r="K30" s="26" t="str">
        <f aca="false">A30&amp;"|"&amp;B30</f>
        <v>Acide|Lumière</v>
      </c>
      <c r="L30" s="26" t="str">
        <f aca="false">B30&amp;"|"&amp;A30</f>
        <v>Lumière|Acide</v>
      </c>
    </row>
    <row r="31" customFormat="false" ht="39.75" hidden="false" customHeight="true" outlineLevel="0" collapsed="false">
      <c r="A31" s="25" t="s">
        <v>846</v>
      </c>
      <c r="B31" s="25" t="s">
        <v>822</v>
      </c>
      <c r="C31" s="25" t="s">
        <v>1077</v>
      </c>
      <c r="D31" s="21" t="s">
        <v>1078</v>
      </c>
      <c r="E31" s="31" t="s">
        <v>1079</v>
      </c>
      <c r="F31" s="7" t="s">
        <v>1080</v>
      </c>
      <c r="G31" s="13" t="n">
        <f aca="false">MAX(INDEX(Éléments!$C$5:$C$14,MATCH(A31,Éléments!$A$5:$A$14,0)),INDEX(Éléments!$C$5:$C$14,MATCH(B31,Éléments!$A$5:$A$14,0)),Paramètres!$B$11)</f>
        <v>85</v>
      </c>
      <c r="H31" s="11" t="s">
        <v>1081</v>
      </c>
      <c r="I31" s="11" t="s">
        <v>1082</v>
      </c>
      <c r="J31" s="11" t="s">
        <v>1083</v>
      </c>
      <c r="K31" s="26" t="str">
        <f aca="false">A31&amp;"|"&amp;B31</f>
        <v>Acide|Neutre</v>
      </c>
      <c r="L31" s="26" t="str">
        <f aca="false">B31&amp;"|"&amp;A31</f>
        <v>Neutre|Acide</v>
      </c>
    </row>
    <row r="32" customFormat="false" ht="39.75" hidden="false" customHeight="true" outlineLevel="0" collapsed="false">
      <c r="A32" s="25" t="s">
        <v>858</v>
      </c>
      <c r="B32" s="25" t="s">
        <v>858</v>
      </c>
      <c r="C32" s="25" t="s">
        <v>1084</v>
      </c>
      <c r="D32" s="21" t="s">
        <v>1085</v>
      </c>
      <c r="E32" s="31" t="s">
        <v>1086</v>
      </c>
      <c r="F32" s="7" t="s">
        <v>1006</v>
      </c>
      <c r="G32" s="13" t="n">
        <f aca="false">MAX(INDEX(Éléments!$C$5:$C$14,MATCH(A32,Éléments!$A$5:$A$14,0)),INDEX(Éléments!$C$5:$C$14,MATCH(B32,Éléments!$A$5:$A$14,0)),Paramètres!$B$11)</f>
        <v>85</v>
      </c>
      <c r="H32" s="11" t="s">
        <v>1087</v>
      </c>
      <c r="I32" s="11" t="s">
        <v>1088</v>
      </c>
      <c r="J32" s="11" t="s">
        <v>1089</v>
      </c>
      <c r="K32" s="26" t="str">
        <f aca="false">A32&amp;"|"&amp;B32</f>
        <v>Glace|Glace</v>
      </c>
      <c r="L32" s="26" t="str">
        <f aca="false">B32&amp;"|"&amp;A32</f>
        <v>Glace|Glace</v>
      </c>
    </row>
    <row r="33" customFormat="false" ht="39.75" hidden="false" customHeight="true" outlineLevel="0" collapsed="false">
      <c r="A33" s="25" t="s">
        <v>858</v>
      </c>
      <c r="B33" s="25" t="s">
        <v>852</v>
      </c>
      <c r="C33" s="25" t="s">
        <v>1090</v>
      </c>
      <c r="D33" s="21" t="s">
        <v>1091</v>
      </c>
      <c r="E33" s="31" t="s">
        <v>1092</v>
      </c>
      <c r="F33" s="7" t="s">
        <v>1093</v>
      </c>
      <c r="G33" s="13" t="n">
        <f aca="false">MAX(INDEX(Éléments!$C$5:$C$14,MATCH(A33,Éléments!$A$5:$A$14,0)),INDEX(Éléments!$C$5:$C$14,MATCH(B33,Éléments!$A$5:$A$14,0)),Paramètres!$B$11)</f>
        <v>85</v>
      </c>
      <c r="H33" s="11" t="s">
        <v>1094</v>
      </c>
      <c r="I33" s="11" t="s">
        <v>1095</v>
      </c>
      <c r="J33" s="11" t="s">
        <v>1096</v>
      </c>
      <c r="K33" s="26" t="str">
        <f aca="false">A33&amp;"|"&amp;B33</f>
        <v>Glace|Eau</v>
      </c>
      <c r="L33" s="26" t="str">
        <f aca="false">B33&amp;"|"&amp;A33</f>
        <v>Eau|Glace</v>
      </c>
    </row>
    <row r="34" customFormat="false" ht="39.75" hidden="false" customHeight="true" outlineLevel="0" collapsed="false">
      <c r="A34" s="25" t="s">
        <v>858</v>
      </c>
      <c r="B34" s="25" t="s">
        <v>840</v>
      </c>
      <c r="C34" s="25" t="s">
        <v>1097</v>
      </c>
      <c r="D34" s="21" t="s">
        <v>1098</v>
      </c>
      <c r="E34" s="31" t="s">
        <v>1099</v>
      </c>
      <c r="F34" s="7" t="s">
        <v>1093</v>
      </c>
      <c r="G34" s="13" t="n">
        <f aca="false">MAX(INDEX(Éléments!$C$5:$C$14,MATCH(A34,Éléments!$A$5:$A$14,0)),INDEX(Éléments!$C$5:$C$14,MATCH(B34,Éléments!$A$5:$A$14,0)),Paramètres!$B$11)</f>
        <v>85</v>
      </c>
      <c r="H34" s="11" t="s">
        <v>1100</v>
      </c>
      <c r="I34" s="11" t="s">
        <v>1101</v>
      </c>
      <c r="J34" s="11" t="s">
        <v>1102</v>
      </c>
      <c r="K34" s="26" t="str">
        <f aca="false">A34&amp;"|"&amp;B34</f>
        <v>Glace|Vent</v>
      </c>
      <c r="L34" s="26" t="str">
        <f aca="false">B34&amp;"|"&amp;A34</f>
        <v>Vent|Glace</v>
      </c>
    </row>
    <row r="35" customFormat="false" ht="39.75" hidden="false" customHeight="true" outlineLevel="0" collapsed="false">
      <c r="A35" s="25" t="s">
        <v>858</v>
      </c>
      <c r="B35" s="25" t="s">
        <v>828</v>
      </c>
      <c r="C35" s="25" t="s">
        <v>1103</v>
      </c>
      <c r="D35" s="21" t="s">
        <v>1104</v>
      </c>
      <c r="E35" s="31" t="s">
        <v>1105</v>
      </c>
      <c r="F35" s="7" t="s">
        <v>1106</v>
      </c>
      <c r="G35" s="13" t="n">
        <f aca="false">MAX(INDEX(Éléments!$C$5:$C$14,MATCH(A35,Éléments!$A$5:$A$14,0)),INDEX(Éléments!$C$5:$C$14,MATCH(B35,Éléments!$A$5:$A$14,0)),Paramètres!$B$11)</f>
        <v>85</v>
      </c>
      <c r="H35" s="11" t="s">
        <v>1107</v>
      </c>
      <c r="I35" s="11" t="s">
        <v>1108</v>
      </c>
      <c r="J35" s="11" t="s">
        <v>1109</v>
      </c>
      <c r="K35" s="26" t="str">
        <f aca="false">A35&amp;"|"&amp;B35</f>
        <v>Glace|Terre</v>
      </c>
      <c r="L35" s="26" t="str">
        <f aca="false">B35&amp;"|"&amp;A35</f>
        <v>Terre|Glace</v>
      </c>
    </row>
    <row r="36" customFormat="false" ht="39.75" hidden="false" customHeight="true" outlineLevel="0" collapsed="false">
      <c r="A36" s="25" t="s">
        <v>858</v>
      </c>
      <c r="B36" s="25" t="s">
        <v>46</v>
      </c>
      <c r="C36" s="25" t="s">
        <v>1110</v>
      </c>
      <c r="D36" s="21" t="s">
        <v>1111</v>
      </c>
      <c r="E36" s="31" t="s">
        <v>1112</v>
      </c>
      <c r="F36" s="7" t="s">
        <v>1113</v>
      </c>
      <c r="G36" s="13" t="n">
        <f aca="false">MAX(INDEX(Éléments!$C$5:$C$14,MATCH(A36,Éléments!$A$5:$A$14,0)),INDEX(Éléments!$C$5:$C$14,MATCH(B36,Éléments!$A$5:$A$14,0)),Paramètres!$B$11)</f>
        <v>100</v>
      </c>
      <c r="H36" s="11" t="s">
        <v>1114</v>
      </c>
      <c r="I36" s="11" t="s">
        <v>1115</v>
      </c>
      <c r="J36" s="11" t="s">
        <v>1116</v>
      </c>
      <c r="K36" s="26" t="str">
        <f aca="false">A36&amp;"|"&amp;B36</f>
        <v>Glace|Ombre</v>
      </c>
      <c r="L36" s="26" t="str">
        <f aca="false">B36&amp;"|"&amp;A36</f>
        <v>Ombre|Glace</v>
      </c>
    </row>
    <row r="37" customFormat="false" ht="39.75" hidden="false" customHeight="true" outlineLevel="0" collapsed="false">
      <c r="A37" s="25" t="s">
        <v>858</v>
      </c>
      <c r="B37" s="25" t="s">
        <v>870</v>
      </c>
      <c r="C37" s="25" t="s">
        <v>1117</v>
      </c>
      <c r="D37" s="21" t="s">
        <v>1118</v>
      </c>
      <c r="E37" s="31" t="s">
        <v>1119</v>
      </c>
      <c r="F37" s="7" t="s">
        <v>1120</v>
      </c>
      <c r="G37" s="13" t="n">
        <f aca="false">MAX(INDEX(Éléments!$C$5:$C$14,MATCH(A37,Éléments!$A$5:$A$14,0)),INDEX(Éléments!$C$5:$C$14,MATCH(B37,Éléments!$A$5:$A$14,0)),Paramètres!$B$11)</f>
        <v>90</v>
      </c>
      <c r="H37" s="11" t="s">
        <v>1121</v>
      </c>
      <c r="I37" s="11" t="s">
        <v>1122</v>
      </c>
      <c r="J37" s="11" t="s">
        <v>1123</v>
      </c>
      <c r="K37" s="26" t="str">
        <f aca="false">A37&amp;"|"&amp;B37</f>
        <v>Glace|Lumière</v>
      </c>
      <c r="L37" s="26" t="str">
        <f aca="false">B37&amp;"|"&amp;A37</f>
        <v>Lumière|Glace</v>
      </c>
    </row>
    <row r="38" customFormat="false" ht="39.75" hidden="false" customHeight="true" outlineLevel="0" collapsed="false">
      <c r="A38" s="25" t="s">
        <v>858</v>
      </c>
      <c r="B38" s="25" t="s">
        <v>822</v>
      </c>
      <c r="C38" s="25" t="s">
        <v>1124</v>
      </c>
      <c r="D38" s="21" t="s">
        <v>1125</v>
      </c>
      <c r="E38" s="31" t="s">
        <v>1126</v>
      </c>
      <c r="F38" s="7" t="s">
        <v>971</v>
      </c>
      <c r="G38" s="13" t="n">
        <f aca="false">MAX(INDEX(Éléments!$C$5:$C$14,MATCH(A38,Éléments!$A$5:$A$14,0)),INDEX(Éléments!$C$5:$C$14,MATCH(B38,Éléments!$A$5:$A$14,0)),Paramètres!$B$11)</f>
        <v>85</v>
      </c>
      <c r="H38" s="11" t="s">
        <v>1127</v>
      </c>
      <c r="I38" s="11" t="s">
        <v>1128</v>
      </c>
      <c r="J38" s="11" t="s">
        <v>1129</v>
      </c>
      <c r="K38" s="26" t="str">
        <f aca="false">A38&amp;"|"&amp;B38</f>
        <v>Glace|Neutre</v>
      </c>
      <c r="L38" s="26" t="str">
        <f aca="false">B38&amp;"|"&amp;A38</f>
        <v>Neutre|Glace</v>
      </c>
    </row>
    <row r="39" customFormat="false" ht="39.75" hidden="false" customHeight="true" outlineLevel="0" collapsed="false">
      <c r="A39" s="25" t="s">
        <v>852</v>
      </c>
      <c r="B39" s="25" t="s">
        <v>852</v>
      </c>
      <c r="C39" s="25" t="s">
        <v>1130</v>
      </c>
      <c r="D39" s="21" t="s">
        <v>1131</v>
      </c>
      <c r="E39" s="31" t="s">
        <v>1132</v>
      </c>
      <c r="F39" s="7" t="s">
        <v>1133</v>
      </c>
      <c r="G39" s="13" t="n">
        <f aca="false">MAX(INDEX(Éléments!$C$5:$C$14,MATCH(A39,Éléments!$A$5:$A$14,0)),INDEX(Éléments!$C$5:$C$14,MATCH(B39,Éléments!$A$5:$A$14,0)),Paramètres!$B$11)</f>
        <v>85</v>
      </c>
      <c r="H39" s="11" t="s">
        <v>1134</v>
      </c>
      <c r="I39" s="11" t="s">
        <v>1135</v>
      </c>
      <c r="J39" s="11" t="s">
        <v>1136</v>
      </c>
      <c r="K39" s="26" t="str">
        <f aca="false">A39&amp;"|"&amp;B39</f>
        <v>Eau|Eau</v>
      </c>
      <c r="L39" s="26" t="str">
        <f aca="false">B39&amp;"|"&amp;A39</f>
        <v>Eau|Eau</v>
      </c>
    </row>
    <row r="40" customFormat="false" ht="39.75" hidden="false" customHeight="true" outlineLevel="0" collapsed="false">
      <c r="A40" s="25" t="s">
        <v>852</v>
      </c>
      <c r="B40" s="25" t="s">
        <v>840</v>
      </c>
      <c r="C40" s="25" t="s">
        <v>1137</v>
      </c>
      <c r="D40" s="21" t="s">
        <v>1138</v>
      </c>
      <c r="E40" s="31" t="s">
        <v>1139</v>
      </c>
      <c r="F40" s="7" t="s">
        <v>1140</v>
      </c>
      <c r="G40" s="13" t="n">
        <f aca="false">MAX(INDEX(Éléments!$C$5:$C$14,MATCH(A40,Éléments!$A$5:$A$14,0)),INDEX(Éléments!$C$5:$C$14,MATCH(B40,Éléments!$A$5:$A$14,0)),Paramètres!$B$11)</f>
        <v>85</v>
      </c>
      <c r="H40" s="11" t="s">
        <v>1141</v>
      </c>
      <c r="I40" s="11" t="s">
        <v>1142</v>
      </c>
      <c r="J40" s="11" t="s">
        <v>1143</v>
      </c>
      <c r="K40" s="26" t="str">
        <f aca="false">A40&amp;"|"&amp;B40</f>
        <v>Eau|Vent</v>
      </c>
      <c r="L40" s="26" t="str">
        <f aca="false">B40&amp;"|"&amp;A40</f>
        <v>Vent|Eau</v>
      </c>
    </row>
    <row r="41" customFormat="false" ht="39.75" hidden="false" customHeight="true" outlineLevel="0" collapsed="false">
      <c r="A41" s="25" t="s">
        <v>852</v>
      </c>
      <c r="B41" s="25" t="s">
        <v>828</v>
      </c>
      <c r="C41" s="25" t="s">
        <v>1144</v>
      </c>
      <c r="D41" s="21" t="s">
        <v>1145</v>
      </c>
      <c r="E41" s="31" t="s">
        <v>1146</v>
      </c>
      <c r="F41" s="7" t="s">
        <v>1006</v>
      </c>
      <c r="G41" s="13" t="n">
        <f aca="false">MAX(INDEX(Éléments!$C$5:$C$14,MATCH(A41,Éléments!$A$5:$A$14,0)),INDEX(Éléments!$C$5:$C$14,MATCH(B41,Éléments!$A$5:$A$14,0)),Paramètres!$B$11)</f>
        <v>85</v>
      </c>
      <c r="H41" s="11" t="s">
        <v>1147</v>
      </c>
      <c r="I41" s="11" t="s">
        <v>1148</v>
      </c>
      <c r="J41" s="11" t="s">
        <v>1149</v>
      </c>
      <c r="K41" s="26" t="str">
        <f aca="false">A41&amp;"|"&amp;B41</f>
        <v>Eau|Terre</v>
      </c>
      <c r="L41" s="26" t="str">
        <f aca="false">B41&amp;"|"&amp;A41</f>
        <v>Terre|Eau</v>
      </c>
    </row>
    <row r="42" customFormat="false" ht="39.75" hidden="false" customHeight="true" outlineLevel="0" collapsed="false">
      <c r="A42" s="25" t="s">
        <v>852</v>
      </c>
      <c r="B42" s="25" t="s">
        <v>46</v>
      </c>
      <c r="C42" s="25" t="s">
        <v>1150</v>
      </c>
      <c r="D42" s="21" t="s">
        <v>1151</v>
      </c>
      <c r="E42" s="31" t="s">
        <v>1152</v>
      </c>
      <c r="F42" s="7" t="s">
        <v>1153</v>
      </c>
      <c r="G42" s="13" t="n">
        <f aca="false">MAX(INDEX(Éléments!$C$5:$C$14,MATCH(A42,Éléments!$A$5:$A$14,0)),INDEX(Éléments!$C$5:$C$14,MATCH(B42,Éléments!$A$5:$A$14,0)),Paramètres!$B$11)</f>
        <v>100</v>
      </c>
      <c r="H42" s="11" t="s">
        <v>1154</v>
      </c>
      <c r="I42" s="11" t="s">
        <v>1155</v>
      </c>
      <c r="J42" s="11" t="s">
        <v>1156</v>
      </c>
      <c r="K42" s="26" t="str">
        <f aca="false">A42&amp;"|"&amp;B42</f>
        <v>Eau|Ombre</v>
      </c>
      <c r="L42" s="26" t="str">
        <f aca="false">B42&amp;"|"&amp;A42</f>
        <v>Ombre|Eau</v>
      </c>
    </row>
    <row r="43" customFormat="false" ht="39.75" hidden="false" customHeight="true" outlineLevel="0" collapsed="false">
      <c r="A43" s="25" t="s">
        <v>852</v>
      </c>
      <c r="B43" s="25" t="s">
        <v>870</v>
      </c>
      <c r="C43" s="25" t="s">
        <v>1157</v>
      </c>
      <c r="D43" s="21" t="s">
        <v>1158</v>
      </c>
      <c r="E43" s="31" t="s">
        <v>1159</v>
      </c>
      <c r="F43" s="7" t="s">
        <v>1160</v>
      </c>
      <c r="G43" s="13" t="n">
        <f aca="false">MAX(INDEX(Éléments!$C$5:$C$14,MATCH(A43,Éléments!$A$5:$A$14,0)),INDEX(Éléments!$C$5:$C$14,MATCH(B43,Éléments!$A$5:$A$14,0)),Paramètres!$B$11)</f>
        <v>90</v>
      </c>
      <c r="H43" s="11" t="s">
        <v>1161</v>
      </c>
      <c r="I43" s="11" t="s">
        <v>1162</v>
      </c>
      <c r="J43" s="11" t="s">
        <v>1163</v>
      </c>
      <c r="K43" s="26" t="str">
        <f aca="false">A43&amp;"|"&amp;B43</f>
        <v>Eau|Lumière</v>
      </c>
      <c r="L43" s="26" t="str">
        <f aca="false">B43&amp;"|"&amp;A43</f>
        <v>Lumière|Eau</v>
      </c>
    </row>
    <row r="44" customFormat="false" ht="39.75" hidden="false" customHeight="true" outlineLevel="0" collapsed="false">
      <c r="A44" s="25" t="s">
        <v>852</v>
      </c>
      <c r="B44" s="25" t="s">
        <v>822</v>
      </c>
      <c r="C44" s="25" t="s">
        <v>1164</v>
      </c>
      <c r="D44" s="21" t="s">
        <v>1165</v>
      </c>
      <c r="E44" s="31" t="s">
        <v>1166</v>
      </c>
      <c r="F44" s="7" t="s">
        <v>1167</v>
      </c>
      <c r="G44" s="13" t="n">
        <f aca="false">MAX(INDEX(Éléments!$C$5:$C$14,MATCH(A44,Éléments!$A$5:$A$14,0)),INDEX(Éléments!$C$5:$C$14,MATCH(B44,Éléments!$A$5:$A$14,0)),Paramètres!$B$11)</f>
        <v>85</v>
      </c>
      <c r="H44" s="11" t="s">
        <v>1168</v>
      </c>
      <c r="I44" s="11" t="s">
        <v>1169</v>
      </c>
      <c r="J44" s="11" t="s">
        <v>1170</v>
      </c>
      <c r="K44" s="26" t="str">
        <f aca="false">A44&amp;"|"&amp;B44</f>
        <v>Eau|Neutre</v>
      </c>
      <c r="L44" s="26" t="str">
        <f aca="false">B44&amp;"|"&amp;A44</f>
        <v>Neutre|Eau</v>
      </c>
    </row>
    <row r="45" customFormat="false" ht="39.75" hidden="false" customHeight="true" outlineLevel="0" collapsed="false">
      <c r="A45" s="25" t="s">
        <v>840</v>
      </c>
      <c r="B45" s="25" t="s">
        <v>840</v>
      </c>
      <c r="C45" s="25" t="s">
        <v>1171</v>
      </c>
      <c r="D45" s="21" t="s">
        <v>1172</v>
      </c>
      <c r="E45" s="31" t="s">
        <v>1173</v>
      </c>
      <c r="F45" s="7" t="s">
        <v>999</v>
      </c>
      <c r="G45" s="13" t="n">
        <f aca="false">MAX(INDEX(Éléments!$C$5:$C$14,MATCH(A45,Éléments!$A$5:$A$14,0)),INDEX(Éléments!$C$5:$C$14,MATCH(B45,Éléments!$A$5:$A$14,0)),Paramètres!$B$11)</f>
        <v>85</v>
      </c>
      <c r="H45" s="11" t="s">
        <v>1174</v>
      </c>
      <c r="I45" s="11" t="s">
        <v>1175</v>
      </c>
      <c r="J45" s="11" t="s">
        <v>1176</v>
      </c>
      <c r="K45" s="26" t="str">
        <f aca="false">A45&amp;"|"&amp;B45</f>
        <v>Vent|Vent</v>
      </c>
      <c r="L45" s="26" t="str">
        <f aca="false">B45&amp;"|"&amp;A45</f>
        <v>Vent|Vent</v>
      </c>
    </row>
    <row r="46" customFormat="false" ht="39.75" hidden="false" customHeight="true" outlineLevel="0" collapsed="false">
      <c r="A46" s="25" t="s">
        <v>840</v>
      </c>
      <c r="B46" s="25" t="s">
        <v>828</v>
      </c>
      <c r="C46" s="25" t="s">
        <v>1177</v>
      </c>
      <c r="D46" s="21" t="s">
        <v>1178</v>
      </c>
      <c r="E46" s="31" t="s">
        <v>1179</v>
      </c>
      <c r="F46" s="7" t="s">
        <v>1060</v>
      </c>
      <c r="G46" s="13" t="n">
        <f aca="false">MAX(INDEX(Éléments!$C$5:$C$14,MATCH(A46,Éléments!$A$5:$A$14,0)),INDEX(Éléments!$C$5:$C$14,MATCH(B46,Éléments!$A$5:$A$14,0)),Paramètres!$B$11)</f>
        <v>85</v>
      </c>
      <c r="H46" s="11" t="s">
        <v>1180</v>
      </c>
      <c r="I46" s="11" t="s">
        <v>1181</v>
      </c>
      <c r="J46" s="11" t="s">
        <v>1182</v>
      </c>
      <c r="K46" s="26" t="str">
        <f aca="false">A46&amp;"|"&amp;B46</f>
        <v>Vent|Terre</v>
      </c>
      <c r="L46" s="26" t="str">
        <f aca="false">B46&amp;"|"&amp;A46</f>
        <v>Terre|Vent</v>
      </c>
    </row>
    <row r="47" customFormat="false" ht="39.75" hidden="false" customHeight="true" outlineLevel="0" collapsed="false">
      <c r="A47" s="25" t="s">
        <v>840</v>
      </c>
      <c r="B47" s="25" t="s">
        <v>46</v>
      </c>
      <c r="C47" s="25" t="s">
        <v>1183</v>
      </c>
      <c r="D47" s="21" t="s">
        <v>1184</v>
      </c>
      <c r="E47" s="31" t="s">
        <v>1185</v>
      </c>
      <c r="F47" s="7" t="s">
        <v>1186</v>
      </c>
      <c r="G47" s="13" t="n">
        <f aca="false">MAX(INDEX(Éléments!$C$5:$C$14,MATCH(A47,Éléments!$A$5:$A$14,0)),INDEX(Éléments!$C$5:$C$14,MATCH(B47,Éléments!$A$5:$A$14,0)),Paramètres!$B$11)</f>
        <v>100</v>
      </c>
      <c r="H47" s="11" t="s">
        <v>1187</v>
      </c>
      <c r="I47" s="11" t="s">
        <v>1188</v>
      </c>
      <c r="J47" s="11" t="s">
        <v>1189</v>
      </c>
      <c r="K47" s="26" t="str">
        <f aca="false">A47&amp;"|"&amp;B47</f>
        <v>Vent|Ombre</v>
      </c>
      <c r="L47" s="26" t="str">
        <f aca="false">B47&amp;"|"&amp;A47</f>
        <v>Ombre|Vent</v>
      </c>
    </row>
    <row r="48" customFormat="false" ht="39.75" hidden="false" customHeight="true" outlineLevel="0" collapsed="false">
      <c r="A48" s="25" t="s">
        <v>840</v>
      </c>
      <c r="B48" s="25" t="s">
        <v>870</v>
      </c>
      <c r="C48" s="25" t="s">
        <v>1190</v>
      </c>
      <c r="D48" s="21" t="s">
        <v>1191</v>
      </c>
      <c r="E48" s="31" t="s">
        <v>1192</v>
      </c>
      <c r="F48" s="7" t="s">
        <v>1193</v>
      </c>
      <c r="G48" s="13" t="n">
        <f aca="false">MAX(INDEX(Éléments!$C$5:$C$14,MATCH(A48,Éléments!$A$5:$A$14,0)),INDEX(Éléments!$C$5:$C$14,MATCH(B48,Éléments!$A$5:$A$14,0)),Paramètres!$B$11)</f>
        <v>90</v>
      </c>
      <c r="H48" s="11" t="s">
        <v>1194</v>
      </c>
      <c r="I48" s="11" t="s">
        <v>1195</v>
      </c>
      <c r="J48" s="11" t="s">
        <v>1196</v>
      </c>
      <c r="K48" s="26" t="str">
        <f aca="false">A48&amp;"|"&amp;B48</f>
        <v>Vent|Lumière</v>
      </c>
      <c r="L48" s="26" t="str">
        <f aca="false">B48&amp;"|"&amp;A48</f>
        <v>Lumière|Vent</v>
      </c>
    </row>
    <row r="49" customFormat="false" ht="39.75" hidden="false" customHeight="true" outlineLevel="0" collapsed="false">
      <c r="A49" s="25" t="s">
        <v>840</v>
      </c>
      <c r="B49" s="25" t="s">
        <v>822</v>
      </c>
      <c r="C49" s="25" t="s">
        <v>1197</v>
      </c>
      <c r="D49" s="21" t="s">
        <v>1198</v>
      </c>
      <c r="E49" s="31" t="s">
        <v>1199</v>
      </c>
      <c r="F49" s="7" t="s">
        <v>1200</v>
      </c>
      <c r="G49" s="13" t="n">
        <f aca="false">MAX(INDEX(Éléments!$C$5:$C$14,MATCH(A49,Éléments!$A$5:$A$14,0)),INDEX(Éléments!$C$5:$C$14,MATCH(B49,Éléments!$A$5:$A$14,0)),Paramètres!$B$11)</f>
        <v>85</v>
      </c>
      <c r="H49" s="11" t="s">
        <v>1201</v>
      </c>
      <c r="I49" s="11" t="s">
        <v>1202</v>
      </c>
      <c r="J49" s="11" t="s">
        <v>1203</v>
      </c>
      <c r="K49" s="26" t="str">
        <f aca="false">A49&amp;"|"&amp;B49</f>
        <v>Vent|Neutre</v>
      </c>
      <c r="L49" s="26" t="str">
        <f aca="false">B49&amp;"|"&amp;A49</f>
        <v>Neutre|Vent</v>
      </c>
    </row>
    <row r="50" customFormat="false" ht="39.75" hidden="false" customHeight="true" outlineLevel="0" collapsed="false">
      <c r="A50" s="25" t="s">
        <v>828</v>
      </c>
      <c r="B50" s="25" t="s">
        <v>828</v>
      </c>
      <c r="C50" s="25" t="s">
        <v>1204</v>
      </c>
      <c r="D50" s="21" t="s">
        <v>1205</v>
      </c>
      <c r="E50" s="31" t="s">
        <v>1206</v>
      </c>
      <c r="F50" s="7" t="s">
        <v>1093</v>
      </c>
      <c r="G50" s="13" t="n">
        <f aca="false">MAX(INDEX(Éléments!$C$5:$C$14,MATCH(A50,Éléments!$A$5:$A$14,0)),INDEX(Éléments!$C$5:$C$14,MATCH(B50,Éléments!$A$5:$A$14,0)),Paramètres!$B$11)</f>
        <v>85</v>
      </c>
      <c r="H50" s="11" t="s">
        <v>1207</v>
      </c>
      <c r="I50" s="11" t="s">
        <v>1208</v>
      </c>
      <c r="J50" s="11" t="s">
        <v>1209</v>
      </c>
      <c r="K50" s="26" t="str">
        <f aca="false">A50&amp;"|"&amp;B50</f>
        <v>Terre|Terre</v>
      </c>
      <c r="L50" s="26" t="str">
        <f aca="false">B50&amp;"|"&amp;A50</f>
        <v>Terre|Terre</v>
      </c>
    </row>
    <row r="51" customFormat="false" ht="39.75" hidden="false" customHeight="true" outlineLevel="0" collapsed="false">
      <c r="A51" s="25" t="s">
        <v>828</v>
      </c>
      <c r="B51" s="25" t="s">
        <v>46</v>
      </c>
      <c r="C51" s="25" t="s">
        <v>1210</v>
      </c>
      <c r="D51" s="21" t="s">
        <v>1211</v>
      </c>
      <c r="E51" s="31" t="s">
        <v>1212</v>
      </c>
      <c r="F51" s="7" t="s">
        <v>1113</v>
      </c>
      <c r="G51" s="13" t="n">
        <f aca="false">MAX(INDEX(Éléments!$C$5:$C$14,MATCH(A51,Éléments!$A$5:$A$14,0)),INDEX(Éléments!$C$5:$C$14,MATCH(B51,Éléments!$A$5:$A$14,0)),Paramètres!$B$11)</f>
        <v>100</v>
      </c>
      <c r="H51" s="11" t="s">
        <v>1213</v>
      </c>
      <c r="I51" s="11" t="s">
        <v>1214</v>
      </c>
      <c r="J51" s="11" t="s">
        <v>1215</v>
      </c>
      <c r="K51" s="26" t="str">
        <f aca="false">A51&amp;"|"&amp;B51</f>
        <v>Terre|Ombre</v>
      </c>
      <c r="L51" s="26" t="str">
        <f aca="false">B51&amp;"|"&amp;A51</f>
        <v>Ombre|Terre</v>
      </c>
    </row>
    <row r="52" customFormat="false" ht="39.75" hidden="false" customHeight="true" outlineLevel="0" collapsed="false">
      <c r="A52" s="25" t="s">
        <v>828</v>
      </c>
      <c r="B52" s="25" t="s">
        <v>870</v>
      </c>
      <c r="C52" s="25" t="s">
        <v>1216</v>
      </c>
      <c r="D52" s="21" t="s">
        <v>1217</v>
      </c>
      <c r="E52" s="31" t="s">
        <v>1218</v>
      </c>
      <c r="F52" s="7" t="s">
        <v>1219</v>
      </c>
      <c r="G52" s="13" t="n">
        <f aca="false">MAX(INDEX(Éléments!$C$5:$C$14,MATCH(A52,Éléments!$A$5:$A$14,0)),INDEX(Éléments!$C$5:$C$14,MATCH(B52,Éléments!$A$5:$A$14,0)),Paramètres!$B$11)</f>
        <v>90</v>
      </c>
      <c r="H52" s="11" t="s">
        <v>1220</v>
      </c>
      <c r="I52" s="11" t="s">
        <v>1221</v>
      </c>
      <c r="J52" s="11" t="s">
        <v>1222</v>
      </c>
      <c r="K52" s="26" t="str">
        <f aca="false">A52&amp;"|"&amp;B52</f>
        <v>Terre|Lumière</v>
      </c>
      <c r="L52" s="26" t="str">
        <f aca="false">B52&amp;"|"&amp;A52</f>
        <v>Lumière|Terre</v>
      </c>
    </row>
    <row r="53" customFormat="false" ht="39.75" hidden="false" customHeight="true" outlineLevel="0" collapsed="false">
      <c r="A53" s="25" t="s">
        <v>828</v>
      </c>
      <c r="B53" s="25" t="s">
        <v>822</v>
      </c>
      <c r="C53" s="25" t="s">
        <v>1223</v>
      </c>
      <c r="D53" s="21" t="s">
        <v>1224</v>
      </c>
      <c r="E53" s="31" t="s">
        <v>1225</v>
      </c>
      <c r="F53" s="7" t="s">
        <v>1226</v>
      </c>
      <c r="G53" s="13" t="n">
        <f aca="false">MAX(INDEX(Éléments!$C$5:$C$14,MATCH(A53,Éléments!$A$5:$A$14,0)),INDEX(Éléments!$C$5:$C$14,MATCH(B53,Éléments!$A$5:$A$14,0)),Paramètres!$B$11)</f>
        <v>85</v>
      </c>
      <c r="H53" s="11" t="s">
        <v>1227</v>
      </c>
      <c r="I53" s="11" t="s">
        <v>1228</v>
      </c>
      <c r="J53" s="11" t="s">
        <v>1229</v>
      </c>
      <c r="K53" s="26" t="str">
        <f aca="false">A53&amp;"|"&amp;B53</f>
        <v>Terre|Neutre</v>
      </c>
      <c r="L53" s="26" t="str">
        <f aca="false">B53&amp;"|"&amp;A53</f>
        <v>Neutre|Terre</v>
      </c>
    </row>
    <row r="54" customFormat="false" ht="39.75" hidden="false" customHeight="true" outlineLevel="0" collapsed="false">
      <c r="A54" s="25" t="s">
        <v>46</v>
      </c>
      <c r="B54" s="25" t="s">
        <v>46</v>
      </c>
      <c r="C54" s="25" t="s">
        <v>1230</v>
      </c>
      <c r="D54" s="21" t="s">
        <v>1231</v>
      </c>
      <c r="E54" s="31" t="s">
        <v>1232</v>
      </c>
      <c r="F54" s="7" t="s">
        <v>1233</v>
      </c>
      <c r="G54" s="13" t="n">
        <f aca="false">MAX(INDEX(Éléments!$C$5:$C$14,MATCH(A54,Éléments!$A$5:$A$14,0)),INDEX(Éléments!$C$5:$C$14,MATCH(B54,Éléments!$A$5:$A$14,0)),Paramètres!$B$11)</f>
        <v>100</v>
      </c>
      <c r="H54" s="11" t="s">
        <v>1234</v>
      </c>
      <c r="I54" s="11" t="s">
        <v>1235</v>
      </c>
      <c r="J54" s="11" t="s">
        <v>1236</v>
      </c>
      <c r="K54" s="26" t="str">
        <f aca="false">A54&amp;"|"&amp;B54</f>
        <v>Ombre|Ombre</v>
      </c>
      <c r="L54" s="26" t="str">
        <f aca="false">B54&amp;"|"&amp;A54</f>
        <v>Ombre|Ombre</v>
      </c>
    </row>
    <row r="55" customFormat="false" ht="39.75" hidden="false" customHeight="true" outlineLevel="0" collapsed="false">
      <c r="A55" s="25" t="s">
        <v>46</v>
      </c>
      <c r="B55" s="25" t="s">
        <v>870</v>
      </c>
      <c r="C55" s="25" t="s">
        <v>1237</v>
      </c>
      <c r="D55" s="21" t="s">
        <v>1238</v>
      </c>
      <c r="E55" s="31" t="s">
        <v>1239</v>
      </c>
      <c r="F55" s="7" t="s">
        <v>1240</v>
      </c>
      <c r="G55" s="13" t="n">
        <f aca="false">MAX(INDEX(Éléments!$C$5:$C$14,MATCH(A55,Éléments!$A$5:$A$14,0)),INDEX(Éléments!$C$5:$C$14,MATCH(B55,Éléments!$A$5:$A$14,0)),Paramètres!$B$11)</f>
        <v>100</v>
      </c>
      <c r="H55" s="11" t="s">
        <v>1241</v>
      </c>
      <c r="I55" s="11" t="s">
        <v>1242</v>
      </c>
      <c r="J55" s="11" t="s">
        <v>1243</v>
      </c>
      <c r="K55" s="26" t="str">
        <f aca="false">A55&amp;"|"&amp;B55</f>
        <v>Ombre|Lumière</v>
      </c>
      <c r="L55" s="26" t="str">
        <f aca="false">B55&amp;"|"&amp;A55</f>
        <v>Lumière|Ombre</v>
      </c>
    </row>
    <row r="56" customFormat="false" ht="39.75" hidden="false" customHeight="true" outlineLevel="0" collapsed="false">
      <c r="A56" s="25" t="s">
        <v>46</v>
      </c>
      <c r="B56" s="25" t="s">
        <v>822</v>
      </c>
      <c r="C56" s="25" t="s">
        <v>1244</v>
      </c>
      <c r="D56" s="21" t="s">
        <v>1245</v>
      </c>
      <c r="E56" s="31" t="s">
        <v>1246</v>
      </c>
      <c r="F56" s="7" t="s">
        <v>1006</v>
      </c>
      <c r="G56" s="13" t="n">
        <f aca="false">MAX(INDEX(Éléments!$C$5:$C$14,MATCH(A56,Éléments!$A$5:$A$14,0)),INDEX(Éléments!$C$5:$C$14,MATCH(B56,Éléments!$A$5:$A$14,0)),Paramètres!$B$11)</f>
        <v>100</v>
      </c>
      <c r="H56" s="11" t="s">
        <v>1247</v>
      </c>
      <c r="I56" s="11" t="s">
        <v>1248</v>
      </c>
      <c r="J56" s="11" t="s">
        <v>1249</v>
      </c>
      <c r="K56" s="26" t="str">
        <f aca="false">A56&amp;"|"&amp;B56</f>
        <v>Ombre|Neutre</v>
      </c>
      <c r="L56" s="26" t="str">
        <f aca="false">B56&amp;"|"&amp;A56</f>
        <v>Neutre|Ombre</v>
      </c>
    </row>
    <row r="57" customFormat="false" ht="39.75" hidden="false" customHeight="true" outlineLevel="0" collapsed="false">
      <c r="A57" s="25" t="s">
        <v>870</v>
      </c>
      <c r="B57" s="25" t="s">
        <v>870</v>
      </c>
      <c r="C57" s="25" t="s">
        <v>1250</v>
      </c>
      <c r="D57" s="21" t="s">
        <v>1251</v>
      </c>
      <c r="E57" s="31" t="s">
        <v>1252</v>
      </c>
      <c r="F57" s="7" t="s">
        <v>1253</v>
      </c>
      <c r="G57" s="13" t="n">
        <f aca="false">MAX(INDEX(Éléments!$C$5:$C$14,MATCH(A57,Éléments!$A$5:$A$14,0)),INDEX(Éléments!$C$5:$C$14,MATCH(B57,Éléments!$A$5:$A$14,0)),Paramètres!$B$11)</f>
        <v>90</v>
      </c>
      <c r="H57" s="11" t="s">
        <v>1254</v>
      </c>
      <c r="I57" s="11" t="s">
        <v>1255</v>
      </c>
      <c r="J57" s="11" t="s">
        <v>1256</v>
      </c>
      <c r="K57" s="26" t="str">
        <f aca="false">A57&amp;"|"&amp;B57</f>
        <v>Lumière|Lumière</v>
      </c>
      <c r="L57" s="26" t="str">
        <f aca="false">B57&amp;"|"&amp;A57</f>
        <v>Lumière|Lumière</v>
      </c>
    </row>
    <row r="58" customFormat="false" ht="39.75" hidden="false" customHeight="true" outlineLevel="0" collapsed="false">
      <c r="A58" s="25" t="s">
        <v>870</v>
      </c>
      <c r="B58" s="25" t="s">
        <v>822</v>
      </c>
      <c r="C58" s="25" t="s">
        <v>1257</v>
      </c>
      <c r="D58" s="21" t="s">
        <v>1258</v>
      </c>
      <c r="E58" s="31" t="s">
        <v>1259</v>
      </c>
      <c r="F58" s="7" t="s">
        <v>1260</v>
      </c>
      <c r="G58" s="13" t="n">
        <f aca="false">MAX(INDEX(Éléments!$C$5:$C$14,MATCH(A58,Éléments!$A$5:$A$14,0)),INDEX(Éléments!$C$5:$C$14,MATCH(B58,Éléments!$A$5:$A$14,0)),Paramètres!$B$11)</f>
        <v>90</v>
      </c>
      <c r="H58" s="11" t="s">
        <v>1261</v>
      </c>
      <c r="I58" s="11" t="s">
        <v>1262</v>
      </c>
      <c r="J58" s="11" t="s">
        <v>1263</v>
      </c>
      <c r="K58" s="26" t="str">
        <f aca="false">A58&amp;"|"&amp;B58</f>
        <v>Lumière|Neutre</v>
      </c>
      <c r="L58" s="26" t="str">
        <f aca="false">B58&amp;"|"&amp;A58</f>
        <v>Neutre|Lumière</v>
      </c>
    </row>
    <row r="59" customFormat="false" ht="39.75" hidden="false" customHeight="true" outlineLevel="0" collapsed="false">
      <c r="A59" s="25" t="s">
        <v>822</v>
      </c>
      <c r="B59" s="25" t="s">
        <v>822</v>
      </c>
      <c r="C59" s="25" t="s">
        <v>1264</v>
      </c>
      <c r="D59" s="21" t="s">
        <v>1265</v>
      </c>
      <c r="E59" s="31" t="s">
        <v>1266</v>
      </c>
      <c r="F59" s="7" t="s">
        <v>1267</v>
      </c>
      <c r="G59" s="13" t="n">
        <f aca="false">MAX(INDEX(Éléments!$C$5:$C$14,MATCH(A59,Éléments!$A$5:$A$14,0)),INDEX(Éléments!$C$5:$C$14,MATCH(B59,Éléments!$A$5:$A$14,0)),Paramètres!$B$11)</f>
        <v>85</v>
      </c>
      <c r="H59" s="11" t="s">
        <v>1268</v>
      </c>
      <c r="I59" s="11" t="s">
        <v>1269</v>
      </c>
      <c r="J59" s="11" t="s">
        <v>1270</v>
      </c>
      <c r="K59" s="26" t="str">
        <f aca="false">A59&amp;"|"&amp;B59</f>
        <v>Neutre|Neutre</v>
      </c>
      <c r="L59" s="26" t="str">
        <f aca="false">B59&amp;"|"&amp;A59</f>
        <v>Neutre|Neutre</v>
      </c>
    </row>
    <row r="61" customFormat="false" ht="15" hidden="false" customHeight="true" outlineLevel="0" collapsed="false">
      <c r="A61" s="17" t="s">
        <v>1271</v>
      </c>
    </row>
    <row r="62" customFormat="false" ht="15" hidden="false" customHeight="true" outlineLevel="0" collapsed="false">
      <c r="A62" s="17" t="s">
        <v>1272</v>
      </c>
    </row>
  </sheetData>
  <autoFilter ref="A4:L59"/>
  <conditionalFormatting sqref="A5:A59">
    <cfRule type="expression" priority="2" aboveAverage="0" equalAverage="0" bottom="0" percent="0" rank="0" text="" dxfId="16">
      <formula>$A5="Neutre"</formula>
    </cfRule>
    <cfRule type="expression" priority="3" aboveAverage="0" equalAverage="0" bottom="0" percent="0" rank="0" text="" dxfId="17">
      <formula>$A5="Terre"</formula>
    </cfRule>
    <cfRule type="expression" priority="4" aboveAverage="0" equalAverage="0" bottom="0" percent="0" rank="0" text="" dxfId="18">
      <formula>$A5="Feu"</formula>
    </cfRule>
    <cfRule type="expression" priority="5" aboveAverage="0" equalAverage="0" bottom="0" percent="0" rank="0" text="" dxfId="19">
      <formula>$A5="Vent"</formula>
    </cfRule>
    <cfRule type="expression" priority="6" aboveAverage="0" equalAverage="0" bottom="0" percent="0" rank="0" text="" dxfId="20">
      <formula>$A5="Acide"</formula>
    </cfRule>
    <cfRule type="expression" priority="7" aboveAverage="0" equalAverage="0" bottom="0" percent="0" rank="0" text="" dxfId="21">
      <formula>$A5="Eau"</formula>
    </cfRule>
    <cfRule type="expression" priority="8" aboveAverage="0" equalAverage="0" bottom="0" percent="0" rank="0" text="" dxfId="22">
      <formula>$A5="Glace"</formula>
    </cfRule>
    <cfRule type="expression" priority="9" aboveAverage="0" equalAverage="0" bottom="0" percent="0" rank="0" text="" dxfId="23">
      <formula>$A5="Électricité"</formula>
    </cfRule>
    <cfRule type="expression" priority="10" aboveAverage="0" equalAverage="0" bottom="0" percent="0" rank="0" text="" dxfId="24">
      <formula>$A5="Lumière"</formula>
    </cfRule>
    <cfRule type="expression" priority="11" aboveAverage="0" equalAverage="0" bottom="0" percent="0" rank="0" text="" dxfId="25">
      <formula>$A5="Ombre"</formula>
    </cfRule>
  </conditionalFormatting>
  <conditionalFormatting sqref="B5:B59">
    <cfRule type="expression" priority="12" aboveAverage="0" equalAverage="0" bottom="0" percent="0" rank="0" text="" dxfId="16">
      <formula>$B5="Neutre"</formula>
    </cfRule>
    <cfRule type="expression" priority="13" aboveAverage="0" equalAverage="0" bottom="0" percent="0" rank="0" text="" dxfId="17">
      <formula>$B5="Terre"</formula>
    </cfRule>
    <cfRule type="expression" priority="14" aboveAverage="0" equalAverage="0" bottom="0" percent="0" rank="0" text="" dxfId="18">
      <formula>$B5="Feu"</formula>
    </cfRule>
    <cfRule type="expression" priority="15" aboveAverage="0" equalAverage="0" bottom="0" percent="0" rank="0" text="" dxfId="19">
      <formula>$B5="Vent"</formula>
    </cfRule>
    <cfRule type="expression" priority="16" aboveAverage="0" equalAverage="0" bottom="0" percent="0" rank="0" text="" dxfId="20">
      <formula>$B5="Acide"</formula>
    </cfRule>
    <cfRule type="expression" priority="17" aboveAverage="0" equalAverage="0" bottom="0" percent="0" rank="0" text="" dxfId="21">
      <formula>$B5="Eau"</formula>
    </cfRule>
    <cfRule type="expression" priority="18" aboveAverage="0" equalAverage="0" bottom="0" percent="0" rank="0" text="" dxfId="22">
      <formula>$B5="Glace"</formula>
    </cfRule>
    <cfRule type="expression" priority="19" aboveAverage="0" equalAverage="0" bottom="0" percent="0" rank="0" text="" dxfId="23">
      <formula>$B5="Électricité"</formula>
    </cfRule>
    <cfRule type="expression" priority="20" aboveAverage="0" equalAverage="0" bottom="0" percent="0" rank="0" text="" dxfId="24">
      <formula>$B5="Lumière"</formula>
    </cfRule>
    <cfRule type="expression" priority="21" aboveAverage="0" equalAverage="0" bottom="0" percent="0" rank="0" text="" dxfId="25">
      <formula>$B5="Ombre"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80"/>
  </cols>
  <sheetData>
    <row r="1" customFormat="false" ht="17.25" hidden="false" customHeight="true" outlineLevel="0" collapsed="false">
      <c r="A1" s="2" t="s">
        <v>1273</v>
      </c>
    </row>
    <row r="2" customFormat="false" ht="15" hidden="false" customHeight="true" outlineLevel="0" collapsed="false">
      <c r="A2" s="3" t="s">
        <v>1274</v>
      </c>
    </row>
    <row r="3" customFormat="false" ht="15" hidden="false" customHeight="true" outlineLevel="0" collapsed="false">
      <c r="A3" s="12" t="s">
        <v>57</v>
      </c>
      <c r="B3" s="19" t="s">
        <v>654</v>
      </c>
    </row>
    <row r="4" customFormat="false" ht="15" hidden="false" customHeight="true" outlineLevel="0" collapsed="false">
      <c r="A4" s="12" t="s">
        <v>1275</v>
      </c>
      <c r="B4" s="19" t="s">
        <v>834</v>
      </c>
    </row>
    <row r="5" customFormat="false" ht="15" hidden="false" customHeight="true" outlineLevel="0" collapsed="false">
      <c r="A5" s="12" t="s">
        <v>1276</v>
      </c>
      <c r="B5" s="19" t="s">
        <v>864</v>
      </c>
    </row>
    <row r="6" customFormat="false" ht="15" hidden="false" customHeight="true" outlineLevel="0" collapsed="false">
      <c r="A6" s="12" t="s">
        <v>1277</v>
      </c>
      <c r="B6" s="19" t="s">
        <v>852</v>
      </c>
    </row>
    <row r="7" customFormat="false" ht="15" hidden="false" customHeight="true" outlineLevel="0" collapsed="false">
      <c r="A7" s="12" t="s">
        <v>1278</v>
      </c>
      <c r="B7" s="19" t="n">
        <v>700</v>
      </c>
    </row>
    <row r="8" customFormat="false" ht="15" hidden="false" customHeight="true" outlineLevel="0" collapsed="false">
      <c r="A8" s="12" t="s">
        <v>1279</v>
      </c>
      <c r="B8" s="32" t="n">
        <v>0.25</v>
      </c>
    </row>
    <row r="10" customFormat="false" ht="15" hidden="false" customHeight="true" outlineLevel="0" collapsed="false">
      <c r="A10" s="33" t="s">
        <v>1280</v>
      </c>
      <c r="B10" s="16" t="n">
        <f aca="false">MATCH($B$3,Bases!$C$5:$C$83,0)</f>
        <v>24</v>
      </c>
    </row>
    <row r="11" customFormat="false" ht="15" hidden="false" customHeight="true" outlineLevel="0" collapsed="false">
      <c r="A11" s="12" t="s">
        <v>1281</v>
      </c>
      <c r="B11" s="7" t="str">
        <f aca="false">INDEX(Bases!$B$5:$B$83,$B$10)&amp;" · "&amp;INDEX(Bases!$E$5:$E$83,$B$10)&amp;" · "&amp;INDEX(Bases!$F$5:$F$83,$B$10)</f>
        <v>Mage · Attaque (arme 1) · Attaque</v>
      </c>
    </row>
    <row r="12" customFormat="false" ht="15" hidden="false" customHeight="true" outlineLevel="0" collapsed="false">
      <c r="A12" s="12" t="s">
        <v>1282</v>
      </c>
      <c r="B12" s="10" t="str">
        <f aca="false">IF(OR($B$5="",$B$5="—"),"Non","Oui")</f>
        <v>Oui</v>
      </c>
    </row>
    <row r="13" customFormat="false" ht="15" hidden="false" customHeight="true" outlineLevel="0" collapsed="false">
      <c r="A13" s="33" t="s">
        <v>1283</v>
      </c>
      <c r="B13" s="16" t="n">
        <f aca="false">IF($B$12="Non",0,IFERROR(MATCH($B$4&amp;"|"&amp;$B$5,Fusions!$K$5:$K$59,0),MATCH($B$4&amp;"|"&amp;$B$5,Fusions!$L$5:$L$59,0)))</f>
        <v>2</v>
      </c>
    </row>
    <row r="14" customFormat="false" ht="15" hidden="false" customHeight="true" outlineLevel="0" collapsed="false">
      <c r="A14" s="12" t="s">
        <v>1284</v>
      </c>
      <c r="B14" s="10" t="str">
        <f aca="false">IF($B$12="Non","—",INDEX(Fusions!$C$5:$C$59,$B$13))</f>
        <v>Plasma</v>
      </c>
    </row>
    <row r="15" customFormat="false" ht="15" hidden="false" customHeight="true" outlineLevel="0" collapsed="false">
      <c r="A15" s="12" t="s">
        <v>59</v>
      </c>
      <c r="B15" s="6" t="str">
        <f aca="false">IF(INDEX(Bases!$E$5:$E$83,$B$10)="Passif",$B$3,IF($B$12="Oui",INDEX(Bases!$D$5:$D$83,$B$10)&amp;" "&amp;IF(ISNUMBER(SEARCH(LEFT($B$14,1),"aeiouyéèêâîôh")),"d'","de ")&amp;LOWER(LEFT($B$14,1))&amp;MID($B$14,2,40),IF($B$4="Neutre",$B$3,INDEX(Bases!$D$5:$D$83,$B$10)&amp;" "&amp;INDEX(Éléments!$D$5:$D$14,MATCH($B$4,Éléments!$A$5:$A$14,0)))))</f>
        <v>Boule de plasma</v>
      </c>
    </row>
    <row r="16" customFormat="false" ht="15" hidden="false" customHeight="true" outlineLevel="0" collapsed="false">
      <c r="A16" s="12" t="s">
        <v>1285</v>
      </c>
      <c r="B16" s="7" t="str">
        <f aca="false">INDEX(Bases!$G$5:$G$83,$B$10)&amp;" · recharge "&amp;INDEX(Bases!$H$5:$H$83,$B$10)&amp;" · ultime : "&amp;INDEX(Bases!$I$5:$I$83,$B$10)</f>
        <v>Mono · recharge 0 · ultime : Non</v>
      </c>
    </row>
    <row r="17" customFormat="false" ht="15" hidden="false" customHeight="true" outlineLevel="0" collapsed="false">
      <c r="A17" s="12" t="s">
        <v>63</v>
      </c>
      <c r="B17" s="24" t="n">
        <f aca="false">INDEX(Bases!$J$5:$J$83,$B$10)*IF($B$12="Oui",Paramètres!$B$10,1)</f>
        <v>1.1</v>
      </c>
    </row>
    <row r="18" customFormat="false" ht="31.5" hidden="false" customHeight="true" outlineLevel="0" collapsed="false">
      <c r="A18" s="12" t="s">
        <v>65</v>
      </c>
      <c r="B18" s="7" t="str">
        <f aca="false">INDEX(Bases!$L$5:$L$83,$B$10)</f>
        <v>Projectile magique fiable.</v>
      </c>
    </row>
    <row r="19" customFormat="false" ht="31.5" hidden="false" customHeight="true" outlineLevel="0" collapsed="false">
      <c r="A19" s="12" t="s">
        <v>1286</v>
      </c>
      <c r="B19" s="7" t="str">
        <f aca="false">IF($B$12="Oui","(remplacé par la fusion)",IF(INDEX(Bases!$E$5:$E$83,$B$10)="Attaque (arme 1)",INDEX(Éléments!$F$5:$F$14,MATCH($B$4,Éléments!$A$5:$A$14,0)),INDEX(Éléments!$G$5:$G$14,MATCH($B$4,Éléments!$A$5:$A$14,0))))</f>
        <v>(remplacé par la fusion)</v>
      </c>
    </row>
    <row r="20" customFormat="false" ht="31.5" hidden="false" customHeight="true" outlineLevel="0" collapsed="false">
      <c r="A20" s="12" t="s">
        <v>1287</v>
      </c>
      <c r="B20" s="7" t="str">
        <f aca="false">IF($B$12="Non","—",INDEX(Fusions!$D$5:$D$59,$B$13))</f>
        <v>Rebondit sur 1 ennemi (50 % des dégâts) ; chaque cible touchée a 35 % de subir Brûlure.</v>
      </c>
    </row>
    <row r="21" customFormat="false" ht="15" hidden="false" customHeight="true" outlineLevel="0" collapsed="false">
      <c r="A21" s="12" t="s">
        <v>1288</v>
      </c>
      <c r="B21" s="24" t="n">
        <f aca="false">INDEX(Éléments!$B$19:$K$28,MATCH($B$6,Éléments!$A$19:$A$28,0),MATCH($B$4,Éléments!$B$18:$K$18,0))</f>
        <v>0.75</v>
      </c>
    </row>
    <row r="22" customFormat="false" ht="15" hidden="false" customHeight="true" outlineLevel="0" collapsed="false">
      <c r="A22" s="12" t="s">
        <v>1289</v>
      </c>
      <c r="B22" s="34" t="n">
        <f aca="false">ROUND($B$7*$B$17*$B$21*(1-$B$8),0)</f>
        <v>433</v>
      </c>
    </row>
    <row r="23" customFormat="false" ht="15" hidden="false" customHeight="true" outlineLevel="0" collapsed="false">
      <c r="A23" s="12" t="s">
        <v>1290</v>
      </c>
      <c r="B23" s="35" t="n">
        <f aca="false">$B$22*IF(INDEX(Bases!$G$5:$G$83,$B$10)="Zone",Paramètres!$B$8,IF(INDEX(Bases!$G$5:$G$83,$B$10)="Mono",1,0))</f>
        <v>433</v>
      </c>
    </row>
    <row r="24" customFormat="false" ht="15" hidden="false" customHeight="true" outlineLevel="0" collapsed="false">
      <c r="A24" s="12" t="s">
        <v>70</v>
      </c>
      <c r="B24" s="7" t="str">
        <f aca="false">"Niveau "&amp;INDEX(Bases!$N$5:$N$83,$B$10)&amp;" · étage "&amp;MAX(INDEX(Éléments!$C$5:$C$14,MATCH($B$4,Éléments!$A$5:$A$14,0)),IF($B$12="Oui",MAX(INDEX(Éléments!$C$5:$C$14,MATCH($B$5,Éléments!$A$5:$A$14,0)),Paramètres!$B$11),0))&amp;" terminé"&amp;IF($B$12="Oui"," (Tour d'alchimie)","")</f>
        <v>Niveau 1 · étage 85 terminé (Tour d'alchimie)</v>
      </c>
    </row>
    <row r="26" customFormat="false" ht="15" hidden="false" customHeight="true" outlineLevel="0" collapsed="false">
      <c r="A26" s="17" t="s">
        <v>1291</v>
      </c>
    </row>
    <row r="27" customFormat="false" ht="15" hidden="false" customHeight="true" outlineLevel="0" collapsed="false">
      <c r="A27" s="17" t="s">
        <v>1292</v>
      </c>
    </row>
  </sheetData>
  <dataValidations count="4">
    <dataValidation allowBlank="false" errorStyle="stop" operator="between" showDropDown="false" showErrorMessage="false" showInputMessage="false" sqref="B3" type="list">
      <formula1>Bases!$C$5:$C$83</formula1>
      <formula2>0</formula2>
    </dataValidation>
    <dataValidation allowBlank="false" errorStyle="stop" operator="between" showDropDown="false" showErrorMessage="false" showInputMessage="false" sqref="B4" type="list">
      <formula1>Éléments!$A$5:$A$14</formula1>
      <formula2>0</formula2>
    </dataValidation>
    <dataValidation allowBlank="false" errorStyle="stop" operator="between" showDropDown="false" showErrorMessage="false" showInputMessage="false" sqref="B5" type="list">
      <formula1>Éléments!$K$5:$K$15</formula1>
      <formula2>0</formula2>
    </dataValidation>
    <dataValidation allowBlank="false" errorStyle="stop" operator="between" showDropDown="false" showErrorMessage="false" showInputMessage="false" sqref="B6" type="list">
      <formula1>Éléments!$A$5:$A$14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6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22"/>
    <col collapsed="false" customWidth="true" hidden="false" outlineLevel="0" max="8" min="7" style="1" width="12"/>
    <col collapsed="false" customWidth="true" hidden="false" outlineLevel="0" max="9" min="9" style="1" width="22"/>
    <col collapsed="false" customWidth="true" hidden="false" outlineLevel="0" max="10" min="10" style="1" width="70"/>
    <col collapsed="false" customWidth="true" hidden="false" outlineLevel="0" max="11" min="11" style="1" width="10"/>
  </cols>
  <sheetData>
    <row r="1" customFormat="false" ht="17.25" hidden="false" customHeight="true" outlineLevel="0" collapsed="false">
      <c r="A1" s="2" t="s">
        <v>1293</v>
      </c>
    </row>
    <row r="2" customFormat="false" ht="15" hidden="false" customHeight="true" outlineLevel="0" collapsed="false">
      <c r="A2" s="3" t="s">
        <v>1294</v>
      </c>
    </row>
    <row r="3" customFormat="false" ht="15" hidden="false" customHeight="true" outlineLevel="0" collapsed="false">
      <c r="A3" s="12" t="s">
        <v>1295</v>
      </c>
      <c r="B3" s="22" t="n">
        <v>65</v>
      </c>
    </row>
    <row r="5" customFormat="false" ht="24" hidden="false" customHeight="true" outlineLevel="0" collapsed="false">
      <c r="A5" s="8" t="s">
        <v>1296</v>
      </c>
      <c r="B5" s="8" t="s">
        <v>1297</v>
      </c>
      <c r="C5" s="8" t="s">
        <v>54</v>
      </c>
      <c r="D5" s="8" t="s">
        <v>55</v>
      </c>
      <c r="E5" s="8" t="s">
        <v>60</v>
      </c>
      <c r="F5" s="8" t="s">
        <v>7</v>
      </c>
      <c r="G5" s="8" t="s">
        <v>62</v>
      </c>
      <c r="H5" s="8" t="s">
        <v>1298</v>
      </c>
      <c r="I5" s="8" t="s">
        <v>1299</v>
      </c>
      <c r="J5" s="8" t="s">
        <v>1300</v>
      </c>
    </row>
    <row r="6" customFormat="false" ht="42" hidden="false" customHeight="true" outlineLevel="0" collapsed="false">
      <c r="A6" s="12" t="s">
        <v>1301</v>
      </c>
      <c r="B6" s="18" t="s">
        <v>1302</v>
      </c>
      <c r="C6" s="10" t="str">
        <f aca="false">IFERROR(INDEX(Catalogue!$B$5:$B$488,MATCH($B6,Catalogue!$G$5:$G$488,0)),"?")</f>
        <v>Mage</v>
      </c>
      <c r="D6" s="10" t="str">
        <f aca="false">IFERROR(INDEX(Catalogue!$C$5:$C$488,MATCH($B6,Catalogue!$G$5:$G$488,0)),"?")</f>
        <v>Attaque (arme 1)</v>
      </c>
      <c r="E6" s="10" t="str">
        <f aca="false">IFERROR(INDEX(Catalogue!$H$5:$H$488,MATCH($B6,Catalogue!$G$5:$G$488,0)),"?")</f>
        <v>Mono</v>
      </c>
      <c r="F6" s="13" t="n">
        <f aca="false">IFERROR(INDEX(Catalogue!$I$5:$I$488,MATCH($B6,Catalogue!$G$5:$G$488,0)),"?")</f>
        <v>3</v>
      </c>
      <c r="G6" s="10" t="str">
        <f aca="false">IFERROR(INDEX(Catalogue!$J$5:$J$488,MATCH($B6,Catalogue!$G$5:$G$488,0)),"?")</f>
        <v>Oui</v>
      </c>
      <c r="H6" s="24" t="n">
        <f aca="false">IFERROR(INDEX(Catalogue!$K$5:$K$488,MATCH($B6,Catalogue!$G$5:$G$488,0)),"?")</f>
        <v>3</v>
      </c>
      <c r="I6" s="11" t="str">
        <f aca="false">IFERROR(IF(AND(INDEX(Catalogue!$P$5:$P$488,MATCH($B6,Catalogue!$G$5:$G$488,0))&lt;=$B$3,INDEX(Catalogue!$Q$5:$Q$488,MATCH($B6,Catalogue!$G$5:$G$488,0))&lt;$B$3),"Oui","Non : "&amp;INDEX(Catalogue!$R$5:$R$488,MATCH($B6,Catalogue!$G$5:$G$488,0))),"?")</f>
        <v>Oui</v>
      </c>
      <c r="J6" s="7" t="str">
        <f aca="false">IFERROR(INDEX(Catalogue!$M$5:$M$488,MATCH($B6,Catalogue!$G$5:$G$488,0))&amp;IF(INDEX(Catalogue!$N$5:$N$488,MATCH($B6,Catalogue!$G$5:$G$488,0))="—",""," + "&amp;INDEX(Catalogue!$N$5:$N$488,MATCH($B6,Catalogue!$G$5:$G$488,0))),"Nom introuvable dans le Catalogue")</f>
        <v>+25 % de dégâts si la cible porte une altération. + 35 % : Brûlure (8 % de la stat d'attaque par tour, 3 tours, non cumulable).</v>
      </c>
    </row>
    <row r="7" customFormat="false" ht="42" hidden="false" customHeight="true" outlineLevel="0" collapsed="false">
      <c r="A7" s="12" t="s">
        <v>1303</v>
      </c>
      <c r="B7" s="18" t="s">
        <v>1304</v>
      </c>
      <c r="C7" s="10" t="str">
        <f aca="false">IFERROR(INDEX(Catalogue!$B$5:$B$488,MATCH($B7,Catalogue!$G$5:$G$488,0)),"?")</f>
        <v>Mage</v>
      </c>
      <c r="D7" s="10" t="str">
        <f aca="false">IFERROR(INDEX(Catalogue!$C$5:$C$488,MATCH($B7,Catalogue!$G$5:$G$488,0)),"?")</f>
        <v>Attaque (arme 1)</v>
      </c>
      <c r="E7" s="10" t="str">
        <f aca="false">IFERROR(INDEX(Catalogue!$H$5:$H$488,MATCH($B7,Catalogue!$G$5:$G$488,0)),"?")</f>
        <v>Mono</v>
      </c>
      <c r="F7" s="13" t="n">
        <f aca="false">IFERROR(INDEX(Catalogue!$I$5:$I$488,MATCH($B7,Catalogue!$G$5:$G$488,0)),"?")</f>
        <v>0</v>
      </c>
      <c r="G7" s="10" t="str">
        <f aca="false">IFERROR(INDEX(Catalogue!$J$5:$J$488,MATCH($B7,Catalogue!$G$5:$G$488,0)),"?")</f>
        <v>Non</v>
      </c>
      <c r="H7" s="24" t="n">
        <f aca="false">IFERROR(INDEX(Catalogue!$K$5:$K$488,MATCH($B7,Catalogue!$G$5:$G$488,0)),"?")</f>
        <v>0.9</v>
      </c>
      <c r="I7" s="11" t="str">
        <f aca="false">IFERROR(IF(AND(INDEX(Catalogue!$P$5:$P$488,MATCH($B7,Catalogue!$G$5:$G$488,0))&lt;=$B$3,INDEX(Catalogue!$Q$5:$Q$488,MATCH($B7,Catalogue!$G$5:$G$488,0))&lt;$B$3),"Oui","Non : "&amp;INDEX(Catalogue!$R$5:$R$488,MATCH($B7,Catalogue!$G$5:$G$488,0))),"?")</f>
        <v>Oui</v>
      </c>
      <c r="J7" s="7" t="str">
        <f aca="false">IFERROR(INDEX(Catalogue!$M$5:$M$488,MATCH($B7,Catalogue!$G$5:$G$488,0))&amp;IF(INDEX(Catalogue!$N$5:$N$488,MATCH($B7,Catalogue!$G$5:$G$488,0))="—",""," + "&amp;INDEX(Catalogue!$N$5:$N$488,MATCH($B7,Catalogue!$G$5:$G$488,0))),"Nom introuvable dans le Catalogue")</f>
        <v>Ignore 15 % de la Résistance. + 35 % : Brûlure (8 % de la stat d'attaque par tour, 3 tours, non cumulable).</v>
      </c>
    </row>
    <row r="8" customFormat="false" ht="42" hidden="false" customHeight="true" outlineLevel="0" collapsed="false">
      <c r="A8" s="12" t="s">
        <v>1305</v>
      </c>
      <c r="B8" s="18" t="s">
        <v>1306</v>
      </c>
      <c r="C8" s="10" t="str">
        <f aca="false">IFERROR(INDEX(Catalogue!$B$5:$B$488,MATCH($B8,Catalogue!$G$5:$G$488,0)),"?")</f>
        <v>Mage</v>
      </c>
      <c r="D8" s="10" t="str">
        <f aca="false">IFERROR(INDEX(Catalogue!$C$5:$C$488,MATCH($B8,Catalogue!$G$5:$G$488,0)),"?")</f>
        <v>Attaque (arme 1)</v>
      </c>
      <c r="E8" s="10" t="str">
        <f aca="false">IFERROR(INDEX(Catalogue!$H$5:$H$488,MATCH($B8,Catalogue!$G$5:$G$488,0)),"?")</f>
        <v>Mono</v>
      </c>
      <c r="F8" s="13" t="n">
        <f aca="false">IFERROR(INDEX(Catalogue!$I$5:$I$488,MATCH($B8,Catalogue!$G$5:$G$488,0)),"?")</f>
        <v>0</v>
      </c>
      <c r="G8" s="10" t="str">
        <f aca="false">IFERROR(INDEX(Catalogue!$J$5:$J$488,MATCH($B8,Catalogue!$G$5:$G$488,0)),"?")</f>
        <v>Non</v>
      </c>
      <c r="H8" s="24" t="n">
        <f aca="false">IFERROR(INDEX(Catalogue!$K$5:$K$488,MATCH($B8,Catalogue!$G$5:$G$488,0)),"?")</f>
        <v>1</v>
      </c>
      <c r="I8" s="11" t="str">
        <f aca="false">IFERROR(IF(AND(INDEX(Catalogue!$P$5:$P$488,MATCH($B8,Catalogue!$G$5:$G$488,0))&lt;=$B$3,INDEX(Catalogue!$Q$5:$Q$488,MATCH($B8,Catalogue!$G$5:$G$488,0))&lt;$B$3),"Oui","Non : "&amp;INDEX(Catalogue!$R$5:$R$488,MATCH($B8,Catalogue!$G$5:$G$488,0))),"?")</f>
        <v>Oui</v>
      </c>
      <c r="J8" s="7" t="str">
        <f aca="false">IFERROR(INDEX(Catalogue!$M$5:$M$488,MATCH($B8,Catalogue!$G$5:$G$488,0))&amp;IF(INDEX(Catalogue!$N$5:$N$488,MATCH($B8,Catalogue!$G$5:$G$488,0))="—",""," + "&amp;INDEX(Catalogue!$N$5:$N$488,MATCH($B8,Catalogue!$G$5:$G$488,0))),"Nom introuvable dans le Catalogue")</f>
        <v>Projectile magique fiable. + 35 % : Brûlure (8 % de la stat d'attaque par tour, 3 tours, non cumulable).</v>
      </c>
    </row>
    <row r="9" customFormat="false" ht="42" hidden="false" customHeight="true" outlineLevel="0" collapsed="false">
      <c r="A9" s="12" t="s">
        <v>1307</v>
      </c>
      <c r="B9" s="18" t="s">
        <v>711</v>
      </c>
      <c r="C9" s="10" t="str">
        <f aca="false">IFERROR(INDEX(Catalogue!$B$5:$B$488,MATCH($B9,Catalogue!$G$5:$G$488,0)),"?")</f>
        <v>Mage</v>
      </c>
      <c r="D9" s="10" t="str">
        <f aca="false">IFERROR(INDEX(Catalogue!$C$5:$C$488,MATCH($B9,Catalogue!$G$5:$G$488,0)),"?")</f>
        <v>Passif</v>
      </c>
      <c r="E9" s="10" t="str">
        <f aca="false">IFERROR(INDEX(Catalogue!$H$5:$H$488,MATCH($B9,Catalogue!$G$5:$G$488,0)),"?")</f>
        <v>Soi</v>
      </c>
      <c r="F9" s="13" t="str">
        <f aca="false">IFERROR(INDEX(Catalogue!$I$5:$I$488,MATCH($B9,Catalogue!$G$5:$G$488,0)),"?")</f>
        <v>—</v>
      </c>
      <c r="G9" s="10" t="str">
        <f aca="false">IFERROR(INDEX(Catalogue!$J$5:$J$488,MATCH($B9,Catalogue!$G$5:$G$488,0)),"?")</f>
        <v>Non</v>
      </c>
      <c r="H9" s="24" t="n">
        <f aca="false">IFERROR(INDEX(Catalogue!$K$5:$K$488,MATCH($B9,Catalogue!$G$5:$G$488,0)),"?")</f>
        <v>0</v>
      </c>
      <c r="I9" s="11" t="str">
        <f aca="false">IFERROR(IF(AND(INDEX(Catalogue!$P$5:$P$488,MATCH($B9,Catalogue!$G$5:$G$488,0))&lt;=$B$3,INDEX(Catalogue!$Q$5:$Q$488,MATCH($B9,Catalogue!$G$5:$G$488,0))&lt;$B$3),"Oui","Non : "&amp;INDEX(Catalogue!$R$5:$R$488,MATCH($B9,Catalogue!$G$5:$G$488,0))),"?")</f>
        <v>Oui</v>
      </c>
      <c r="J9" s="7" t="str">
        <f aca="false">IFERROR(INDEX(Catalogue!$M$5:$M$488,MATCH($B9,Catalogue!$G$5:$G$488,0))&amp;IF(INDEX(Catalogue!$N$5:$N$488,MATCH($B9,Catalogue!$G$5:$G$488,0))="—",""," + "&amp;INDEX(Catalogue!$N$5:$N$488,MATCH($B9,Catalogue!$G$5:$G$488,0))),"Nom introuvable dans le Catalogue")</f>
        <v>Les altérations infligées durent 1 tour de plus.</v>
      </c>
    </row>
    <row r="10" customFormat="false" ht="42" hidden="false" customHeight="true" outlineLevel="0" collapsed="false">
      <c r="A10" s="12" t="s">
        <v>1308</v>
      </c>
      <c r="B10" s="18" t="s">
        <v>795</v>
      </c>
      <c r="C10" s="10" t="str">
        <f aca="false">IFERROR(INDEX(Catalogue!$B$5:$B$488,MATCH($B10,Catalogue!$G$5:$G$488,0)),"?")</f>
        <v>Toutes</v>
      </c>
      <c r="D10" s="10" t="str">
        <f aca="false">IFERROR(INDEX(Catalogue!$C$5:$C$488,MATCH($B10,Catalogue!$G$5:$G$488,0)),"?")</f>
        <v>Passif</v>
      </c>
      <c r="E10" s="10" t="str">
        <f aca="false">IFERROR(INDEX(Catalogue!$H$5:$H$488,MATCH($B10,Catalogue!$G$5:$G$488,0)),"?")</f>
        <v>Soi</v>
      </c>
      <c r="F10" s="13" t="str">
        <f aca="false">IFERROR(INDEX(Catalogue!$I$5:$I$488,MATCH($B10,Catalogue!$G$5:$G$488,0)),"?")</f>
        <v>—</v>
      </c>
      <c r="G10" s="10" t="str">
        <f aca="false">IFERROR(INDEX(Catalogue!$J$5:$J$488,MATCH($B10,Catalogue!$G$5:$G$488,0)),"?")</f>
        <v>Non</v>
      </c>
      <c r="H10" s="24" t="n">
        <f aca="false">IFERROR(INDEX(Catalogue!$K$5:$K$488,MATCH($B10,Catalogue!$G$5:$G$488,0)),"?")</f>
        <v>0</v>
      </c>
      <c r="I10" s="11" t="str">
        <f aca="false">IFERROR(IF(AND(INDEX(Catalogue!$P$5:$P$488,MATCH($B10,Catalogue!$G$5:$G$488,0))&lt;=$B$3,INDEX(Catalogue!$Q$5:$Q$488,MATCH($B10,Catalogue!$G$5:$G$488,0))&lt;$B$3),"Oui","Non : "&amp;INDEX(Catalogue!$R$5:$R$488,MATCH($B10,Catalogue!$G$5:$G$488,0))),"?")</f>
        <v>Oui</v>
      </c>
      <c r="J10" s="7" t="str">
        <f aca="false">IFERROR(INDEX(Catalogue!$M$5:$M$488,MATCH($B10,Catalogue!$G$5:$G$488,0))&amp;IF(INDEX(Catalogue!$N$5:$N$488,MATCH($B10,Catalogue!$G$5:$G$488,0))="—",""," + "&amp;INDEX(Catalogue!$N$5:$N$488,MATCH($B10,Catalogue!$G$5:$G$488,0))),"Nom introuvable dans le Catalogue")</f>
        <v>+10 % de dégâts de Feu ; la Brûlure dure 1 tour de plus.</v>
      </c>
    </row>
    <row r="12" customFormat="false" ht="19.5" hidden="false" customHeight="true" outlineLevel="0" collapsed="false">
      <c r="A12" s="27" t="s">
        <v>1309</v>
      </c>
      <c r="B12" s="28"/>
      <c r="C12" s="28"/>
      <c r="D12" s="28"/>
      <c r="E12" s="28"/>
      <c r="F12" s="28"/>
      <c r="G12" s="28"/>
      <c r="H12" s="28"/>
      <c r="I12" s="28"/>
      <c r="J12" s="28"/>
    </row>
    <row r="13" customFormat="false" ht="15" hidden="false" customHeight="true" outlineLevel="0" collapsed="false">
      <c r="A13" s="11" t="s">
        <v>1310</v>
      </c>
      <c r="B13" s="12" t="str">
        <f aca="false">IF(SUMPRODUCT((C6:C10&lt;&gt;C6)*(C6:C10&lt;&gt;"Toutes"))=0,"OK","Mélange de classes")</f>
        <v>OK</v>
      </c>
    </row>
    <row r="14" customFormat="false" ht="15" hidden="false" customHeight="true" outlineLevel="0" collapsed="false">
      <c r="A14" s="11" t="s">
        <v>1311</v>
      </c>
      <c r="B14" s="12" t="str">
        <f aca="false">IF(COUNTIF(D6:D8,"Passif")=0,"OK","Un passif est en emplacement actif")</f>
        <v>OK</v>
      </c>
    </row>
    <row r="15" customFormat="false" ht="15" hidden="false" customHeight="true" outlineLevel="0" collapsed="false">
      <c r="A15" s="11" t="s">
        <v>1312</v>
      </c>
      <c r="B15" s="12" t="str">
        <f aca="false">IF(COUNTIF(D9:D10,"Passif")=2,"OK","Une active est en emplacement passif")</f>
        <v>OK</v>
      </c>
    </row>
    <row r="16" customFormat="false" ht="15" hidden="false" customHeight="true" outlineLevel="0" collapsed="false">
      <c r="A16" s="11" t="s">
        <v>1313</v>
      </c>
      <c r="B16" s="12" t="str">
        <f aca="false">IF(COUNTIF(G6:G8,"Oui")&lt;=Paramètres!$B$7,"OK","Trop d'ultimes : "&amp;COUNTIF(G6:G8,"Oui"))</f>
        <v>OK</v>
      </c>
    </row>
    <row r="17" customFormat="false" ht="15" hidden="false" customHeight="true" outlineLevel="0" collapsed="false">
      <c r="A17" s="11" t="s">
        <v>1314</v>
      </c>
      <c r="B17" s="12" t="str">
        <f aca="false">IF(COUNTIF(I6:I10,"Oui")=5,"OK","Certaines ne sont pas encore disponibles")</f>
        <v>OK</v>
      </c>
    </row>
    <row r="18" customFormat="false" ht="15" hidden="false" customHeight="true" outlineLevel="0" collapsed="false">
      <c r="A18" s="11" t="s">
        <v>1315</v>
      </c>
      <c r="B18" s="12" t="str">
        <f aca="false">IF(SUMPRODUCT((B6:B10&lt;&gt;"")/COUNTIF(B6:B10,B6:B10&amp;""))=5,"OK","Compétence en double")</f>
        <v>OK</v>
      </c>
    </row>
    <row r="20" customFormat="false" ht="19.5" hidden="false" customHeight="true" outlineLevel="0" collapsed="false">
      <c r="A20" s="27" t="s">
        <v>1316</v>
      </c>
      <c r="B20" s="28"/>
      <c r="C20" s="28"/>
      <c r="D20" s="28"/>
      <c r="E20" s="28"/>
      <c r="F20" s="28"/>
      <c r="G20" s="28"/>
      <c r="H20" s="28"/>
      <c r="I20" s="28"/>
      <c r="J20" s="28"/>
    </row>
    <row r="21" customFormat="false" ht="15" hidden="false" customHeight="true" outlineLevel="0" collapsed="false">
      <c r="A21" s="12" t="s">
        <v>1317</v>
      </c>
      <c r="B21" s="36" t="n">
        <f aca="false">ROUND(AVERAGE(G27:G38),2)</f>
        <v>1.6</v>
      </c>
    </row>
    <row r="22" customFormat="false" ht="15" hidden="false" customHeight="true" outlineLevel="0" collapsed="false">
      <c r="A22" s="12" t="s">
        <v>1318</v>
      </c>
      <c r="B22" s="36" t="n">
        <f aca="false">ROUND(AVERAGE(H27:H38),2)</f>
        <v>1.6</v>
      </c>
    </row>
    <row r="23" customFormat="false" ht="15" hidden="false" customHeight="true" outlineLevel="0" collapsed="false">
      <c r="A23" s="12" t="s">
        <v>1319</v>
      </c>
      <c r="B23" s="36" t="n">
        <f aca="false">Paramètres!$B$9</f>
        <v>1.5</v>
      </c>
    </row>
    <row r="24" customFormat="false" ht="15" hidden="false" customHeight="true" outlineLevel="0" collapsed="false">
      <c r="A24" s="12" t="s">
        <v>1320</v>
      </c>
      <c r="B24" s="12" t="str">
        <f aca="false">IF(B21&gt;=Paramètres!$B$9*1.2,"Rotation offensive : au-dessus du repère",IF(B21&gt;=Paramètres!$B$9*0.9,"Rotation équilibrée","Rotation défensive : combats plus longs, à compenser par les soins / boucliers"))</f>
        <v>Rotation équilibrée</v>
      </c>
    </row>
    <row r="26" customFormat="false" ht="31.5" hidden="false" customHeight="true" outlineLevel="0" collapsed="false">
      <c r="A26" s="8" t="s">
        <v>1321</v>
      </c>
      <c r="B26" s="8" t="s">
        <v>1322</v>
      </c>
      <c r="C26" s="8" t="s">
        <v>1323</v>
      </c>
      <c r="D26" s="8" t="s">
        <v>1324</v>
      </c>
      <c r="E26" s="8" t="s">
        <v>1325</v>
      </c>
      <c r="F26" s="8" t="s">
        <v>1297</v>
      </c>
      <c r="G26" s="8" t="s">
        <v>1326</v>
      </c>
      <c r="H26" s="8" t="s">
        <v>1327</v>
      </c>
      <c r="I26" s="8" t="s">
        <v>1328</v>
      </c>
      <c r="J26" s="8" t="s">
        <v>1329</v>
      </c>
      <c r="K26" s="8" t="s">
        <v>1330</v>
      </c>
    </row>
    <row r="27" customFormat="false" ht="15" hidden="false" customHeight="true" outlineLevel="0" collapsed="false">
      <c r="A27" s="37" t="n">
        <v>1</v>
      </c>
      <c r="B27" s="10" t="str">
        <f aca="false">IF(AND($A27&lt;=Paramètres!$B$12,$D$6&lt;&gt;"Passif",$A27--99&gt;=IF(ISNUMBER($F$6),$F$6,99)),"Oui","Non")</f>
        <v>Oui</v>
      </c>
      <c r="C27" s="10" t="str">
        <f aca="false">IF(AND($A27&lt;=Paramètres!$B$12,$D$7&lt;&gt;"Passif",$A27--99&gt;=IF(ISNUMBER($F$7),$F$7,99)),"Oui","Non")</f>
        <v>Oui</v>
      </c>
      <c r="D27" s="10" t="str">
        <f aca="false">IF(AND($A27&lt;=Paramètres!$B$12,$D$8&lt;&gt;"Passif",$A27--99&gt;=IF(ISNUMBER($F$8),$F$8,99)),"Oui","Non")</f>
        <v>Oui</v>
      </c>
      <c r="E27" s="38" t="n">
        <f aca="false">IF(B27="Oui",1,IF(C27="Oui",2,IF(D27="Oui",3,0)))</f>
        <v>1</v>
      </c>
      <c r="F27" s="11" t="str">
        <f aca="false">IF(E27=0,"(rien de prêt)",INDEX($B$6:$B$8,E27))</f>
        <v>Explosion de feu</v>
      </c>
      <c r="G27" s="24" t="n">
        <f aca="false">IF(OR($A27&gt;Paramètres!$B$12,E27=0),0,N(INDEX($H$6:$H$8,E27)))</f>
        <v>3</v>
      </c>
      <c r="H27" s="24" t="n">
        <f aca="false">IF(OR($A27&gt;Paramètres!$B$12,E27=0),0,N(INDEX($H$6:$H$8,E27))*IF(INDEX($E$6:$E$8,E27)="Zone",Paramètres!$B$8,1))</f>
        <v>3</v>
      </c>
      <c r="I27" s="39" t="n">
        <f aca="false">IF($E27=1,$A27,-99)</f>
        <v>1</v>
      </c>
      <c r="J27" s="39" t="n">
        <f aca="false">IF($E27=2,$A27,-99)</f>
        <v>-99</v>
      </c>
      <c r="K27" s="39" t="n">
        <f aca="false">IF($E27=3,$A27,-99)</f>
        <v>-99</v>
      </c>
    </row>
    <row r="28" customFormat="false" ht="15" hidden="false" customHeight="true" outlineLevel="0" collapsed="false">
      <c r="A28" s="37" t="n">
        <v>2</v>
      </c>
      <c r="B28" s="10" t="str">
        <f aca="false">IF(AND($A28&lt;=Paramètres!$B$12,$D$6&lt;&gt;"Passif",$A28-I27&gt;=IF(ISNUMBER($F$6),$F$6,99)),"Oui","Non")</f>
        <v>Non</v>
      </c>
      <c r="C28" s="10" t="str">
        <f aca="false">IF(AND($A28&lt;=Paramètres!$B$12,$D$7&lt;&gt;"Passif",$A28-J27&gt;=IF(ISNUMBER($F$7),$F$7,99)),"Oui","Non")</f>
        <v>Oui</v>
      </c>
      <c r="D28" s="10" t="str">
        <f aca="false">IF(AND($A28&lt;=Paramètres!$B$12,$D$8&lt;&gt;"Passif",$A28-K27&gt;=IF(ISNUMBER($F$8),$F$8,99)),"Oui","Non")</f>
        <v>Oui</v>
      </c>
      <c r="E28" s="38" t="n">
        <f aca="false">IF(B28="Oui",1,IF(C28="Oui",2,IF(D28="Oui",3,0)))</f>
        <v>2</v>
      </c>
      <c r="F28" s="11" t="str">
        <f aca="false">IF(E28=0,"(rien de prêt)",INDEX($B$6:$B$8,E28))</f>
        <v>Lance de feu</v>
      </c>
      <c r="G28" s="24" t="n">
        <f aca="false">IF(OR($A28&gt;Paramètres!$B$12,E28=0),0,N(INDEX($H$6:$H$8,E28)))</f>
        <v>0.9</v>
      </c>
      <c r="H28" s="24" t="n">
        <f aca="false">IF(OR($A28&gt;Paramètres!$B$12,E28=0),0,N(INDEX($H$6:$H$8,E28))*IF(INDEX($E$6:$E$8,E28)="Zone",Paramètres!$B$8,1))</f>
        <v>0.9</v>
      </c>
      <c r="I28" s="39" t="n">
        <f aca="false">IF($E28=1,$A28,I27)</f>
        <v>1</v>
      </c>
      <c r="J28" s="39" t="n">
        <f aca="false">IF($E28=2,$A28,J27)</f>
        <v>2</v>
      </c>
      <c r="K28" s="39" t="n">
        <f aca="false">IF($E28=3,$A28,K27)</f>
        <v>-99</v>
      </c>
    </row>
    <row r="29" customFormat="false" ht="15" hidden="false" customHeight="true" outlineLevel="0" collapsed="false">
      <c r="A29" s="37" t="n">
        <v>3</v>
      </c>
      <c r="B29" s="10" t="str">
        <f aca="false">IF(AND($A29&lt;=Paramètres!$B$12,$D$6&lt;&gt;"Passif",$A29-I28&gt;=IF(ISNUMBER($F$6),$F$6,99)),"Oui","Non")</f>
        <v>Non</v>
      </c>
      <c r="C29" s="10" t="str">
        <f aca="false">IF(AND($A29&lt;=Paramètres!$B$12,$D$7&lt;&gt;"Passif",$A29-J28&gt;=IF(ISNUMBER($F$7),$F$7,99)),"Oui","Non")</f>
        <v>Oui</v>
      </c>
      <c r="D29" s="10" t="str">
        <f aca="false">IF(AND($A29&lt;=Paramètres!$B$12,$D$8&lt;&gt;"Passif",$A29-K28&gt;=IF(ISNUMBER($F$8),$F$8,99)),"Oui","Non")</f>
        <v>Oui</v>
      </c>
      <c r="E29" s="38" t="n">
        <f aca="false">IF(B29="Oui",1,IF(C29="Oui",2,IF(D29="Oui",3,0)))</f>
        <v>2</v>
      </c>
      <c r="F29" s="11" t="str">
        <f aca="false">IF(E29=0,"(rien de prêt)",INDEX($B$6:$B$8,E29))</f>
        <v>Lance de feu</v>
      </c>
      <c r="G29" s="24" t="n">
        <f aca="false">IF(OR($A29&gt;Paramètres!$B$12,E29=0),0,N(INDEX($H$6:$H$8,E29)))</f>
        <v>0.9</v>
      </c>
      <c r="H29" s="24" t="n">
        <f aca="false">IF(OR($A29&gt;Paramètres!$B$12,E29=0),0,N(INDEX($H$6:$H$8,E29))*IF(INDEX($E$6:$E$8,E29)="Zone",Paramètres!$B$8,1))</f>
        <v>0.9</v>
      </c>
      <c r="I29" s="39" t="n">
        <f aca="false">IF($E29=1,$A29,I28)</f>
        <v>1</v>
      </c>
      <c r="J29" s="39" t="n">
        <f aca="false">IF($E29=2,$A29,J28)</f>
        <v>3</v>
      </c>
      <c r="K29" s="39" t="n">
        <f aca="false">IF($E29=3,$A29,K28)</f>
        <v>-99</v>
      </c>
    </row>
    <row r="30" customFormat="false" ht="15" hidden="false" customHeight="true" outlineLevel="0" collapsed="false">
      <c r="A30" s="37" t="n">
        <v>4</v>
      </c>
      <c r="B30" s="10" t="str">
        <f aca="false">IF(AND($A30&lt;=Paramètres!$B$12,$D$6&lt;&gt;"Passif",$A30-I29&gt;=IF(ISNUMBER($F$6),$F$6,99)),"Oui","Non")</f>
        <v>Oui</v>
      </c>
      <c r="C30" s="10" t="str">
        <f aca="false">IF(AND($A30&lt;=Paramètres!$B$12,$D$7&lt;&gt;"Passif",$A30-J29&gt;=IF(ISNUMBER($F$7),$F$7,99)),"Oui","Non")</f>
        <v>Oui</v>
      </c>
      <c r="D30" s="10" t="str">
        <f aca="false">IF(AND($A30&lt;=Paramètres!$B$12,$D$8&lt;&gt;"Passif",$A30-K29&gt;=IF(ISNUMBER($F$8),$F$8,99)),"Oui","Non")</f>
        <v>Oui</v>
      </c>
      <c r="E30" s="38" t="n">
        <f aca="false">IF(B30="Oui",1,IF(C30="Oui",2,IF(D30="Oui",3,0)))</f>
        <v>1</v>
      </c>
      <c r="F30" s="11" t="str">
        <f aca="false">IF(E30=0,"(rien de prêt)",INDEX($B$6:$B$8,E30))</f>
        <v>Explosion de feu</v>
      </c>
      <c r="G30" s="24" t="n">
        <f aca="false">IF(OR($A30&gt;Paramètres!$B$12,E30=0),0,N(INDEX($H$6:$H$8,E30)))</f>
        <v>3</v>
      </c>
      <c r="H30" s="24" t="n">
        <f aca="false">IF(OR($A30&gt;Paramètres!$B$12,E30=0),0,N(INDEX($H$6:$H$8,E30))*IF(INDEX($E$6:$E$8,E30)="Zone",Paramètres!$B$8,1))</f>
        <v>3</v>
      </c>
      <c r="I30" s="39" t="n">
        <f aca="false">IF($E30=1,$A30,I29)</f>
        <v>4</v>
      </c>
      <c r="J30" s="39" t="n">
        <f aca="false">IF($E30=2,$A30,J29)</f>
        <v>3</v>
      </c>
      <c r="K30" s="39" t="n">
        <f aca="false">IF($E30=3,$A30,K29)</f>
        <v>-99</v>
      </c>
    </row>
    <row r="31" customFormat="false" ht="15" hidden="false" customHeight="true" outlineLevel="0" collapsed="false">
      <c r="A31" s="37" t="n">
        <v>5</v>
      </c>
      <c r="B31" s="10" t="str">
        <f aca="false">IF(AND($A31&lt;=Paramètres!$B$12,$D$6&lt;&gt;"Passif",$A31-I30&gt;=IF(ISNUMBER($F$6),$F$6,99)),"Oui","Non")</f>
        <v>Non</v>
      </c>
      <c r="C31" s="10" t="str">
        <f aca="false">IF(AND($A31&lt;=Paramètres!$B$12,$D$7&lt;&gt;"Passif",$A31-J30&gt;=IF(ISNUMBER($F$7),$F$7,99)),"Oui","Non")</f>
        <v>Oui</v>
      </c>
      <c r="D31" s="10" t="str">
        <f aca="false">IF(AND($A31&lt;=Paramètres!$B$12,$D$8&lt;&gt;"Passif",$A31-K30&gt;=IF(ISNUMBER($F$8),$F$8,99)),"Oui","Non")</f>
        <v>Oui</v>
      </c>
      <c r="E31" s="38" t="n">
        <f aca="false">IF(B31="Oui",1,IF(C31="Oui",2,IF(D31="Oui",3,0)))</f>
        <v>2</v>
      </c>
      <c r="F31" s="11" t="str">
        <f aca="false">IF(E31=0,"(rien de prêt)",INDEX($B$6:$B$8,E31))</f>
        <v>Lance de feu</v>
      </c>
      <c r="G31" s="24" t="n">
        <f aca="false">IF(OR($A31&gt;Paramètres!$B$12,E31=0),0,N(INDEX($H$6:$H$8,E31)))</f>
        <v>0.9</v>
      </c>
      <c r="H31" s="24" t="n">
        <f aca="false">IF(OR($A31&gt;Paramètres!$B$12,E31=0),0,N(INDEX($H$6:$H$8,E31))*IF(INDEX($E$6:$E$8,E31)="Zone",Paramètres!$B$8,1))</f>
        <v>0.9</v>
      </c>
      <c r="I31" s="39" t="n">
        <f aca="false">IF($E31=1,$A31,I30)</f>
        <v>4</v>
      </c>
      <c r="J31" s="39" t="n">
        <f aca="false">IF($E31=2,$A31,J30)</f>
        <v>5</v>
      </c>
      <c r="K31" s="39" t="n">
        <f aca="false">IF($E31=3,$A31,K30)</f>
        <v>-99</v>
      </c>
    </row>
    <row r="32" customFormat="false" ht="15" hidden="false" customHeight="true" outlineLevel="0" collapsed="false">
      <c r="A32" s="37" t="n">
        <v>6</v>
      </c>
      <c r="B32" s="10" t="str">
        <f aca="false">IF(AND($A32&lt;=Paramètres!$B$12,$D$6&lt;&gt;"Passif",$A32-I31&gt;=IF(ISNUMBER($F$6),$F$6,99)),"Oui","Non")</f>
        <v>Non</v>
      </c>
      <c r="C32" s="10" t="str">
        <f aca="false">IF(AND($A32&lt;=Paramètres!$B$12,$D$7&lt;&gt;"Passif",$A32-J31&gt;=IF(ISNUMBER($F$7),$F$7,99)),"Oui","Non")</f>
        <v>Oui</v>
      </c>
      <c r="D32" s="10" t="str">
        <f aca="false">IF(AND($A32&lt;=Paramètres!$B$12,$D$8&lt;&gt;"Passif",$A32-K31&gt;=IF(ISNUMBER($F$8),$F$8,99)),"Oui","Non")</f>
        <v>Oui</v>
      </c>
      <c r="E32" s="38" t="n">
        <f aca="false">IF(B32="Oui",1,IF(C32="Oui",2,IF(D32="Oui",3,0)))</f>
        <v>2</v>
      </c>
      <c r="F32" s="11" t="str">
        <f aca="false">IF(E32=0,"(rien de prêt)",INDEX($B$6:$B$8,E32))</f>
        <v>Lance de feu</v>
      </c>
      <c r="G32" s="24" t="n">
        <f aca="false">IF(OR($A32&gt;Paramètres!$B$12,E32=0),0,N(INDEX($H$6:$H$8,E32)))</f>
        <v>0.9</v>
      </c>
      <c r="H32" s="24" t="n">
        <f aca="false">IF(OR($A32&gt;Paramètres!$B$12,E32=0),0,N(INDEX($H$6:$H$8,E32))*IF(INDEX($E$6:$E$8,E32)="Zone",Paramètres!$B$8,1))</f>
        <v>0.9</v>
      </c>
      <c r="I32" s="39" t="n">
        <f aca="false">IF($E32=1,$A32,I31)</f>
        <v>4</v>
      </c>
      <c r="J32" s="39" t="n">
        <f aca="false">IF($E32=2,$A32,J31)</f>
        <v>6</v>
      </c>
      <c r="K32" s="39" t="n">
        <f aca="false">IF($E32=3,$A32,K31)</f>
        <v>-99</v>
      </c>
    </row>
    <row r="33" customFormat="false" ht="15" hidden="false" customHeight="true" outlineLevel="0" collapsed="false">
      <c r="A33" s="37" t="n">
        <v>7</v>
      </c>
      <c r="B33" s="10" t="str">
        <f aca="false">IF(AND($A33&lt;=Paramètres!$B$12,$D$6&lt;&gt;"Passif",$A33-I32&gt;=IF(ISNUMBER($F$6),$F$6,99)),"Oui","Non")</f>
        <v>Oui</v>
      </c>
      <c r="C33" s="10" t="str">
        <f aca="false">IF(AND($A33&lt;=Paramètres!$B$12,$D$7&lt;&gt;"Passif",$A33-J32&gt;=IF(ISNUMBER($F$7),$F$7,99)),"Oui","Non")</f>
        <v>Oui</v>
      </c>
      <c r="D33" s="10" t="str">
        <f aca="false">IF(AND($A33&lt;=Paramètres!$B$12,$D$8&lt;&gt;"Passif",$A33-K32&gt;=IF(ISNUMBER($F$8),$F$8,99)),"Oui","Non")</f>
        <v>Oui</v>
      </c>
      <c r="E33" s="38" t="n">
        <f aca="false">IF(B33="Oui",1,IF(C33="Oui",2,IF(D33="Oui",3,0)))</f>
        <v>1</v>
      </c>
      <c r="F33" s="11" t="str">
        <f aca="false">IF(E33=0,"(rien de prêt)",INDEX($B$6:$B$8,E33))</f>
        <v>Explosion de feu</v>
      </c>
      <c r="G33" s="24" t="n">
        <f aca="false">IF(OR($A33&gt;Paramètres!$B$12,E33=0),0,N(INDEX($H$6:$H$8,E33)))</f>
        <v>3</v>
      </c>
      <c r="H33" s="24" t="n">
        <f aca="false">IF(OR($A33&gt;Paramètres!$B$12,E33=0),0,N(INDEX($H$6:$H$8,E33))*IF(INDEX($E$6:$E$8,E33)="Zone",Paramètres!$B$8,1))</f>
        <v>3</v>
      </c>
      <c r="I33" s="39" t="n">
        <f aca="false">IF($E33=1,$A33,I32)</f>
        <v>7</v>
      </c>
      <c r="J33" s="39" t="n">
        <f aca="false">IF($E33=2,$A33,J32)</f>
        <v>6</v>
      </c>
      <c r="K33" s="39" t="n">
        <f aca="false">IF($E33=3,$A33,K32)</f>
        <v>-99</v>
      </c>
    </row>
    <row r="34" customFormat="false" ht="15" hidden="false" customHeight="true" outlineLevel="0" collapsed="false">
      <c r="A34" s="37" t="n">
        <v>8</v>
      </c>
      <c r="B34" s="10" t="str">
        <f aca="false">IF(AND($A34&lt;=Paramètres!$B$12,$D$6&lt;&gt;"Passif",$A34-I33&gt;=IF(ISNUMBER($F$6),$F$6,99)),"Oui","Non")</f>
        <v>Non</v>
      </c>
      <c r="C34" s="10" t="str">
        <f aca="false">IF(AND($A34&lt;=Paramètres!$B$12,$D$7&lt;&gt;"Passif",$A34-J33&gt;=IF(ISNUMBER($F$7),$F$7,99)),"Oui","Non")</f>
        <v>Oui</v>
      </c>
      <c r="D34" s="10" t="str">
        <f aca="false">IF(AND($A34&lt;=Paramètres!$B$12,$D$8&lt;&gt;"Passif",$A34-K33&gt;=IF(ISNUMBER($F$8),$F$8,99)),"Oui","Non")</f>
        <v>Oui</v>
      </c>
      <c r="E34" s="38" t="n">
        <f aca="false">IF(B34="Oui",1,IF(C34="Oui",2,IF(D34="Oui",3,0)))</f>
        <v>2</v>
      </c>
      <c r="F34" s="11" t="str">
        <f aca="false">IF(E34=0,"(rien de prêt)",INDEX($B$6:$B$8,E34))</f>
        <v>Lance de feu</v>
      </c>
      <c r="G34" s="24" t="n">
        <f aca="false">IF(OR($A34&gt;Paramètres!$B$12,E34=0),0,N(INDEX($H$6:$H$8,E34)))</f>
        <v>0.9</v>
      </c>
      <c r="H34" s="24" t="n">
        <f aca="false">IF(OR($A34&gt;Paramètres!$B$12,E34=0),0,N(INDEX($H$6:$H$8,E34))*IF(INDEX($E$6:$E$8,E34)="Zone",Paramètres!$B$8,1))</f>
        <v>0.9</v>
      </c>
      <c r="I34" s="39" t="n">
        <f aca="false">IF($E34=1,$A34,I33)</f>
        <v>7</v>
      </c>
      <c r="J34" s="39" t="n">
        <f aca="false">IF($E34=2,$A34,J33)</f>
        <v>8</v>
      </c>
      <c r="K34" s="39" t="n">
        <f aca="false">IF($E34=3,$A34,K33)</f>
        <v>-99</v>
      </c>
    </row>
    <row r="35" customFormat="false" ht="15" hidden="false" customHeight="true" outlineLevel="0" collapsed="false">
      <c r="A35" s="37" t="n">
        <v>9</v>
      </c>
      <c r="B35" s="10" t="str">
        <f aca="false">IF(AND($A35&lt;=Paramètres!$B$12,$D$6&lt;&gt;"Passif",$A35-I34&gt;=IF(ISNUMBER($F$6),$F$6,99)),"Oui","Non")</f>
        <v>Non</v>
      </c>
      <c r="C35" s="10" t="str">
        <f aca="false">IF(AND($A35&lt;=Paramètres!$B$12,$D$7&lt;&gt;"Passif",$A35-J34&gt;=IF(ISNUMBER($F$7),$F$7,99)),"Oui","Non")</f>
        <v>Oui</v>
      </c>
      <c r="D35" s="10" t="str">
        <f aca="false">IF(AND($A35&lt;=Paramètres!$B$12,$D$8&lt;&gt;"Passif",$A35-K34&gt;=IF(ISNUMBER($F$8),$F$8,99)),"Oui","Non")</f>
        <v>Oui</v>
      </c>
      <c r="E35" s="38" t="n">
        <f aca="false">IF(B35="Oui",1,IF(C35="Oui",2,IF(D35="Oui",3,0)))</f>
        <v>2</v>
      </c>
      <c r="F35" s="11" t="str">
        <f aca="false">IF(E35=0,"(rien de prêt)",INDEX($B$6:$B$8,E35))</f>
        <v>Lance de feu</v>
      </c>
      <c r="G35" s="24" t="n">
        <f aca="false">IF(OR($A35&gt;Paramètres!$B$12,E35=0),0,N(INDEX($H$6:$H$8,E35)))</f>
        <v>0.9</v>
      </c>
      <c r="H35" s="24" t="n">
        <f aca="false">IF(OR($A35&gt;Paramètres!$B$12,E35=0),0,N(INDEX($H$6:$H$8,E35))*IF(INDEX($E$6:$E$8,E35)="Zone",Paramètres!$B$8,1))</f>
        <v>0.9</v>
      </c>
      <c r="I35" s="39" t="n">
        <f aca="false">IF($E35=1,$A35,I34)</f>
        <v>7</v>
      </c>
      <c r="J35" s="39" t="n">
        <f aca="false">IF($E35=2,$A35,J34)</f>
        <v>9</v>
      </c>
      <c r="K35" s="39" t="n">
        <f aca="false">IF($E35=3,$A35,K34)</f>
        <v>-99</v>
      </c>
    </row>
    <row r="36" customFormat="false" ht="15" hidden="false" customHeight="true" outlineLevel="0" collapsed="false">
      <c r="A36" s="37" t="n">
        <v>10</v>
      </c>
      <c r="B36" s="10" t="str">
        <f aca="false">IF(AND($A36&lt;=Paramètres!$B$12,$D$6&lt;&gt;"Passif",$A36-I35&gt;=IF(ISNUMBER($F$6),$F$6,99)),"Oui","Non")</f>
        <v>Oui</v>
      </c>
      <c r="C36" s="10" t="str">
        <f aca="false">IF(AND($A36&lt;=Paramètres!$B$12,$D$7&lt;&gt;"Passif",$A36-J35&gt;=IF(ISNUMBER($F$7),$F$7,99)),"Oui","Non")</f>
        <v>Oui</v>
      </c>
      <c r="D36" s="10" t="str">
        <f aca="false">IF(AND($A36&lt;=Paramètres!$B$12,$D$8&lt;&gt;"Passif",$A36-K35&gt;=IF(ISNUMBER($F$8),$F$8,99)),"Oui","Non")</f>
        <v>Oui</v>
      </c>
      <c r="E36" s="38" t="n">
        <f aca="false">IF(B36="Oui",1,IF(C36="Oui",2,IF(D36="Oui",3,0)))</f>
        <v>1</v>
      </c>
      <c r="F36" s="11" t="str">
        <f aca="false">IF(E36=0,"(rien de prêt)",INDEX($B$6:$B$8,E36))</f>
        <v>Explosion de feu</v>
      </c>
      <c r="G36" s="24" t="n">
        <f aca="false">IF(OR($A36&gt;Paramètres!$B$12,E36=0),0,N(INDEX($H$6:$H$8,E36)))</f>
        <v>3</v>
      </c>
      <c r="H36" s="24" t="n">
        <f aca="false">IF(OR($A36&gt;Paramètres!$B$12,E36=0),0,N(INDEX($H$6:$H$8,E36))*IF(INDEX($E$6:$E$8,E36)="Zone",Paramètres!$B$8,1))</f>
        <v>3</v>
      </c>
      <c r="I36" s="39" t="n">
        <f aca="false">IF($E36=1,$A36,I35)</f>
        <v>10</v>
      </c>
      <c r="J36" s="39" t="n">
        <f aca="false">IF($E36=2,$A36,J35)</f>
        <v>9</v>
      </c>
      <c r="K36" s="39" t="n">
        <f aca="false">IF($E36=3,$A36,K35)</f>
        <v>-99</v>
      </c>
    </row>
    <row r="37" customFormat="false" ht="15" hidden="false" customHeight="true" outlineLevel="0" collapsed="false">
      <c r="A37" s="37" t="n">
        <v>11</v>
      </c>
      <c r="B37" s="10" t="str">
        <f aca="false">IF(AND($A37&lt;=Paramètres!$B$12,$D$6&lt;&gt;"Passif",$A37-I36&gt;=IF(ISNUMBER($F$6),$F$6,99)),"Oui","Non")</f>
        <v>Non</v>
      </c>
      <c r="C37" s="10" t="str">
        <f aca="false">IF(AND($A37&lt;=Paramètres!$B$12,$D$7&lt;&gt;"Passif",$A37-J36&gt;=IF(ISNUMBER($F$7),$F$7,99)),"Oui","Non")</f>
        <v>Oui</v>
      </c>
      <c r="D37" s="10" t="str">
        <f aca="false">IF(AND($A37&lt;=Paramètres!$B$12,$D$8&lt;&gt;"Passif",$A37-K36&gt;=IF(ISNUMBER($F$8),$F$8,99)),"Oui","Non")</f>
        <v>Oui</v>
      </c>
      <c r="E37" s="38" t="n">
        <f aca="false">IF(B37="Oui",1,IF(C37="Oui",2,IF(D37="Oui",3,0)))</f>
        <v>2</v>
      </c>
      <c r="F37" s="11" t="str">
        <f aca="false">IF(E37=0,"(rien de prêt)",INDEX($B$6:$B$8,E37))</f>
        <v>Lance de feu</v>
      </c>
      <c r="G37" s="24" t="n">
        <f aca="false">IF(OR($A37&gt;Paramètres!$B$12,E37=0),0,N(INDEX($H$6:$H$8,E37)))</f>
        <v>0.9</v>
      </c>
      <c r="H37" s="24" t="n">
        <f aca="false">IF(OR($A37&gt;Paramètres!$B$12,E37=0),0,N(INDEX($H$6:$H$8,E37))*IF(INDEX($E$6:$E$8,E37)="Zone",Paramètres!$B$8,1))</f>
        <v>0.9</v>
      </c>
      <c r="I37" s="39" t="n">
        <f aca="false">IF($E37=1,$A37,I36)</f>
        <v>10</v>
      </c>
      <c r="J37" s="39" t="n">
        <f aca="false">IF($E37=2,$A37,J36)</f>
        <v>11</v>
      </c>
      <c r="K37" s="39" t="n">
        <f aca="false">IF($E37=3,$A37,K36)</f>
        <v>-99</v>
      </c>
    </row>
    <row r="38" customFormat="false" ht="15" hidden="false" customHeight="true" outlineLevel="0" collapsed="false">
      <c r="A38" s="37" t="n">
        <v>12</v>
      </c>
      <c r="B38" s="10" t="str">
        <f aca="false">IF(AND($A38&lt;=Paramètres!$B$12,$D$6&lt;&gt;"Passif",$A38-I37&gt;=IF(ISNUMBER($F$6),$F$6,99)),"Oui","Non")</f>
        <v>Non</v>
      </c>
      <c r="C38" s="10" t="str">
        <f aca="false">IF(AND($A38&lt;=Paramètres!$B$12,$D$7&lt;&gt;"Passif",$A38-J37&gt;=IF(ISNUMBER($F$7),$F$7,99)),"Oui","Non")</f>
        <v>Oui</v>
      </c>
      <c r="D38" s="10" t="str">
        <f aca="false">IF(AND($A38&lt;=Paramètres!$B$12,$D$8&lt;&gt;"Passif",$A38-K37&gt;=IF(ISNUMBER($F$8),$F$8,99)),"Oui","Non")</f>
        <v>Oui</v>
      </c>
      <c r="E38" s="38" t="n">
        <f aca="false">IF(B38="Oui",1,IF(C38="Oui",2,IF(D38="Oui",3,0)))</f>
        <v>2</v>
      </c>
      <c r="F38" s="11" t="str">
        <f aca="false">IF(E38=0,"(rien de prêt)",INDEX($B$6:$B$8,E38))</f>
        <v>Lance de feu</v>
      </c>
      <c r="G38" s="24" t="n">
        <f aca="false">IF(OR($A38&gt;Paramètres!$B$12,E38=0),0,N(INDEX($H$6:$H$8,E38)))</f>
        <v>0.9</v>
      </c>
      <c r="H38" s="24" t="n">
        <f aca="false">IF(OR($A38&gt;Paramètres!$B$12,E38=0),0,N(INDEX($H$6:$H$8,E38))*IF(INDEX($E$6:$E$8,E38)="Zone",Paramètres!$B$8,1))</f>
        <v>0.9</v>
      </c>
      <c r="I38" s="39" t="n">
        <f aca="false">IF($E38=1,$A38,I37)</f>
        <v>10</v>
      </c>
      <c r="J38" s="39" t="n">
        <f aca="false">IF($E38=2,$A38,J37)</f>
        <v>12</v>
      </c>
      <c r="K38" s="39" t="n">
        <f aca="false">IF($E38=3,$A38,K37)</f>
        <v>-99</v>
      </c>
    </row>
    <row r="40" customFormat="false" ht="15" hidden="false" customHeight="true" outlineLevel="0" collapsed="false">
      <c r="A40" s="17" t="s">
        <v>1331</v>
      </c>
    </row>
  </sheetData>
  <conditionalFormatting sqref="B13:B18">
    <cfRule type="expression" priority="2" aboveAverage="0" equalAverage="0" bottom="0" percent="0" rank="0" text="" dxfId="29">
      <formula>B13&lt;&gt;"OK"</formula>
    </cfRule>
    <cfRule type="expression" priority="3" aboveAverage="0" equalAverage="0" bottom="0" percent="0" rank="0" text="" dxfId="30">
      <formula>B13="OK"</formula>
    </cfRule>
  </conditionalFormatting>
  <dataValidations count="1">
    <dataValidation allowBlank="false" errorStyle="stop" operator="between" showDropDown="false" showErrorMessage="false" showInputMessage="false" sqref="B6:B10" type="list">
      <formula1>Catalogue!$G$5:$G$488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4" min="2" style="1" width="26"/>
    <col collapsed="false" customWidth="true" hidden="false" outlineLevel="0" max="6" min="5" style="1" width="22"/>
    <col collapsed="false" customWidth="true" hidden="false" outlineLevel="0" max="9" min="7" style="1" width="12"/>
    <col collapsed="false" customWidth="true" hidden="false" outlineLevel="0" max="10" min="10" style="1" width="10"/>
    <col collapsed="false" customWidth="true" hidden="false" outlineLevel="0" max="11" min="11" style="1" width="12"/>
  </cols>
  <sheetData>
    <row r="1" customFormat="false" ht="17.25" hidden="false" customHeight="true" outlineLevel="0" collapsed="false">
      <c r="A1" s="2" t="s">
        <v>1332</v>
      </c>
    </row>
    <row r="2" customFormat="false" ht="15" hidden="false" customHeight="true" outlineLevel="0" collapsed="false">
      <c r="A2" s="3" t="s">
        <v>1333</v>
      </c>
    </row>
    <row r="4" customFormat="false" ht="36" hidden="false" customHeight="true" outlineLevel="0" collapsed="false">
      <c r="A4" s="8" t="s">
        <v>1334</v>
      </c>
      <c r="B4" s="8" t="s">
        <v>815</v>
      </c>
      <c r="C4" s="8" t="s">
        <v>1335</v>
      </c>
      <c r="D4" s="8" t="s">
        <v>1336</v>
      </c>
      <c r="E4" s="8" t="s">
        <v>1337</v>
      </c>
      <c r="F4" s="8" t="s">
        <v>1338</v>
      </c>
      <c r="G4" s="8" t="s">
        <v>1339</v>
      </c>
      <c r="H4" s="8" t="s">
        <v>1340</v>
      </c>
      <c r="I4" s="8" t="s">
        <v>1341</v>
      </c>
      <c r="J4" s="8" t="s">
        <v>1342</v>
      </c>
      <c r="K4" s="8" t="s">
        <v>1343</v>
      </c>
    </row>
    <row r="5" customFormat="false" ht="15" hidden="false" customHeight="true" outlineLevel="0" collapsed="false">
      <c r="A5" s="37" t="n">
        <v>1</v>
      </c>
      <c r="B5" s="10" t="str">
        <f aca="false">INDEX(Éléments!$B$5:$B$14,MIN(10,MAX(1,ROUNDUP(A5/10,0))))</f>
        <v>Forêt</v>
      </c>
      <c r="C5" s="25" t="str">
        <f aca="false">IFERROR(INDEX(Éléments!$A$5:$A$14,MATCH(A5,Éléments!$C$5:$C$14,0)),IF(A5=Paramètres!$B$11,"Tour d'alchimie",""))</f>
        <v/>
      </c>
      <c r="D5" s="13" t="n">
        <f aca="false">COUNTIFS(Catalogue!$B$5:$B$488,"Guerrier",Catalogue!$C$5:$C$488,"&lt;&gt;Passif",Catalogue!$P$5:$P$488,"&lt;="&amp;$A5,Catalogue!$Q$5:$Q$488,"&lt;="&amp;$A5)</f>
        <v>2</v>
      </c>
      <c r="E5" s="13" t="n">
        <f aca="false">COUNTIFS(Catalogue!$B$5:$B$488,"Guerrier",Catalogue!$C$5:$C$488,"Passif",Catalogue!$P$5:$P$488,"&lt;="&amp;$A5,Catalogue!$Q$5:$Q$488,"&lt;="&amp;$A5)</f>
        <v>1</v>
      </c>
      <c r="F5" s="13" t="n">
        <f aca="false">COUNTIFS(Catalogue!$B$5:$B$488,"Mage",Catalogue!$C$5:$C$488,"&lt;&gt;Passif",Catalogue!$P$5:$P$488,"&lt;="&amp;$A5,Catalogue!$Q$5:$Q$488,"&lt;="&amp;$A5)</f>
        <v>2</v>
      </c>
      <c r="G5" s="13" t="n">
        <f aca="false">COUNTIFS(Catalogue!$B$5:$B$488,"Mage",Catalogue!$C$5:$C$488,"Passif",Catalogue!$P$5:$P$488,"&lt;="&amp;$A5,Catalogue!$Q$5:$Q$488,"&lt;="&amp;$A5)</f>
        <v>1</v>
      </c>
      <c r="H5" s="13" t="n">
        <f aca="false">COUNTIFS(Catalogue!$B$5:$B$488,"Tireur",Catalogue!$C$5:$C$488,"&lt;&gt;Passif",Catalogue!$P$5:$P$488,"&lt;="&amp;$A5,Catalogue!$Q$5:$Q$488,"&lt;="&amp;$A5)</f>
        <v>2</v>
      </c>
      <c r="I5" s="13" t="n">
        <f aca="false">COUNTIFS(Catalogue!$B$5:$B$488,"Tireur",Catalogue!$C$5:$C$488,"Passif",Catalogue!$P$5:$P$488,"&lt;="&amp;$A5,Catalogue!$Q$5:$Q$488,"&lt;="&amp;$A5)</f>
        <v>1</v>
      </c>
      <c r="J5" s="13" t="n">
        <f aca="false">COUNTIFS(Catalogue!$B$5:$B$488,"Toutes",Catalogue!$Q$5:$Q$488,"&lt;="&amp;$A5)</f>
        <v>1</v>
      </c>
      <c r="K5" s="13" t="n">
        <f aca="false">COUNTIF(Fusions!$G$5:$G$59,"&lt;="&amp;$A5)</f>
        <v>0</v>
      </c>
    </row>
    <row r="6" customFormat="false" ht="15" hidden="false" customHeight="true" outlineLevel="0" collapsed="false">
      <c r="A6" s="37" t="n">
        <v>5</v>
      </c>
      <c r="B6" s="10" t="str">
        <f aca="false">INDEX(Éléments!$B$5:$B$14,MIN(10,MAX(1,ROUNDUP(A6/10,0))))</f>
        <v>Forêt</v>
      </c>
      <c r="C6" s="25" t="str">
        <f aca="false">IFERROR(INDEX(Éléments!$A$5:$A$14,MATCH(A6,Éléments!$C$5:$C$14,0)),IF(A6=Paramètres!$B$11,"Tour d'alchimie",""))</f>
        <v/>
      </c>
      <c r="D6" s="13" t="n">
        <f aca="false">COUNTIFS(Catalogue!$B$5:$B$488,"Guerrier",Catalogue!$C$5:$C$488,"&lt;&gt;Passif",Catalogue!$P$5:$P$488,"&lt;="&amp;$A6,Catalogue!$Q$5:$Q$488,"&lt;="&amp;$A6)</f>
        <v>3</v>
      </c>
      <c r="E6" s="13" t="n">
        <f aca="false">COUNTIFS(Catalogue!$B$5:$B$488,"Guerrier",Catalogue!$C$5:$C$488,"Passif",Catalogue!$P$5:$P$488,"&lt;="&amp;$A6,Catalogue!$Q$5:$Q$488,"&lt;="&amp;$A6)</f>
        <v>1</v>
      </c>
      <c r="F6" s="13" t="n">
        <f aca="false">COUNTIFS(Catalogue!$B$5:$B$488,"Mage",Catalogue!$C$5:$C$488,"&lt;&gt;Passif",Catalogue!$P$5:$P$488,"&lt;="&amp;$A6,Catalogue!$Q$5:$Q$488,"&lt;="&amp;$A6)</f>
        <v>3</v>
      </c>
      <c r="G6" s="13" t="n">
        <f aca="false">COUNTIFS(Catalogue!$B$5:$B$488,"Mage",Catalogue!$C$5:$C$488,"Passif",Catalogue!$P$5:$P$488,"&lt;="&amp;$A6,Catalogue!$Q$5:$Q$488,"&lt;="&amp;$A6)</f>
        <v>1</v>
      </c>
      <c r="H6" s="13" t="n">
        <f aca="false">COUNTIFS(Catalogue!$B$5:$B$488,"Tireur",Catalogue!$C$5:$C$488,"&lt;&gt;Passif",Catalogue!$P$5:$P$488,"&lt;="&amp;$A6,Catalogue!$Q$5:$Q$488,"&lt;="&amp;$A6)</f>
        <v>3</v>
      </c>
      <c r="I6" s="13" t="n">
        <f aca="false">COUNTIFS(Catalogue!$B$5:$B$488,"Tireur",Catalogue!$C$5:$C$488,"Passif",Catalogue!$P$5:$P$488,"&lt;="&amp;$A6,Catalogue!$Q$5:$Q$488,"&lt;="&amp;$A6)</f>
        <v>1</v>
      </c>
      <c r="J6" s="13" t="n">
        <f aca="false">COUNTIFS(Catalogue!$B$5:$B$488,"Toutes",Catalogue!$Q$5:$Q$488,"&lt;="&amp;$A6)</f>
        <v>1</v>
      </c>
      <c r="K6" s="13" t="n">
        <f aca="false">COUNTIF(Fusions!$G$5:$G$59,"&lt;="&amp;$A6)</f>
        <v>0</v>
      </c>
    </row>
    <row r="7" customFormat="false" ht="15" hidden="false" customHeight="true" outlineLevel="0" collapsed="false">
      <c r="A7" s="37" t="n">
        <v>10</v>
      </c>
      <c r="B7" s="10" t="str">
        <f aca="false">INDEX(Éléments!$B$5:$B$14,MIN(10,MAX(1,ROUNDUP(A7/10,0))))</f>
        <v>Forêt</v>
      </c>
      <c r="C7" s="25" t="str">
        <f aca="false">IFERROR(INDEX(Éléments!$A$5:$A$14,MATCH(A7,Éléments!$C$5:$C$14,0)),IF(A7=Paramètres!$B$11,"Tour d'alchimie",""))</f>
        <v/>
      </c>
      <c r="D7" s="13" t="n">
        <f aca="false">COUNTIFS(Catalogue!$B$5:$B$488,"Guerrier",Catalogue!$C$5:$C$488,"&lt;&gt;Passif",Catalogue!$P$5:$P$488,"&lt;="&amp;$A7,Catalogue!$Q$5:$Q$488,"&lt;="&amp;$A7)</f>
        <v>5</v>
      </c>
      <c r="E7" s="13" t="n">
        <f aca="false">COUNTIFS(Catalogue!$B$5:$B$488,"Guerrier",Catalogue!$C$5:$C$488,"Passif",Catalogue!$P$5:$P$488,"&lt;="&amp;$A7,Catalogue!$Q$5:$Q$488,"&lt;="&amp;$A7)</f>
        <v>2</v>
      </c>
      <c r="F7" s="13" t="n">
        <f aca="false">COUNTIFS(Catalogue!$B$5:$B$488,"Mage",Catalogue!$C$5:$C$488,"&lt;&gt;Passif",Catalogue!$P$5:$P$488,"&lt;="&amp;$A7,Catalogue!$Q$5:$Q$488,"&lt;="&amp;$A7)</f>
        <v>5</v>
      </c>
      <c r="G7" s="13" t="n">
        <f aca="false">COUNTIFS(Catalogue!$B$5:$B$488,"Mage",Catalogue!$C$5:$C$488,"Passif",Catalogue!$P$5:$P$488,"&lt;="&amp;$A7,Catalogue!$Q$5:$Q$488,"&lt;="&amp;$A7)</f>
        <v>2</v>
      </c>
      <c r="H7" s="13" t="n">
        <f aca="false">COUNTIFS(Catalogue!$B$5:$B$488,"Tireur",Catalogue!$C$5:$C$488,"&lt;&gt;Passif",Catalogue!$P$5:$P$488,"&lt;="&amp;$A7,Catalogue!$Q$5:$Q$488,"&lt;="&amp;$A7)</f>
        <v>5</v>
      </c>
      <c r="I7" s="13" t="n">
        <f aca="false">COUNTIFS(Catalogue!$B$5:$B$488,"Tireur",Catalogue!$C$5:$C$488,"Passif",Catalogue!$P$5:$P$488,"&lt;="&amp;$A7,Catalogue!$Q$5:$Q$488,"&lt;="&amp;$A7)</f>
        <v>2</v>
      </c>
      <c r="J7" s="13" t="n">
        <f aca="false">COUNTIFS(Catalogue!$B$5:$B$488,"Toutes",Catalogue!$Q$5:$Q$488,"&lt;="&amp;$A7)</f>
        <v>1</v>
      </c>
      <c r="K7" s="13" t="n">
        <f aca="false">COUNTIF(Fusions!$G$5:$G$59,"&lt;="&amp;$A7)</f>
        <v>0</v>
      </c>
    </row>
    <row r="8" customFormat="false" ht="15" hidden="false" customHeight="true" outlineLevel="0" collapsed="false">
      <c r="A8" s="37" t="n">
        <v>15</v>
      </c>
      <c r="B8" s="10" t="str">
        <f aca="false">INDEX(Éléments!$B$5:$B$14,MIN(10,MAX(1,ROUNDUP(A8/10,0))))</f>
        <v>Montagne</v>
      </c>
      <c r="C8" s="25" t="str">
        <f aca="false">IFERROR(INDEX(Éléments!$A$5:$A$14,MATCH(A8,Éléments!$C$5:$C$14,0)),IF(A8=Paramètres!$B$11,"Tour d'alchimie",""))</f>
        <v/>
      </c>
      <c r="D8" s="13" t="n">
        <f aca="false">COUNTIFS(Catalogue!$B$5:$B$488,"Guerrier",Catalogue!$C$5:$C$488,"&lt;&gt;Passif",Catalogue!$P$5:$P$488,"&lt;="&amp;$A8,Catalogue!$Q$5:$Q$488,"&lt;="&amp;$A8)</f>
        <v>7</v>
      </c>
      <c r="E8" s="13" t="n">
        <f aca="false">COUNTIFS(Catalogue!$B$5:$B$488,"Guerrier",Catalogue!$C$5:$C$488,"Passif",Catalogue!$P$5:$P$488,"&lt;="&amp;$A8,Catalogue!$Q$5:$Q$488,"&lt;="&amp;$A8)</f>
        <v>2</v>
      </c>
      <c r="F8" s="13" t="n">
        <f aca="false">COUNTIFS(Catalogue!$B$5:$B$488,"Mage",Catalogue!$C$5:$C$488,"&lt;&gt;Passif",Catalogue!$P$5:$P$488,"&lt;="&amp;$A8,Catalogue!$Q$5:$Q$488,"&lt;="&amp;$A8)</f>
        <v>7</v>
      </c>
      <c r="G8" s="13" t="n">
        <f aca="false">COUNTIFS(Catalogue!$B$5:$B$488,"Mage",Catalogue!$C$5:$C$488,"Passif",Catalogue!$P$5:$P$488,"&lt;="&amp;$A8,Catalogue!$Q$5:$Q$488,"&lt;="&amp;$A8)</f>
        <v>2</v>
      </c>
      <c r="H8" s="13" t="n">
        <f aca="false">COUNTIFS(Catalogue!$B$5:$B$488,"Tireur",Catalogue!$C$5:$C$488,"&lt;&gt;Passif",Catalogue!$P$5:$P$488,"&lt;="&amp;$A8,Catalogue!$Q$5:$Q$488,"&lt;="&amp;$A8)</f>
        <v>7</v>
      </c>
      <c r="I8" s="13" t="n">
        <f aca="false">COUNTIFS(Catalogue!$B$5:$B$488,"Tireur",Catalogue!$C$5:$C$488,"Passif",Catalogue!$P$5:$P$488,"&lt;="&amp;$A8,Catalogue!$Q$5:$Q$488,"&lt;="&amp;$A8)</f>
        <v>2</v>
      </c>
      <c r="J8" s="13" t="n">
        <f aca="false">COUNTIFS(Catalogue!$B$5:$B$488,"Toutes",Catalogue!$Q$5:$Q$488,"&lt;="&amp;$A8)</f>
        <v>1</v>
      </c>
      <c r="K8" s="13" t="n">
        <f aca="false">COUNTIF(Fusions!$G$5:$G$59,"&lt;="&amp;$A8)</f>
        <v>0</v>
      </c>
    </row>
    <row r="9" customFormat="false" ht="15" hidden="false" customHeight="true" outlineLevel="0" collapsed="false">
      <c r="A9" s="37" t="n">
        <v>20</v>
      </c>
      <c r="B9" s="10" t="str">
        <f aca="false">INDEX(Éléments!$B$5:$B$14,MIN(10,MAX(1,ROUNDUP(A9/10,0))))</f>
        <v>Montagne</v>
      </c>
      <c r="C9" s="25" t="str">
        <f aca="false">IFERROR(INDEX(Éléments!$A$5:$A$14,MATCH(A9,Éléments!$C$5:$C$14,0)),IF(A9=Paramètres!$B$11,"Tour d'alchimie",""))</f>
        <v>Terre</v>
      </c>
      <c r="D9" s="13" t="n">
        <f aca="false">COUNTIFS(Catalogue!$B$5:$B$488,"Guerrier",Catalogue!$C$5:$C$488,"&lt;&gt;Passif",Catalogue!$P$5:$P$488,"&lt;="&amp;$A9,Catalogue!$Q$5:$Q$488,"&lt;="&amp;$A9)</f>
        <v>18</v>
      </c>
      <c r="E9" s="13" t="n">
        <f aca="false">COUNTIFS(Catalogue!$B$5:$B$488,"Guerrier",Catalogue!$C$5:$C$488,"Passif",Catalogue!$P$5:$P$488,"&lt;="&amp;$A9,Catalogue!$Q$5:$Q$488,"&lt;="&amp;$A9)</f>
        <v>3</v>
      </c>
      <c r="F9" s="13" t="n">
        <f aca="false">COUNTIFS(Catalogue!$B$5:$B$488,"Mage",Catalogue!$C$5:$C$488,"&lt;&gt;Passif",Catalogue!$P$5:$P$488,"&lt;="&amp;$A9,Catalogue!$Q$5:$Q$488,"&lt;="&amp;$A9)</f>
        <v>18</v>
      </c>
      <c r="G9" s="13" t="n">
        <f aca="false">COUNTIFS(Catalogue!$B$5:$B$488,"Mage",Catalogue!$C$5:$C$488,"Passif",Catalogue!$P$5:$P$488,"&lt;="&amp;$A9,Catalogue!$Q$5:$Q$488,"&lt;="&amp;$A9)</f>
        <v>3</v>
      </c>
      <c r="H9" s="13" t="n">
        <f aca="false">COUNTIFS(Catalogue!$B$5:$B$488,"Tireur",Catalogue!$C$5:$C$488,"&lt;&gt;Passif",Catalogue!$P$5:$P$488,"&lt;="&amp;$A9,Catalogue!$Q$5:$Q$488,"&lt;="&amp;$A9)</f>
        <v>18</v>
      </c>
      <c r="I9" s="13" t="n">
        <f aca="false">COUNTIFS(Catalogue!$B$5:$B$488,"Tireur",Catalogue!$C$5:$C$488,"Passif",Catalogue!$P$5:$P$488,"&lt;="&amp;$A9,Catalogue!$Q$5:$Q$488,"&lt;="&amp;$A9)</f>
        <v>3</v>
      </c>
      <c r="J9" s="13" t="n">
        <f aca="false">COUNTIFS(Catalogue!$B$5:$B$488,"Toutes",Catalogue!$Q$5:$Q$488,"&lt;="&amp;$A9)</f>
        <v>2</v>
      </c>
      <c r="K9" s="13" t="n">
        <f aca="false">COUNTIF(Fusions!$G$5:$G$59,"&lt;="&amp;$A9)</f>
        <v>0</v>
      </c>
    </row>
    <row r="10" customFormat="false" ht="15" hidden="false" customHeight="true" outlineLevel="0" collapsed="false">
      <c r="A10" s="37" t="n">
        <v>25</v>
      </c>
      <c r="B10" s="10" t="str">
        <f aca="false">INDEX(Éléments!$B$5:$B$14,MIN(10,MAX(1,ROUNDUP(A10/10,0))))</f>
        <v>Volcan</v>
      </c>
      <c r="C10" s="25" t="str">
        <f aca="false">IFERROR(INDEX(Éléments!$A$5:$A$14,MATCH(A10,Éléments!$C$5:$C$14,0)),IF(A10=Paramètres!$B$11,"Tour d'alchimie",""))</f>
        <v/>
      </c>
      <c r="D10" s="13" t="n">
        <f aca="false">COUNTIFS(Catalogue!$B$5:$B$488,"Guerrier",Catalogue!$C$5:$C$488,"&lt;&gt;Passif",Catalogue!$P$5:$P$488,"&lt;="&amp;$A10,Catalogue!$Q$5:$Q$488,"&lt;="&amp;$A10)</f>
        <v>20</v>
      </c>
      <c r="E10" s="13" t="n">
        <f aca="false">COUNTIFS(Catalogue!$B$5:$B$488,"Guerrier",Catalogue!$C$5:$C$488,"Passif",Catalogue!$P$5:$P$488,"&lt;="&amp;$A10,Catalogue!$Q$5:$Q$488,"&lt;="&amp;$A10)</f>
        <v>3</v>
      </c>
      <c r="F10" s="13" t="n">
        <f aca="false">COUNTIFS(Catalogue!$B$5:$B$488,"Mage",Catalogue!$C$5:$C$488,"&lt;&gt;Passif",Catalogue!$P$5:$P$488,"&lt;="&amp;$A10,Catalogue!$Q$5:$Q$488,"&lt;="&amp;$A10)</f>
        <v>20</v>
      </c>
      <c r="G10" s="13" t="n">
        <f aca="false">COUNTIFS(Catalogue!$B$5:$B$488,"Mage",Catalogue!$C$5:$C$488,"Passif",Catalogue!$P$5:$P$488,"&lt;="&amp;$A10,Catalogue!$Q$5:$Q$488,"&lt;="&amp;$A10)</f>
        <v>3</v>
      </c>
      <c r="H10" s="13" t="n">
        <f aca="false">COUNTIFS(Catalogue!$B$5:$B$488,"Tireur",Catalogue!$C$5:$C$488,"&lt;&gt;Passif",Catalogue!$P$5:$P$488,"&lt;="&amp;$A10,Catalogue!$Q$5:$Q$488,"&lt;="&amp;$A10)</f>
        <v>20</v>
      </c>
      <c r="I10" s="13" t="n">
        <f aca="false">COUNTIFS(Catalogue!$B$5:$B$488,"Tireur",Catalogue!$C$5:$C$488,"Passif",Catalogue!$P$5:$P$488,"&lt;="&amp;$A10,Catalogue!$Q$5:$Q$488,"&lt;="&amp;$A10)</f>
        <v>3</v>
      </c>
      <c r="J10" s="13" t="n">
        <f aca="false">COUNTIFS(Catalogue!$B$5:$B$488,"Toutes",Catalogue!$Q$5:$Q$488,"&lt;="&amp;$A10)</f>
        <v>2</v>
      </c>
      <c r="K10" s="13" t="n">
        <f aca="false">COUNTIF(Fusions!$G$5:$G$59,"&lt;="&amp;$A10)</f>
        <v>0</v>
      </c>
    </row>
    <row r="11" customFormat="false" ht="15" hidden="false" customHeight="true" outlineLevel="0" collapsed="false">
      <c r="A11" s="37" t="n">
        <v>30</v>
      </c>
      <c r="B11" s="10" t="str">
        <f aca="false">INDEX(Éléments!$B$5:$B$14,MIN(10,MAX(1,ROUNDUP(A11/10,0))))</f>
        <v>Volcan</v>
      </c>
      <c r="C11" s="25" t="str">
        <f aca="false">IFERROR(INDEX(Éléments!$A$5:$A$14,MATCH(A11,Éléments!$C$5:$C$14,0)),IF(A11=Paramètres!$B$11,"Tour d'alchimie",""))</f>
        <v>Feu</v>
      </c>
      <c r="D11" s="13" t="n">
        <f aca="false">COUNTIFS(Catalogue!$B$5:$B$488,"Guerrier",Catalogue!$C$5:$C$488,"&lt;&gt;Passif",Catalogue!$P$5:$P$488,"&lt;="&amp;$A11,Catalogue!$Q$5:$Q$488,"&lt;="&amp;$A11)</f>
        <v>36</v>
      </c>
      <c r="E11" s="13" t="n">
        <f aca="false">COUNTIFS(Catalogue!$B$5:$B$488,"Guerrier",Catalogue!$C$5:$C$488,"Passif",Catalogue!$P$5:$P$488,"&lt;="&amp;$A11,Catalogue!$Q$5:$Q$488,"&lt;="&amp;$A11)</f>
        <v>4</v>
      </c>
      <c r="F11" s="13" t="n">
        <f aca="false">COUNTIFS(Catalogue!$B$5:$B$488,"Mage",Catalogue!$C$5:$C$488,"&lt;&gt;Passif",Catalogue!$P$5:$P$488,"&lt;="&amp;$A11,Catalogue!$Q$5:$Q$488,"&lt;="&amp;$A11)</f>
        <v>36</v>
      </c>
      <c r="G11" s="13" t="n">
        <f aca="false">COUNTIFS(Catalogue!$B$5:$B$488,"Mage",Catalogue!$C$5:$C$488,"Passif",Catalogue!$P$5:$P$488,"&lt;="&amp;$A11,Catalogue!$Q$5:$Q$488,"&lt;="&amp;$A11)</f>
        <v>4</v>
      </c>
      <c r="H11" s="13" t="n">
        <f aca="false">COUNTIFS(Catalogue!$B$5:$B$488,"Tireur",Catalogue!$C$5:$C$488,"&lt;&gt;Passif",Catalogue!$P$5:$P$488,"&lt;="&amp;$A11,Catalogue!$Q$5:$Q$488,"&lt;="&amp;$A11)</f>
        <v>36</v>
      </c>
      <c r="I11" s="13" t="n">
        <f aca="false">COUNTIFS(Catalogue!$B$5:$B$488,"Tireur",Catalogue!$C$5:$C$488,"Passif",Catalogue!$P$5:$P$488,"&lt;="&amp;$A11,Catalogue!$Q$5:$Q$488,"&lt;="&amp;$A11)</f>
        <v>4</v>
      </c>
      <c r="J11" s="13" t="n">
        <f aca="false">COUNTIFS(Catalogue!$B$5:$B$488,"Toutes",Catalogue!$Q$5:$Q$488,"&lt;="&amp;$A11)</f>
        <v>3</v>
      </c>
      <c r="K11" s="13" t="n">
        <f aca="false">COUNTIF(Fusions!$G$5:$G$59,"&lt;="&amp;$A11)</f>
        <v>0</v>
      </c>
    </row>
    <row r="12" customFormat="false" ht="15" hidden="false" customHeight="true" outlineLevel="0" collapsed="false">
      <c r="A12" s="37" t="n">
        <v>40</v>
      </c>
      <c r="B12" s="10" t="str">
        <f aca="false">INDEX(Éléments!$B$5:$B$14,MIN(10,MAX(1,ROUNDUP(A12/10,0))))</f>
        <v>Désert</v>
      </c>
      <c r="C12" s="25" t="str">
        <f aca="false">IFERROR(INDEX(Éléments!$A$5:$A$14,MATCH(A12,Éléments!$C$5:$C$14,0)),IF(A12=Paramètres!$B$11,"Tour d'alchimie",""))</f>
        <v>Vent</v>
      </c>
      <c r="D12" s="13" t="n">
        <f aca="false">COUNTIFS(Catalogue!$B$5:$B$488,"Guerrier",Catalogue!$C$5:$C$488,"&lt;&gt;Passif",Catalogue!$P$5:$P$488,"&lt;="&amp;$A12,Catalogue!$Q$5:$Q$488,"&lt;="&amp;$A12)</f>
        <v>52</v>
      </c>
      <c r="E12" s="13" t="n">
        <f aca="false">COUNTIFS(Catalogue!$B$5:$B$488,"Guerrier",Catalogue!$C$5:$C$488,"Passif",Catalogue!$P$5:$P$488,"&lt;="&amp;$A12,Catalogue!$Q$5:$Q$488,"&lt;="&amp;$A12)</f>
        <v>5</v>
      </c>
      <c r="F12" s="13" t="n">
        <f aca="false">COUNTIFS(Catalogue!$B$5:$B$488,"Mage",Catalogue!$C$5:$C$488,"&lt;&gt;Passif",Catalogue!$P$5:$P$488,"&lt;="&amp;$A12,Catalogue!$Q$5:$Q$488,"&lt;="&amp;$A12)</f>
        <v>52</v>
      </c>
      <c r="G12" s="13" t="n">
        <f aca="false">COUNTIFS(Catalogue!$B$5:$B$488,"Mage",Catalogue!$C$5:$C$488,"Passif",Catalogue!$P$5:$P$488,"&lt;="&amp;$A12,Catalogue!$Q$5:$Q$488,"&lt;="&amp;$A12)</f>
        <v>5</v>
      </c>
      <c r="H12" s="13" t="n">
        <f aca="false">COUNTIFS(Catalogue!$B$5:$B$488,"Tireur",Catalogue!$C$5:$C$488,"&lt;&gt;Passif",Catalogue!$P$5:$P$488,"&lt;="&amp;$A12,Catalogue!$Q$5:$Q$488,"&lt;="&amp;$A12)</f>
        <v>52</v>
      </c>
      <c r="I12" s="13" t="n">
        <f aca="false">COUNTIFS(Catalogue!$B$5:$B$488,"Tireur",Catalogue!$C$5:$C$488,"Passif",Catalogue!$P$5:$P$488,"&lt;="&amp;$A12,Catalogue!$Q$5:$Q$488,"&lt;="&amp;$A12)</f>
        <v>5</v>
      </c>
      <c r="J12" s="13" t="n">
        <f aca="false">COUNTIFS(Catalogue!$B$5:$B$488,"Toutes",Catalogue!$Q$5:$Q$488,"&lt;="&amp;$A12)</f>
        <v>4</v>
      </c>
      <c r="K12" s="13" t="n">
        <f aca="false">COUNTIF(Fusions!$G$5:$G$59,"&lt;="&amp;$A12)</f>
        <v>0</v>
      </c>
    </row>
    <row r="13" customFormat="false" ht="15" hidden="false" customHeight="true" outlineLevel="0" collapsed="false">
      <c r="A13" s="37" t="n">
        <v>50</v>
      </c>
      <c r="B13" s="10" t="str">
        <f aca="false">INDEX(Éléments!$B$5:$B$14,MIN(10,MAX(1,ROUNDUP(A13/10,0))))</f>
        <v>Marais</v>
      </c>
      <c r="C13" s="25" t="str">
        <f aca="false">IFERROR(INDEX(Éléments!$A$5:$A$14,MATCH(A13,Éléments!$C$5:$C$14,0)),IF(A13=Paramètres!$B$11,"Tour d'alchimie",""))</f>
        <v>Acide</v>
      </c>
      <c r="D13" s="13" t="n">
        <f aca="false">COUNTIFS(Catalogue!$B$5:$B$488,"Guerrier",Catalogue!$C$5:$C$488,"&lt;&gt;Passif",Catalogue!$P$5:$P$488,"&lt;="&amp;$A13,Catalogue!$Q$5:$Q$488,"&lt;="&amp;$A13)</f>
        <v>70</v>
      </c>
      <c r="E13" s="13" t="n">
        <f aca="false">COUNTIFS(Catalogue!$B$5:$B$488,"Guerrier",Catalogue!$C$5:$C$488,"Passif",Catalogue!$P$5:$P$488,"&lt;="&amp;$A13,Catalogue!$Q$5:$Q$488,"&lt;="&amp;$A13)</f>
        <v>6</v>
      </c>
      <c r="F13" s="13" t="n">
        <f aca="false">COUNTIFS(Catalogue!$B$5:$B$488,"Mage",Catalogue!$C$5:$C$488,"&lt;&gt;Passif",Catalogue!$P$5:$P$488,"&lt;="&amp;$A13,Catalogue!$Q$5:$Q$488,"&lt;="&amp;$A13)</f>
        <v>70</v>
      </c>
      <c r="G13" s="13" t="n">
        <f aca="false">COUNTIFS(Catalogue!$B$5:$B$488,"Mage",Catalogue!$C$5:$C$488,"Passif",Catalogue!$P$5:$P$488,"&lt;="&amp;$A13,Catalogue!$Q$5:$Q$488,"&lt;="&amp;$A13)</f>
        <v>6</v>
      </c>
      <c r="H13" s="13" t="n">
        <f aca="false">COUNTIFS(Catalogue!$B$5:$B$488,"Tireur",Catalogue!$C$5:$C$488,"&lt;&gt;Passif",Catalogue!$P$5:$P$488,"&lt;="&amp;$A13,Catalogue!$Q$5:$Q$488,"&lt;="&amp;$A13)</f>
        <v>70</v>
      </c>
      <c r="I13" s="13" t="n">
        <f aca="false">COUNTIFS(Catalogue!$B$5:$B$488,"Tireur",Catalogue!$C$5:$C$488,"Passif",Catalogue!$P$5:$P$488,"&lt;="&amp;$A13,Catalogue!$Q$5:$Q$488,"&lt;="&amp;$A13)</f>
        <v>6</v>
      </c>
      <c r="J13" s="13" t="n">
        <f aca="false">COUNTIFS(Catalogue!$B$5:$B$488,"Toutes",Catalogue!$Q$5:$Q$488,"&lt;="&amp;$A13)</f>
        <v>5</v>
      </c>
      <c r="K13" s="13" t="n">
        <f aca="false">COUNTIF(Fusions!$G$5:$G$59,"&lt;="&amp;$A13)</f>
        <v>0</v>
      </c>
    </row>
    <row r="14" customFormat="false" ht="15" hidden="false" customHeight="true" outlineLevel="0" collapsed="false">
      <c r="A14" s="37" t="n">
        <v>60</v>
      </c>
      <c r="B14" s="10" t="str">
        <f aca="false">INDEX(Éléments!$B$5:$B$14,MIN(10,MAX(1,ROUNDUP(A14/10,0))))</f>
        <v>Océan / Île</v>
      </c>
      <c r="C14" s="25" t="str">
        <f aca="false">IFERROR(INDEX(Éléments!$A$5:$A$14,MATCH(A14,Éléments!$C$5:$C$14,0)),IF(A14=Paramètres!$B$11,"Tour d'alchimie",""))</f>
        <v>Eau</v>
      </c>
      <c r="D14" s="13" t="n">
        <f aca="false">COUNTIFS(Catalogue!$B$5:$B$488,"Guerrier",Catalogue!$C$5:$C$488,"&lt;&gt;Passif",Catalogue!$P$5:$P$488,"&lt;="&amp;$A14,Catalogue!$Q$5:$Q$488,"&lt;="&amp;$A14)</f>
        <v>90</v>
      </c>
      <c r="E14" s="13" t="n">
        <f aca="false">COUNTIFS(Catalogue!$B$5:$B$488,"Guerrier",Catalogue!$C$5:$C$488,"Passif",Catalogue!$P$5:$P$488,"&lt;="&amp;$A14,Catalogue!$Q$5:$Q$488,"&lt;="&amp;$A14)</f>
        <v>7</v>
      </c>
      <c r="F14" s="13" t="n">
        <f aca="false">COUNTIFS(Catalogue!$B$5:$B$488,"Mage",Catalogue!$C$5:$C$488,"&lt;&gt;Passif",Catalogue!$P$5:$P$488,"&lt;="&amp;$A14,Catalogue!$Q$5:$Q$488,"&lt;="&amp;$A14)</f>
        <v>90</v>
      </c>
      <c r="G14" s="13" t="n">
        <f aca="false">COUNTIFS(Catalogue!$B$5:$B$488,"Mage",Catalogue!$C$5:$C$488,"Passif",Catalogue!$P$5:$P$488,"&lt;="&amp;$A14,Catalogue!$Q$5:$Q$488,"&lt;="&amp;$A14)</f>
        <v>7</v>
      </c>
      <c r="H14" s="13" t="n">
        <f aca="false">COUNTIFS(Catalogue!$B$5:$B$488,"Tireur",Catalogue!$C$5:$C$488,"&lt;&gt;Passif",Catalogue!$P$5:$P$488,"&lt;="&amp;$A14,Catalogue!$Q$5:$Q$488,"&lt;="&amp;$A14)</f>
        <v>90</v>
      </c>
      <c r="I14" s="13" t="n">
        <f aca="false">COUNTIFS(Catalogue!$B$5:$B$488,"Tireur",Catalogue!$C$5:$C$488,"Passif",Catalogue!$P$5:$P$488,"&lt;="&amp;$A14,Catalogue!$Q$5:$Q$488,"&lt;="&amp;$A14)</f>
        <v>7</v>
      </c>
      <c r="J14" s="13" t="n">
        <f aca="false">COUNTIFS(Catalogue!$B$5:$B$488,"Toutes",Catalogue!$Q$5:$Q$488,"&lt;="&amp;$A14)</f>
        <v>6</v>
      </c>
      <c r="K14" s="13" t="n">
        <f aca="false">COUNTIF(Fusions!$G$5:$G$59,"&lt;="&amp;$A14)</f>
        <v>0</v>
      </c>
    </row>
    <row r="15" customFormat="false" ht="15" hidden="false" customHeight="true" outlineLevel="0" collapsed="false">
      <c r="A15" s="37" t="n">
        <v>70</v>
      </c>
      <c r="B15" s="10" t="str">
        <f aca="false">INDEX(Éléments!$B$5:$B$14,MIN(10,MAX(1,ROUNDUP(A15/10,0))))</f>
        <v>Iceberg</v>
      </c>
      <c r="C15" s="25" t="str">
        <f aca="false">IFERROR(INDEX(Éléments!$A$5:$A$14,MATCH(A15,Éléments!$C$5:$C$14,0)),IF(A15=Paramètres!$B$11,"Tour d'alchimie",""))</f>
        <v>Glace</v>
      </c>
      <c r="D15" s="13" t="n">
        <f aca="false">COUNTIFS(Catalogue!$B$5:$B$488,"Guerrier",Catalogue!$C$5:$C$488,"&lt;&gt;Passif",Catalogue!$P$5:$P$488,"&lt;="&amp;$A15,Catalogue!$Q$5:$Q$488,"&lt;="&amp;$A15)</f>
        <v>105</v>
      </c>
      <c r="E15" s="13" t="n">
        <f aca="false">COUNTIFS(Catalogue!$B$5:$B$488,"Guerrier",Catalogue!$C$5:$C$488,"Passif",Catalogue!$P$5:$P$488,"&lt;="&amp;$A15,Catalogue!$Q$5:$Q$488,"&lt;="&amp;$A15)</f>
        <v>8</v>
      </c>
      <c r="F15" s="13" t="n">
        <f aca="false">COUNTIFS(Catalogue!$B$5:$B$488,"Mage",Catalogue!$C$5:$C$488,"&lt;&gt;Passif",Catalogue!$P$5:$P$488,"&lt;="&amp;$A15,Catalogue!$Q$5:$Q$488,"&lt;="&amp;$A15)</f>
        <v>105</v>
      </c>
      <c r="G15" s="13" t="n">
        <f aca="false">COUNTIFS(Catalogue!$B$5:$B$488,"Mage",Catalogue!$C$5:$C$488,"Passif",Catalogue!$P$5:$P$488,"&lt;="&amp;$A15,Catalogue!$Q$5:$Q$488,"&lt;="&amp;$A15)</f>
        <v>8</v>
      </c>
      <c r="H15" s="13" t="n">
        <f aca="false">COUNTIFS(Catalogue!$B$5:$B$488,"Tireur",Catalogue!$C$5:$C$488,"&lt;&gt;Passif",Catalogue!$P$5:$P$488,"&lt;="&amp;$A15,Catalogue!$Q$5:$Q$488,"&lt;="&amp;$A15)</f>
        <v>105</v>
      </c>
      <c r="I15" s="13" t="n">
        <f aca="false">COUNTIFS(Catalogue!$B$5:$B$488,"Tireur",Catalogue!$C$5:$C$488,"Passif",Catalogue!$P$5:$P$488,"&lt;="&amp;$A15,Catalogue!$Q$5:$Q$488,"&lt;="&amp;$A15)</f>
        <v>8</v>
      </c>
      <c r="J15" s="13" t="n">
        <f aca="false">COUNTIFS(Catalogue!$B$5:$B$488,"Toutes",Catalogue!$Q$5:$Q$488,"&lt;="&amp;$A15)</f>
        <v>7</v>
      </c>
      <c r="K15" s="13" t="n">
        <f aca="false">COUNTIF(Fusions!$G$5:$G$59,"&lt;="&amp;$A15)</f>
        <v>0</v>
      </c>
    </row>
    <row r="16" customFormat="false" ht="15" hidden="false" customHeight="true" outlineLevel="0" collapsed="false">
      <c r="A16" s="37" t="n">
        <v>80</v>
      </c>
      <c r="B16" s="10" t="str">
        <f aca="false">INDEX(Éléments!$B$5:$B$14,MIN(10,MAX(1,ROUNDUP(A16/10,0))))</f>
        <v>Haute montagne</v>
      </c>
      <c r="C16" s="25" t="str">
        <f aca="false">IFERROR(INDEX(Éléments!$A$5:$A$14,MATCH(A16,Éléments!$C$5:$C$14,0)),IF(A16=Paramètres!$B$11,"Tour d'alchimie",""))</f>
        <v>Électricité</v>
      </c>
      <c r="D16" s="13" t="n">
        <f aca="false">COUNTIFS(Catalogue!$B$5:$B$488,"Guerrier",Catalogue!$C$5:$C$488,"&lt;&gt;Passif",Catalogue!$P$5:$P$488,"&lt;="&amp;$A16,Catalogue!$Q$5:$Q$488,"&lt;="&amp;$A16)</f>
        <v>120</v>
      </c>
      <c r="E16" s="13" t="n">
        <f aca="false">COUNTIFS(Catalogue!$B$5:$B$488,"Guerrier",Catalogue!$C$5:$C$488,"Passif",Catalogue!$P$5:$P$488,"&lt;="&amp;$A16,Catalogue!$Q$5:$Q$488,"&lt;="&amp;$A16)</f>
        <v>8</v>
      </c>
      <c r="F16" s="13" t="n">
        <f aca="false">COUNTIFS(Catalogue!$B$5:$B$488,"Mage",Catalogue!$C$5:$C$488,"&lt;&gt;Passif",Catalogue!$P$5:$P$488,"&lt;="&amp;$A16,Catalogue!$Q$5:$Q$488,"&lt;="&amp;$A16)</f>
        <v>120</v>
      </c>
      <c r="G16" s="13" t="n">
        <f aca="false">COUNTIFS(Catalogue!$B$5:$B$488,"Mage",Catalogue!$C$5:$C$488,"Passif",Catalogue!$P$5:$P$488,"&lt;="&amp;$A16,Catalogue!$Q$5:$Q$488,"&lt;="&amp;$A16)</f>
        <v>8</v>
      </c>
      <c r="H16" s="13" t="n">
        <f aca="false">COUNTIFS(Catalogue!$B$5:$B$488,"Tireur",Catalogue!$C$5:$C$488,"&lt;&gt;Passif",Catalogue!$P$5:$P$488,"&lt;="&amp;$A16,Catalogue!$Q$5:$Q$488,"&lt;="&amp;$A16)</f>
        <v>120</v>
      </c>
      <c r="I16" s="13" t="n">
        <f aca="false">COUNTIFS(Catalogue!$B$5:$B$488,"Tireur",Catalogue!$C$5:$C$488,"Passif",Catalogue!$P$5:$P$488,"&lt;="&amp;$A16,Catalogue!$Q$5:$Q$488,"&lt;="&amp;$A16)</f>
        <v>8</v>
      </c>
      <c r="J16" s="13" t="n">
        <f aca="false">COUNTIFS(Catalogue!$B$5:$B$488,"Toutes",Catalogue!$Q$5:$Q$488,"&lt;="&amp;$A16)</f>
        <v>8</v>
      </c>
      <c r="K16" s="13" t="n">
        <f aca="false">COUNTIF(Fusions!$G$5:$G$59,"&lt;="&amp;$A16)</f>
        <v>0</v>
      </c>
    </row>
    <row r="17" customFormat="false" ht="15" hidden="false" customHeight="true" outlineLevel="0" collapsed="false">
      <c r="A17" s="37" t="n">
        <v>85</v>
      </c>
      <c r="B17" s="10" t="str">
        <f aca="false">INDEX(Éléments!$B$5:$B$14,MIN(10,MAX(1,ROUNDUP(A17/10,0))))</f>
        <v>Palais céleste</v>
      </c>
      <c r="C17" s="25" t="str">
        <f aca="false">IFERROR(INDEX(Éléments!$A$5:$A$14,MATCH(A17,Éléments!$C$5:$C$14,0)),IF(A17=Paramètres!$B$11,"Tour d'alchimie",""))</f>
        <v>Tour d'alchimie</v>
      </c>
      <c r="D17" s="13" t="n">
        <f aca="false">COUNTIFS(Catalogue!$B$5:$B$488,"Guerrier",Catalogue!$C$5:$C$488,"&lt;&gt;Passif",Catalogue!$P$5:$P$488,"&lt;="&amp;$A17,Catalogue!$Q$5:$Q$488,"&lt;="&amp;$A17)</f>
        <v>120</v>
      </c>
      <c r="E17" s="13" t="n">
        <f aca="false">COUNTIFS(Catalogue!$B$5:$B$488,"Guerrier",Catalogue!$C$5:$C$488,"Passif",Catalogue!$P$5:$P$488,"&lt;="&amp;$A17,Catalogue!$Q$5:$Q$488,"&lt;="&amp;$A17)</f>
        <v>8</v>
      </c>
      <c r="F17" s="13" t="n">
        <f aca="false">COUNTIFS(Catalogue!$B$5:$B$488,"Mage",Catalogue!$C$5:$C$488,"&lt;&gt;Passif",Catalogue!$P$5:$P$488,"&lt;="&amp;$A17,Catalogue!$Q$5:$Q$488,"&lt;="&amp;$A17)</f>
        <v>120</v>
      </c>
      <c r="G17" s="13" t="n">
        <f aca="false">COUNTIFS(Catalogue!$B$5:$B$488,"Mage",Catalogue!$C$5:$C$488,"Passif",Catalogue!$P$5:$P$488,"&lt;="&amp;$A17,Catalogue!$Q$5:$Q$488,"&lt;="&amp;$A17)</f>
        <v>8</v>
      </c>
      <c r="H17" s="13" t="n">
        <f aca="false">COUNTIFS(Catalogue!$B$5:$B$488,"Tireur",Catalogue!$C$5:$C$488,"&lt;&gt;Passif",Catalogue!$P$5:$P$488,"&lt;="&amp;$A17,Catalogue!$Q$5:$Q$488,"&lt;="&amp;$A17)</f>
        <v>120</v>
      </c>
      <c r="I17" s="13" t="n">
        <f aca="false">COUNTIFS(Catalogue!$B$5:$B$488,"Tireur",Catalogue!$C$5:$C$488,"Passif",Catalogue!$P$5:$P$488,"&lt;="&amp;$A17,Catalogue!$Q$5:$Q$488,"&lt;="&amp;$A17)</f>
        <v>8</v>
      </c>
      <c r="J17" s="13" t="n">
        <f aca="false">COUNTIFS(Catalogue!$B$5:$B$488,"Toutes",Catalogue!$Q$5:$Q$488,"&lt;="&amp;$A17)</f>
        <v>8</v>
      </c>
      <c r="K17" s="13" t="n">
        <f aca="false">COUNTIF(Fusions!$G$5:$G$59,"&lt;="&amp;$A17)</f>
        <v>36</v>
      </c>
    </row>
    <row r="18" customFormat="false" ht="15" hidden="false" customHeight="true" outlineLevel="0" collapsed="false">
      <c r="A18" s="37" t="n">
        <v>90</v>
      </c>
      <c r="B18" s="10" t="str">
        <f aca="false">INDEX(Éléments!$B$5:$B$14,MIN(10,MAX(1,ROUNDUP(A18/10,0))))</f>
        <v>Palais céleste</v>
      </c>
      <c r="C18" s="25" t="str">
        <f aca="false">IFERROR(INDEX(Éléments!$A$5:$A$14,MATCH(A18,Éléments!$C$5:$C$14,0)),IF(A18=Paramètres!$B$11,"Tour d'alchimie",""))</f>
        <v>Lumière</v>
      </c>
      <c r="D18" s="13" t="n">
        <f aca="false">COUNTIFS(Catalogue!$B$5:$B$488,"Guerrier",Catalogue!$C$5:$C$488,"&lt;&gt;Passif",Catalogue!$P$5:$P$488,"&lt;="&amp;$A18,Catalogue!$Q$5:$Q$488,"&lt;="&amp;$A18)</f>
        <v>135</v>
      </c>
      <c r="E18" s="13" t="n">
        <f aca="false">COUNTIFS(Catalogue!$B$5:$B$488,"Guerrier",Catalogue!$C$5:$C$488,"Passif",Catalogue!$P$5:$P$488,"&lt;="&amp;$A18,Catalogue!$Q$5:$Q$488,"&lt;="&amp;$A18)</f>
        <v>8</v>
      </c>
      <c r="F18" s="13" t="n">
        <f aca="false">COUNTIFS(Catalogue!$B$5:$B$488,"Mage",Catalogue!$C$5:$C$488,"&lt;&gt;Passif",Catalogue!$P$5:$P$488,"&lt;="&amp;$A18,Catalogue!$Q$5:$Q$488,"&lt;="&amp;$A18)</f>
        <v>135</v>
      </c>
      <c r="G18" s="13" t="n">
        <f aca="false">COUNTIFS(Catalogue!$B$5:$B$488,"Mage",Catalogue!$C$5:$C$488,"Passif",Catalogue!$P$5:$P$488,"&lt;="&amp;$A18,Catalogue!$Q$5:$Q$488,"&lt;="&amp;$A18)</f>
        <v>8</v>
      </c>
      <c r="H18" s="13" t="n">
        <f aca="false">COUNTIFS(Catalogue!$B$5:$B$488,"Tireur",Catalogue!$C$5:$C$488,"&lt;&gt;Passif",Catalogue!$P$5:$P$488,"&lt;="&amp;$A18,Catalogue!$Q$5:$Q$488,"&lt;="&amp;$A18)</f>
        <v>135</v>
      </c>
      <c r="I18" s="13" t="n">
        <f aca="false">COUNTIFS(Catalogue!$B$5:$B$488,"Tireur",Catalogue!$C$5:$C$488,"Passif",Catalogue!$P$5:$P$488,"&lt;="&amp;$A18,Catalogue!$Q$5:$Q$488,"&lt;="&amp;$A18)</f>
        <v>8</v>
      </c>
      <c r="J18" s="13" t="n">
        <f aca="false">COUNTIFS(Catalogue!$B$5:$B$488,"Toutes",Catalogue!$Q$5:$Q$488,"&lt;="&amp;$A18)</f>
        <v>9</v>
      </c>
      <c r="K18" s="13" t="n">
        <f aca="false">COUNTIF(Fusions!$G$5:$G$59,"&lt;="&amp;$A18)</f>
        <v>45</v>
      </c>
    </row>
    <row r="19" customFormat="false" ht="15" hidden="false" customHeight="true" outlineLevel="0" collapsed="false">
      <c r="A19" s="37" t="n">
        <v>100</v>
      </c>
      <c r="B19" s="10" t="str">
        <f aca="false">INDEX(Éléments!$B$5:$B$14,MIN(10,MAX(1,ROUNDUP(A19/10,0))))</f>
        <v>Palais démoniaque</v>
      </c>
      <c r="C19" s="25" t="str">
        <f aca="false">IFERROR(INDEX(Éléments!$A$5:$A$14,MATCH(A19,Éléments!$C$5:$C$14,0)),IF(A19=Paramètres!$B$11,"Tour d'alchimie",""))</f>
        <v>Ombre</v>
      </c>
      <c r="D19" s="13" t="n">
        <f aca="false">COUNTIFS(Catalogue!$B$5:$B$488,"Guerrier",Catalogue!$C$5:$C$488,"&lt;&gt;Passif",Catalogue!$P$5:$P$488,"&lt;="&amp;$A19,Catalogue!$Q$5:$Q$488,"&lt;="&amp;$A19)</f>
        <v>150</v>
      </c>
      <c r="E19" s="13" t="n">
        <f aca="false">COUNTIFS(Catalogue!$B$5:$B$488,"Guerrier",Catalogue!$C$5:$C$488,"Passif",Catalogue!$P$5:$P$488,"&lt;="&amp;$A19,Catalogue!$Q$5:$Q$488,"&lt;="&amp;$A19)</f>
        <v>8</v>
      </c>
      <c r="F19" s="13" t="n">
        <f aca="false">COUNTIFS(Catalogue!$B$5:$B$488,"Mage",Catalogue!$C$5:$C$488,"&lt;&gt;Passif",Catalogue!$P$5:$P$488,"&lt;="&amp;$A19,Catalogue!$Q$5:$Q$488,"&lt;="&amp;$A19)</f>
        <v>150</v>
      </c>
      <c r="G19" s="13" t="n">
        <f aca="false">COUNTIFS(Catalogue!$B$5:$B$488,"Mage",Catalogue!$C$5:$C$488,"Passif",Catalogue!$P$5:$P$488,"&lt;="&amp;$A19,Catalogue!$Q$5:$Q$488,"&lt;="&amp;$A19)</f>
        <v>8</v>
      </c>
      <c r="H19" s="13" t="n">
        <f aca="false">COUNTIFS(Catalogue!$B$5:$B$488,"Tireur",Catalogue!$C$5:$C$488,"&lt;&gt;Passif",Catalogue!$P$5:$P$488,"&lt;="&amp;$A19,Catalogue!$Q$5:$Q$488,"&lt;="&amp;$A19)</f>
        <v>150</v>
      </c>
      <c r="I19" s="13" t="n">
        <f aca="false">COUNTIFS(Catalogue!$B$5:$B$488,"Tireur",Catalogue!$C$5:$C$488,"Passif",Catalogue!$P$5:$P$488,"&lt;="&amp;$A19,Catalogue!$Q$5:$Q$488,"&lt;="&amp;$A19)</f>
        <v>8</v>
      </c>
      <c r="J19" s="13" t="n">
        <f aca="false">COUNTIFS(Catalogue!$B$5:$B$488,"Toutes",Catalogue!$Q$5:$Q$488,"&lt;="&amp;$A19)</f>
        <v>10</v>
      </c>
      <c r="K19" s="13" t="n">
        <f aca="false">COUNTIF(Fusions!$G$5:$G$59,"&lt;="&amp;$A19)</f>
        <v>55</v>
      </c>
    </row>
    <row r="20" customFormat="false" ht="15" hidden="false" customHeight="true" outlineLevel="0" collapsed="false">
      <c r="A20" s="17" t="s">
        <v>1344</v>
      </c>
    </row>
    <row r="22" customFormat="false" ht="19.5" hidden="false" customHeight="true" outlineLevel="0" collapsed="false">
      <c r="A22" s="27" t="s">
        <v>1345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customFormat="false" ht="24" hidden="false" customHeight="true" outlineLevel="0" collapsed="false">
      <c r="A23" s="8" t="s">
        <v>54</v>
      </c>
      <c r="B23" s="8" t="s">
        <v>1301</v>
      </c>
      <c r="C23" s="8" t="s">
        <v>1303</v>
      </c>
      <c r="D23" s="8" t="s">
        <v>631</v>
      </c>
      <c r="E23" s="8" t="s">
        <v>1346</v>
      </c>
    </row>
    <row r="24" customFormat="false" ht="15" hidden="false" customHeight="true" outlineLevel="0" collapsed="false">
      <c r="A24" s="12" t="s">
        <v>566</v>
      </c>
      <c r="B24" s="11" t="s">
        <v>1347</v>
      </c>
      <c r="C24" s="11" t="s">
        <v>1348</v>
      </c>
      <c r="D24" s="11" t="s">
        <v>629</v>
      </c>
      <c r="E24" s="11" t="s">
        <v>1349</v>
      </c>
    </row>
    <row r="25" customFormat="false" ht="15" hidden="false" customHeight="true" outlineLevel="0" collapsed="false">
      <c r="A25" s="12" t="s">
        <v>653</v>
      </c>
      <c r="B25" s="11" t="s">
        <v>1350</v>
      </c>
      <c r="C25" s="11" t="s">
        <v>1351</v>
      </c>
      <c r="D25" s="11" t="s">
        <v>704</v>
      </c>
      <c r="E25" s="11" t="s">
        <v>1352</v>
      </c>
    </row>
    <row r="26" customFormat="false" ht="15" hidden="false" customHeight="true" outlineLevel="0" collapsed="false">
      <c r="A26" s="12" t="s">
        <v>722</v>
      </c>
      <c r="B26" s="11" t="s">
        <v>1353</v>
      </c>
      <c r="C26" s="11" t="s">
        <v>1354</v>
      </c>
      <c r="D26" s="11" t="s">
        <v>771</v>
      </c>
      <c r="E26" s="11" t="s">
        <v>1355</v>
      </c>
    </row>
    <row r="28" customFormat="false" ht="15" hidden="false" customHeight="true" outlineLevel="0" collapsed="false">
      <c r="A28" s="17" t="s">
        <v>1356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0"/>
    <col collapsed="false" customWidth="true" hidden="false" outlineLevel="0" max="3" min="3" style="1" width="100"/>
  </cols>
  <sheetData>
    <row r="1" customFormat="false" ht="17.25" hidden="false" customHeight="true" outlineLevel="0" collapsed="false">
      <c r="A1" s="2" t="s">
        <v>1357</v>
      </c>
    </row>
    <row r="2" customFormat="false" ht="15" hidden="false" customHeight="true" outlineLevel="0" collapsed="false">
      <c r="A2" s="3" t="s">
        <v>1358</v>
      </c>
    </row>
    <row r="4" customFormat="false" ht="31.5" hidden="false" customHeight="true" outlineLevel="0" collapsed="false">
      <c r="A4" s="8" t="s">
        <v>1359</v>
      </c>
      <c r="B4" s="8" t="s">
        <v>1360</v>
      </c>
      <c r="C4" s="8" t="s">
        <v>1361</v>
      </c>
    </row>
    <row r="5" customFormat="false" ht="30" hidden="false" customHeight="true" outlineLevel="0" collapsed="false">
      <c r="A5" s="11" t="s">
        <v>1362</v>
      </c>
      <c r="B5" s="22" t="n">
        <v>3</v>
      </c>
      <c r="C5" s="7" t="s">
        <v>1363</v>
      </c>
    </row>
    <row r="6" customFormat="false" ht="30" hidden="false" customHeight="true" outlineLevel="0" collapsed="false">
      <c r="A6" s="11" t="s">
        <v>1364</v>
      </c>
      <c r="B6" s="22" t="n">
        <v>2</v>
      </c>
      <c r="C6" s="7" t="s">
        <v>1365</v>
      </c>
    </row>
    <row r="7" customFormat="false" ht="30" hidden="false" customHeight="true" outlineLevel="0" collapsed="false">
      <c r="A7" s="11" t="s">
        <v>1366</v>
      </c>
      <c r="B7" s="22" t="n">
        <v>1</v>
      </c>
      <c r="C7" s="7" t="s">
        <v>1367</v>
      </c>
    </row>
    <row r="8" customFormat="false" ht="30" hidden="false" customHeight="true" outlineLevel="0" collapsed="false">
      <c r="A8" s="11" t="s">
        <v>1368</v>
      </c>
      <c r="B8" s="22" t="n">
        <v>3</v>
      </c>
      <c r="C8" s="7" t="s">
        <v>1369</v>
      </c>
    </row>
    <row r="9" customFormat="false" ht="30" hidden="false" customHeight="true" outlineLevel="0" collapsed="false">
      <c r="A9" s="11" t="s">
        <v>1370</v>
      </c>
      <c r="B9" s="23" t="n">
        <v>1.5</v>
      </c>
      <c r="C9" s="7" t="s">
        <v>1371</v>
      </c>
    </row>
    <row r="10" customFormat="false" ht="30" hidden="false" customHeight="true" outlineLevel="0" collapsed="false">
      <c r="A10" s="11" t="s">
        <v>1372</v>
      </c>
      <c r="B10" s="23" t="n">
        <v>1.1</v>
      </c>
      <c r="C10" s="7" t="s">
        <v>1373</v>
      </c>
    </row>
    <row r="11" customFormat="false" ht="30" hidden="false" customHeight="true" outlineLevel="0" collapsed="false">
      <c r="A11" s="11" t="s">
        <v>1374</v>
      </c>
      <c r="B11" s="22" t="n">
        <v>85</v>
      </c>
      <c r="C11" s="7" t="s">
        <v>1375</v>
      </c>
    </row>
    <row r="12" customFormat="false" ht="30" hidden="false" customHeight="true" outlineLevel="0" collapsed="false">
      <c r="A12" s="11" t="s">
        <v>1376</v>
      </c>
      <c r="B12" s="22" t="n">
        <v>12</v>
      </c>
      <c r="C12" s="7" t="s">
        <v>1377</v>
      </c>
    </row>
    <row r="13" customFormat="false" ht="15" hidden="false" customHeight="true" outlineLevel="0" collapsed="false">
      <c r="A13" s="11" t="s">
        <v>1378</v>
      </c>
      <c r="B13" s="22" t="n">
        <v>2</v>
      </c>
      <c r="C13" s="7" t="s">
        <v>1379</v>
      </c>
    </row>
    <row r="14" customFormat="false" ht="15" hidden="false" customHeight="true" outlineLevel="0" collapsed="false">
      <c r="A14" s="11" t="s">
        <v>1380</v>
      </c>
      <c r="B14" s="40" t="n">
        <v>1</v>
      </c>
      <c r="C14" s="7" t="s">
        <v>1381</v>
      </c>
    </row>
    <row r="15" customFormat="false" ht="15" hidden="false" customHeight="true" outlineLevel="0" collapsed="false">
      <c r="A15" s="11" t="s">
        <v>1382</v>
      </c>
      <c r="B15" s="40" t="n">
        <v>2.4</v>
      </c>
      <c r="C15" s="7" t="s">
        <v>1383</v>
      </c>
    </row>
    <row r="16" customFormat="false" ht="15" hidden="false" customHeight="true" outlineLevel="0" collapsed="false">
      <c r="A16" s="11" t="s">
        <v>1384</v>
      </c>
      <c r="B16" s="22" t="n">
        <v>3</v>
      </c>
      <c r="C16" s="7" t="s">
        <v>1385</v>
      </c>
    </row>
    <row r="17" customFormat="false" ht="15" hidden="false" customHeight="true" outlineLevel="0" collapsed="false">
      <c r="A17" s="11" t="s">
        <v>1386</v>
      </c>
      <c r="B17" s="22" t="n">
        <v>3</v>
      </c>
      <c r="C17" s="7" t="s">
        <v>1387</v>
      </c>
    </row>
    <row r="18" customFormat="false" ht="15" hidden="false" customHeight="true" outlineLevel="0" collapsed="false">
      <c r="A18" s="11" t="s">
        <v>1388</v>
      </c>
      <c r="B18" s="22" t="n">
        <v>1</v>
      </c>
      <c r="C18" s="7" t="s">
        <v>1389</v>
      </c>
    </row>
    <row r="19" customFormat="false" ht="15" hidden="false" customHeight="false" outlineLevel="0" collapsed="false">
      <c r="A19" s="11" t="s">
        <v>1390</v>
      </c>
      <c r="B19" s="22" t="n">
        <v>1</v>
      </c>
      <c r="C19" s="7" t="s">
        <v>1391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2026-10-12T16:46:54Z</dcterms:created>
  <dc:creator>openpyxl</dc:creator>
  <dc:description/>
  <dc:language>en-US</dc:language>
  <cp:lastModifiedBy/>
  <dcterms:modified xsi:type="dcterms:W3CDTF">2026-10-12T19:31:29Z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