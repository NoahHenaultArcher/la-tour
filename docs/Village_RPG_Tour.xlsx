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Bâtiments" sheetId="2" state="visible" r:id="rId4"/>
    <sheet name="Production" sheetId="3" state="visible" r:id="rId5"/>
    <sheet name="Améliorations" sheetId="4" state="visible" r:id="rId6"/>
    <sheet name="Tour d'amélioration" sheetId="5" state="visible" r:id="rId7"/>
    <sheet name="Paramètres" sheetId="6" state="visible" r:id="rId8"/>
  </sheets>
  <definedNames>
    <definedName function="false" hidden="true" localSheetId="3" name="_xlnm._FilterDatabase" vbProcedure="false">Améliorations!$A$5:$I$122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<sst xmlns="http://schemas.openxmlformats.org/spreadsheetml/2006/main" count="573" uniqueCount="325">
  <si>
    <t xml:space="preserve">RPG tour par tour : village</t>
  </si>
  <si>
    <t xml:space="preserve">Bâtiments, production idle, coûts d'amélioration et bonus permanents.</t>
  </si>
  <si>
    <t xml:space="preserve">PRINCIPE</t>
  </si>
  <si>
    <t xml:space="preserve">Production idle</t>
  </si>
  <si>
    <t xml:space="preserve">Les bâtiments de production produisent en continu, même hors ligne, pendant 8 h maximum (Paramètres). Le stock de chaque ressource est plafonné par l'Entrepôt.</t>
  </si>
  <si>
    <t xml:space="preserve">Améliorer</t>
  </si>
  <si>
    <t xml:space="preserve">Chaque niveau coûte de l'or + un matériau de construction (bois, fer, acier, mithril, adamantite selon l'étage) + du charbon dès l'étage 15. Pas de temps de construction : instantané.</t>
  </si>
  <si>
    <t xml:space="preserve">Effet</t>
  </si>
  <si>
    <t xml:space="preserve">Un niveau augmente la production des ressources déjà débloquées (+12 %) et, à certains niveaux, débloque la ressource suivante (ex. Scierie niv. 6 : chêne et frêne).</t>
  </si>
  <si>
    <t xml:space="preserve">Étage requis</t>
  </si>
  <si>
    <t xml:space="preserve">Un niveau demande d'avoir atteint l'étage de sa tranche (Paramètres §3) et celui de la ressource qu'il débloque : on ne peut pas produire d'acier avant l'étage 30.</t>
  </si>
  <si>
    <t xml:space="preserve">Héritage</t>
  </si>
  <si>
    <t xml:space="preserve">Tout le village est conservé : niveaux, stocks et bâtiments débloqués.</t>
  </si>
  <si>
    <t xml:space="preserve">ONGLETS</t>
  </si>
  <si>
    <t xml:space="preserve">Bâtiments</t>
  </si>
  <si>
    <t xml:space="preserve">Les 10 bâtiments : image, étage de déblocage, niveau max, coût et rôle.</t>
  </si>
  <si>
    <t xml:space="preserve">Production</t>
  </si>
  <si>
    <t xml:space="preserve">Production par heure de chaque ressource à chaque niveau, plus un repère de cohérence avec le coût d'amélioration des objets.</t>
  </si>
  <si>
    <t xml:space="preserve">Améliorations</t>
  </si>
  <si>
    <t xml:space="preserve">Une ligne par niveau : étage requis, or, matériau, quantité, charbon, temps de chasse équivalent et effet. C'est l'info à afficher au survol du bouton « Améliorer ».</t>
  </si>
  <si>
    <t xml:space="preserve">Tour d'amélioration</t>
  </si>
  <si>
    <t xml:space="preserve">6 branches de bonus permanents (dégâts, PV, défense, production, durée hors ligne, or et XP) et leur coût par niveau.</t>
  </si>
  <si>
    <t xml:space="preserve">Paramètres</t>
  </si>
  <si>
    <t xml:space="preserve">Tous les réglages : production de base, hausse par niveau, coûts, tranches, entrepôt, taverne et repère d'or par heure.</t>
  </si>
  <si>
    <t xml:space="preserve">LIENS AVEC LES AUTRES FICHIERS</t>
  </si>
  <si>
    <t xml:space="preserve">Équipements</t>
  </si>
  <si>
    <t xml:space="preserve">Les ressources produites sont les matériaux d'amélioration des objets (onglet Matériaux). Repère : une nuit de production ≈ un objet Commun monté au maximum.</t>
  </si>
  <si>
    <t xml:space="preserve">Bestiaire</t>
  </si>
  <si>
    <t xml:space="preserve">L'or demandé est calé sur l'or gagné en chasse (onglet Zones) : une amélioration coûte de quelques minutes à ~45 minutes de chasse. La boutique est dans l'onglet Boutique du bestiaire.</t>
  </si>
  <si>
    <t xml:space="preserve">À VALIDER</t>
  </si>
  <si>
    <t xml:space="preserve">Atelier à l'étage 15</t>
  </si>
  <si>
    <t xml:space="preserve">Le diagramme place l'Atelier à l'étage 15 : avant, on ne peut ni fabriquer ni améliorer d'objet. Mettre 0 dans Bâtiments si tu veux l'ouvrir dès le début.</t>
  </si>
  <si>
    <t xml:space="preserve">Charbon</t>
  </si>
  <si>
    <t xml:space="preserve">Présent dans le diagramme et les assets mais pas dans les objets : utilisé ici comme matériau de construction.</t>
  </si>
  <si>
    <t xml:space="preserve">LÉGENDE</t>
  </si>
  <si>
    <t xml:space="preserve">Cellule jaune, texte bleu</t>
  </si>
  <si>
    <t xml:space="preserve">Valeur modifiable. Les autres cellules sont calculées : ne pas les écraser.</t>
  </si>
  <si>
    <t xml:space="preserve">Bâtiments du village</t>
  </si>
  <si>
    <t xml:space="preserve">Déblocage, niveau maximum, coût et rôle de chaque bâtiment. Les noms d'images suivent le dossier assets_rpg_tour/village.</t>
  </si>
  <si>
    <t xml:space="preserve">Bâtiment</t>
  </si>
  <si>
    <t xml:space="preserve">Image</t>
  </si>
  <si>
    <t xml:space="preserve">Type</t>
  </si>
  <si>
    <t xml:space="preserve">Débloqué à l'étage</t>
  </si>
  <si>
    <t xml:space="preserve">Niveau max</t>
  </si>
  <si>
    <t xml:space="preserve">Coût en or (coefficient)</t>
  </si>
  <si>
    <t xml:space="preserve">Multiplicateur de matériaux</t>
  </si>
  <si>
    <t xml:space="preserve">Rôle</t>
  </si>
  <si>
    <t xml:space="preserve">Taverne</t>
  </si>
  <si>
    <t xml:space="preserve">village/taverne.png</t>
  </si>
  <si>
    <t xml:space="preserve">Commerce</t>
  </si>
  <si>
    <t xml:space="preserve">Marchand : objets (Commun → Épique), lots de ressources et personnages. Renouvellement toutes les heures. Les niveaux ajoutent des offres et une remise.</t>
  </si>
  <si>
    <t xml:space="preserve">Entrepôt</t>
  </si>
  <si>
    <t xml:space="preserve">village/entrepot.png</t>
  </si>
  <si>
    <t xml:space="preserve">Stockage</t>
  </si>
  <si>
    <t xml:space="preserve">Capacité maximale de chaque ressource. Au-delà, la production s'arrête.</t>
  </si>
  <si>
    <t xml:space="preserve">Scierie</t>
  </si>
  <si>
    <t xml:space="preserve">village/scierie.png</t>
  </si>
  <si>
    <t xml:space="preserve">Bois, chêne, frêne, ébène, if (armes de bois, bâtons, arcs).</t>
  </si>
  <si>
    <t xml:space="preserve">Champs</t>
  </si>
  <si>
    <t xml:space="preserve">village/champs.png</t>
  </si>
  <si>
    <t xml:space="preserve">Lin, laine, soie, velours enchanté, étoffe astrale (tissus du Mage).</t>
  </si>
  <si>
    <t xml:space="preserve">Terrain de chasse</t>
  </si>
  <si>
    <t xml:space="preserve">village/terrain_de_chasse.png</t>
  </si>
  <si>
    <t xml:space="preserve">Cuir, cuir clouté, écailles, peau et os de dragon (Guerrier palier 1, Tireur).</t>
  </si>
  <si>
    <t xml:space="preserve">Mine</t>
  </si>
  <si>
    <t xml:space="preserve">village/mine.png</t>
  </si>
  <si>
    <t xml:space="preserve">Charbon et métaux : fer, acier, mithril, adamantite, gemmes et métaux précieux (bijoux, orbes).</t>
  </si>
  <si>
    <t xml:space="preserve">Atelier de fabrication</t>
  </si>
  <si>
    <t xml:space="preserve">village/atelier_fabrication.png</t>
  </si>
  <si>
    <t xml:space="preserve">Artisanat</t>
  </si>
  <si>
    <t xml:space="preserve">Forge : fabrication d’équipement Commun +0 et amélioration des objets. Niveau 1 : paliers 1 et 2 ; chaque niveau suivant ouvre un palier (voir Améliorations).</t>
  </si>
  <si>
    <t xml:space="preserve">Tour d'alchimie</t>
  </si>
  <si>
    <t xml:space="preserve">village/tour_alchimie.png</t>
  </si>
  <si>
    <t xml:space="preserve">Magie</t>
  </si>
  <si>
    <t xml:space="preserve">Fusion de deux éléments sur une compétence, infusion d'élément ; produit l'éther.</t>
  </si>
  <si>
    <t xml:space="preserve">village/tour_amelioration.png</t>
  </si>
  <si>
    <t xml:space="preserve">Bonus</t>
  </si>
  <si>
    <t xml:space="preserve">—</t>
  </si>
  <si>
    <t xml:space="preserve">Bonus permanents en % (dégâts, PV, défense, production, durée hors ligne, or et XP) : voir son onglet.</t>
  </si>
  <si>
    <t xml:space="preserve">Tour</t>
  </si>
  <si>
    <t xml:space="preserve">village/tour.png</t>
  </si>
  <si>
    <t xml:space="preserve">Accès</t>
  </si>
  <si>
    <t xml:space="preserve">Entrée de la tour (étages, boss, dragons) et des zones de chasse débloquées. Pas d'amélioration.</t>
  </si>
  <si>
    <t xml:space="preserve">Ressources vendues seulement à la taverne : toile, verre, cuivre (palier 1). Héritage : le village (niveaux, stocks, déblocages) est conservé ; les bâtiments débloqués par un étage restent débloqués même si la tour est réinitialisée.</t>
  </si>
  <si>
    <t xml:space="preserve">Production par heure, niveau par niveau</t>
  </si>
  <si>
    <t xml:space="preserve">Chaque ressource démarre à sa production de base au niveau qui la débloque, puis +12 % par niveau. Cases vides = pas encore débloquée ou au-delà du niveau max.</t>
  </si>
  <si>
    <t xml:space="preserve">Ressource</t>
  </si>
  <si>
    <t xml:space="preserve">Palier</t>
  </si>
  <si>
    <t xml:space="preserve">Niveau du bâtiment requis</t>
  </si>
  <si>
    <t xml:space="preserve">Production de base (/h)</t>
  </si>
  <si>
    <t xml:space="preserve">Niv. 1</t>
  </si>
  <si>
    <t xml:space="preserve">Niv. 2</t>
  </si>
  <si>
    <t xml:space="preserve">Niv. 3</t>
  </si>
  <si>
    <t xml:space="preserve">Niv. 4</t>
  </si>
  <si>
    <t xml:space="preserve">Niv. 5</t>
  </si>
  <si>
    <t xml:space="preserve">Niv. 6</t>
  </si>
  <si>
    <t xml:space="preserve">Niv. 7</t>
  </si>
  <si>
    <t xml:space="preserve">Niv. 8</t>
  </si>
  <si>
    <t xml:space="preserve">Niv. 9</t>
  </si>
  <si>
    <t xml:space="preserve">Niv. 10</t>
  </si>
  <si>
    <t xml:space="preserve">Niv. 11</t>
  </si>
  <si>
    <t xml:space="preserve">Niv. 12</t>
  </si>
  <si>
    <t xml:space="preserve">Niv. 13</t>
  </si>
  <si>
    <t xml:space="preserve">Niv. 14</t>
  </si>
  <si>
    <t xml:space="preserve">Niv. 15</t>
  </si>
  <si>
    <t xml:space="preserve">Niv. 16</t>
  </si>
  <si>
    <t xml:space="preserve">Niv. 17</t>
  </si>
  <si>
    <t xml:space="preserve">Niv. 18</t>
  </si>
  <si>
    <t xml:space="preserve">Niv. 19</t>
  </si>
  <si>
    <t xml:space="preserve">Niv. 20</t>
  </si>
  <si>
    <t xml:space="preserve">Niv. 21</t>
  </si>
  <si>
    <t xml:space="preserve">Niv. 22</t>
  </si>
  <si>
    <t xml:space="preserve">Niv. 23</t>
  </si>
  <si>
    <t xml:space="preserve">Niv. 24</t>
  </si>
  <si>
    <t xml:space="preserve">Niv. 25</t>
  </si>
  <si>
    <t xml:space="preserve">Production au niveau max (/h)</t>
  </si>
  <si>
    <t xml:space="preserve">Stock en 8 h au niveau max</t>
  </si>
  <si>
    <t xml:space="preserve">bois</t>
  </si>
  <si>
    <t xml:space="preserve">ressources/bois.png</t>
  </si>
  <si>
    <t xml:space="preserve">chêne</t>
  </si>
  <si>
    <t xml:space="preserve">ressources/chene.png</t>
  </si>
  <si>
    <t xml:space="preserve">frêne</t>
  </si>
  <si>
    <t xml:space="preserve">ressources/frene.png</t>
  </si>
  <si>
    <t xml:space="preserve">ébène</t>
  </si>
  <si>
    <t xml:space="preserve">ressources/ebene.png</t>
  </si>
  <si>
    <t xml:space="preserve">if</t>
  </si>
  <si>
    <t xml:space="preserve">ressources/if.png</t>
  </si>
  <si>
    <t xml:space="preserve">lin</t>
  </si>
  <si>
    <t xml:space="preserve">ressources/lin.png</t>
  </si>
  <si>
    <t xml:space="preserve">laine</t>
  </si>
  <si>
    <t xml:space="preserve">ressources/laine.png</t>
  </si>
  <si>
    <t xml:space="preserve">soie</t>
  </si>
  <si>
    <t xml:space="preserve">ressources/soie.png</t>
  </si>
  <si>
    <t xml:space="preserve">velours enchanté</t>
  </si>
  <si>
    <t xml:space="preserve">ressources/velours_enchante.png</t>
  </si>
  <si>
    <t xml:space="preserve">étoffe astrale</t>
  </si>
  <si>
    <t xml:space="preserve">ressources/etoffe_astrale.png</t>
  </si>
  <si>
    <t xml:space="preserve">cuir</t>
  </si>
  <si>
    <t xml:space="preserve">ressources/cuir.png</t>
  </si>
  <si>
    <t xml:space="preserve">cuir clouté</t>
  </si>
  <si>
    <t xml:space="preserve">ressources/cuir_cloute.png</t>
  </si>
  <si>
    <t xml:space="preserve">écailles</t>
  </si>
  <si>
    <t xml:space="preserve">ressources/ecailles.png</t>
  </si>
  <si>
    <t xml:space="preserve">peau de dragon</t>
  </si>
  <si>
    <t xml:space="preserve">ressources/peau_de_dragon.png</t>
  </si>
  <si>
    <t xml:space="preserve">os de dragon</t>
  </si>
  <si>
    <t xml:space="preserve">ressources/os_de_dragon.png</t>
  </si>
  <si>
    <t xml:space="preserve">charbon</t>
  </si>
  <si>
    <t xml:space="preserve">ressources/charbon.png</t>
  </si>
  <si>
    <t xml:space="preserve">fer</t>
  </si>
  <si>
    <t xml:space="preserve">ressources/fer.png</t>
  </si>
  <si>
    <t xml:space="preserve">quartz</t>
  </si>
  <si>
    <t xml:space="preserve">ressources/quartz.png</t>
  </si>
  <si>
    <t xml:space="preserve">argent</t>
  </si>
  <si>
    <t xml:space="preserve">ressources/argent.png</t>
  </si>
  <si>
    <t xml:space="preserve">acier</t>
  </si>
  <si>
    <t xml:space="preserve">ressources/acier.png</t>
  </si>
  <si>
    <t xml:space="preserve">améthyste</t>
  </si>
  <si>
    <t xml:space="preserve">ressources/amethyste.png</t>
  </si>
  <si>
    <t xml:space="preserve">or</t>
  </si>
  <si>
    <t xml:space="preserve">ressources/or.png</t>
  </si>
  <si>
    <t xml:space="preserve">mithril</t>
  </si>
  <si>
    <t xml:space="preserve">ressources/mithril.png</t>
  </si>
  <si>
    <t xml:space="preserve">cristal</t>
  </si>
  <si>
    <t xml:space="preserve">ressources/cristal.png</t>
  </si>
  <si>
    <t xml:space="preserve">saphir</t>
  </si>
  <si>
    <t xml:space="preserve">ressources/saphir.png</t>
  </si>
  <si>
    <t xml:space="preserve">platine</t>
  </si>
  <si>
    <t xml:space="preserve">ressources/platine.png</t>
  </si>
  <si>
    <t xml:space="preserve">adamantite</t>
  </si>
  <si>
    <t xml:space="preserve">ressources/adamantite.png</t>
  </si>
  <si>
    <t xml:space="preserve">diamant</t>
  </si>
  <si>
    <t xml:space="preserve">ressources/diamant.png</t>
  </si>
  <si>
    <t xml:space="preserve">orichalque</t>
  </si>
  <si>
    <t xml:space="preserve">ressources/orichalque.png</t>
  </si>
  <si>
    <t xml:space="preserve">éther</t>
  </si>
  <si>
    <t xml:space="preserve">ressources/ether.png</t>
  </si>
  <si>
    <t xml:space="preserve">Repère : ressources pour monter UN objet Commun de +0 au maximum de son palier (formule du fichier équipements : 3 × L^1,25 par niveau)</t>
  </si>
  <si>
    <t xml:space="preserve">Amélioration max</t>
  </si>
  <si>
    <t xml:space="preserve">Ressource nécessaire (Commun)</t>
  </si>
  <si>
    <t xml:space="preserve">Ressource nécessaire (Épique ×1,75)</t>
  </si>
  <si>
    <t xml:space="preserve">Bâtiment repère</t>
  </si>
  <si>
    <t xml:space="preserve">Niveau repère</t>
  </si>
  <si>
    <t xml:space="preserve">Production au niveau repère (/h)</t>
  </si>
  <si>
    <t xml:space="preserve">Heures pour un objet Commun</t>
  </si>
  <si>
    <t xml:space="preserve">Heures pour un objet Épique</t>
  </si>
  <si>
    <t xml:space="preserve">Scierie (bois)</t>
  </si>
  <si>
    <t xml:space="preserve">Mine (fer)</t>
  </si>
  <si>
    <t xml:space="preserve">Mine (acier)</t>
  </si>
  <si>
    <t xml:space="preserve">Mine (mithril)</t>
  </si>
  <si>
    <t xml:space="preserve">Mine (adamantite)</t>
  </si>
  <si>
    <t xml:space="preserve">Lecture : avec le bâtiment au niveau repère, une nuit hors ligne (8 h) suffit environ pour un objet Commun complet. Un set de 10 objets se construit donc sur plusieurs jours, complété par le farm et la boutique.</t>
  </si>
  <si>
    <t xml:space="preserve">Coût de chaque amélioration de bâtiment</t>
  </si>
  <si>
    <t xml:space="preserve">Une ligne = passer au niveau indiqué. Ce que le joueur voit au survol du bouton « Améliorer » : étage requis, or, matériaux et effet du niveau suivant.</t>
  </si>
  <si>
    <t xml:space="preserve">Niveau visé</t>
  </si>
  <si>
    <t xml:space="preserve">Or</t>
  </si>
  <si>
    <t xml:space="preserve">Matériau</t>
  </si>
  <si>
    <t xml:space="preserve">Quantité</t>
  </si>
  <si>
    <t xml:space="preserve">Minutes de chasse pour l'or</t>
  </si>
  <si>
    <t xml:space="preserve">Effet du niveau visé</t>
  </si>
  <si>
    <t xml:space="preserve">Production +12 % sur les ressources débloquées</t>
  </si>
  <si>
    <t xml:space="preserve">Production +12 % sur les ressources débloquées · débloque : chêne, frêne</t>
  </si>
  <si>
    <t xml:space="preserve">Production +12 % sur les ressources débloquées · débloque : ébène, if</t>
  </si>
  <si>
    <t xml:space="preserve">Production +12 % sur les ressources débloquées · débloque : laine</t>
  </si>
  <si>
    <t xml:space="preserve">Production +12 % sur les ressources débloquées · débloque : soie</t>
  </si>
  <si>
    <t xml:space="preserve">Production +12 % sur les ressources débloquées · débloque : velours enchanté</t>
  </si>
  <si>
    <t xml:space="preserve">Production +12 % sur les ressources débloquées · débloque : étoffe astrale</t>
  </si>
  <si>
    <t xml:space="preserve">Production +12 % sur les ressources débloquées · débloque : cuir clouté</t>
  </si>
  <si>
    <t xml:space="preserve">Production +12 % sur les ressources débloquées · débloque : écailles</t>
  </si>
  <si>
    <t xml:space="preserve">Production +12 % sur les ressources débloquées · débloque : peau de dragon, os de dragon</t>
  </si>
  <si>
    <t xml:space="preserve">Production +12 % sur les ressources débloquées · débloque : acier, améthyste, or</t>
  </si>
  <si>
    <t xml:space="preserve">Production +12 % sur les ressources débloquées · débloque : mithril, cristal, saphir, platine</t>
  </si>
  <si>
    <t xml:space="preserve">Production +12 % sur les ressources débloquées · débloque : adamantite, diamant, orichalque</t>
  </si>
  <si>
    <t xml:space="preserve">Fabrication et amélioration des objets de palier 3 (acier, soie, cuir clouté…)</t>
  </si>
  <si>
    <t xml:space="preserve">Palier 4 (mithril, velours enchanté, écailles…)</t>
  </si>
  <si>
    <t xml:space="preserve">Palier 5 (adamantite, étoffe astrale, peau de dragon…)</t>
  </si>
  <si>
    <t xml:space="preserve">−10 % sur toutes les ressources d'amélioration d'objets</t>
  </si>
  <si>
    <t xml:space="preserve">Fusions : 2 fusions de plus par compétence possibles · éther +12 % par niveau</t>
  </si>
  <si>
    <t xml:space="preserve">Infusion d'un élément en 1 manche de moins · éther +12 %</t>
  </si>
  <si>
    <t xml:space="preserve">Fusions −20 % de coût · éther +12 %</t>
  </si>
  <si>
    <t xml:space="preserve">Fusion triple débloquée (proposition) · éther +12 %</t>
  </si>
  <si>
    <t xml:space="preserve">Minutes de chasse = or demandé ÷ or gagné par heure dans la meilleure zone de chasse disponible à l'étage requis (Paramètres §5). Les effets de l'Atelier et de la Tour d'alchimie sont des propositions à valider.</t>
  </si>
  <si>
    <t xml:space="preserve">Tour d'amélioration (étage 100)</t>
  </si>
  <si>
    <t xml:space="preserve">Bonus permanents achetés avec des ressources de fin de jeu. Chaque branche a ses niveaux ; le coût d'un niveau est le même pour toutes les branches.</t>
  </si>
  <si>
    <t xml:space="preserve">Branche</t>
  </si>
  <si>
    <t xml:space="preserve">Bonus par niveau</t>
  </si>
  <si>
    <t xml:space="preserve">Unité</t>
  </si>
  <si>
    <t xml:space="preserve">Bonus au niveau max</t>
  </si>
  <si>
    <t xml:space="preserve">Ressource de la branche</t>
  </si>
  <si>
    <t xml:space="preserve">Dégâts</t>
  </si>
  <si>
    <t xml:space="preserve">%</t>
  </si>
  <si>
    <t xml:space="preserve">Dégâts de toutes les compétences.</t>
  </si>
  <si>
    <t xml:space="preserve">Points de vie</t>
  </si>
  <si>
    <t xml:space="preserve">PV max de tous les personnages.</t>
  </si>
  <si>
    <t xml:space="preserve">Défense</t>
  </si>
  <si>
    <t xml:space="preserve">Réduit les dégâts reçus (s'ajoute à Armure et Résistance).</t>
  </si>
  <si>
    <t xml:space="preserve">Production du village</t>
  </si>
  <si>
    <t xml:space="preserve">Multiplie la production de tous les bâtiments.</t>
  </si>
  <si>
    <t xml:space="preserve">Durée hors ligne</t>
  </si>
  <si>
    <t xml:space="preserve">h</t>
  </si>
  <si>
    <t xml:space="preserve">Heures de production en plus quand le joueur est déconnecté.</t>
  </si>
  <si>
    <t xml:space="preserve">Or et XP</t>
  </si>
  <si>
    <t xml:space="preserve">Or et XP gagnés en combat (tour et zones de chasse).</t>
  </si>
  <si>
    <t xml:space="preserve">Coût par niveau (identique pour chaque branche)</t>
  </si>
  <si>
    <t xml:space="preserve">Or : coefficient</t>
  </si>
  <si>
    <t xml:space="preserve">Or : exposant</t>
  </si>
  <si>
    <t xml:space="preserve">Éther : coefficient</t>
  </si>
  <si>
    <t xml:space="preserve">Ressource de branche : coefficient</t>
  </si>
  <si>
    <t xml:space="preserve">Exposant des ressources</t>
  </si>
  <si>
    <t xml:space="preserve">Éther</t>
  </si>
  <si>
    <t xml:space="preserve">Ressource de branche</t>
  </si>
  <si>
    <t xml:space="preserve">Minutes de chasse (étage 100)</t>
  </si>
  <si>
    <t xml:space="preserve">Or cumulé</t>
  </si>
  <si>
    <t xml:space="preserve">Éther cumulé</t>
  </si>
  <si>
    <t xml:space="preserve">Branche « Durée hors ligne » : niveau max 8 (8 h de base + 8 h = 16 h).</t>
  </si>
  <si>
    <t xml:space="preserve">Paramètres d'équilibrage du village</t>
  </si>
  <si>
    <t xml:space="preserve">Cellules jaunes / texte bleu = modifiables. Tout le classeur se recalcule à partir d'ici et de l'onglet Bâtiments.</t>
  </si>
  <si>
    <t xml:space="preserve">1. Production (ressources par heure)</t>
  </si>
  <si>
    <t xml:space="preserve">Production de base d'une ressource de palier 1 (/h)</t>
  </si>
  <si>
    <t xml:space="preserve">Au niveau où le bâtiment la débloque.</t>
  </si>
  <si>
    <t xml:space="preserve">Production de base d'une ressource de palier 2 (/h)</t>
  </si>
  <si>
    <t xml:space="preserve">Les paliers élevés produisent plus : les objets demandent plus de ressources pour monter.</t>
  </si>
  <si>
    <t xml:space="preserve">Production de base d'une ressource de palier 3 (/h)</t>
  </si>
  <si>
    <t xml:space="preserve">Production de base d'une ressource de palier 4 (/h)</t>
  </si>
  <si>
    <t xml:space="preserve">Production de base d'une ressource de palier 5 (/h)</t>
  </si>
  <si>
    <t xml:space="preserve">Hausse de production par niveau du bâtiment</t>
  </si>
  <si>
    <t xml:space="preserve">Chaque niveau au-dessus du déblocage d'une ressource : ×1,12 (s'applique à toutes les ressources déjà débloquées).</t>
  </si>
  <si>
    <t xml:space="preserve">Durée maximale de production hors ligne (h)</t>
  </si>
  <si>
    <t xml:space="preserve">Au-delà, le bâtiment s'arrête jusqu'à la prochaine connexion. Augmentable par la Tour d'amélioration.</t>
  </si>
  <si>
    <t xml:space="preserve">2. Coûts d'amélioration</t>
  </si>
  <si>
    <t xml:space="preserve">Exposant du coût en or</t>
  </si>
  <si>
    <t xml:space="preserve">Or pour passer du niveau N au niveau N+1 = coefficient du bâtiment (onglet Bâtiments) × N ^ exposant.</t>
  </si>
  <si>
    <t xml:space="preserve">Matériau de construction : quantité de base</t>
  </si>
  <si>
    <t xml:space="preserve">Quantité = base × (niveau visé) ^ exposant × multiplicateur du bâtiment.</t>
  </si>
  <si>
    <t xml:space="preserve">Matériau de construction : exposant</t>
  </si>
  <si>
    <t xml:space="preserve">Charbon demandé (part de la quantité de matériau)</t>
  </si>
  <si>
    <t xml:space="preserve">À partir de l'étage 15 (la Mine produit le charbon).</t>
  </si>
  <si>
    <t xml:space="preserve">Bâtiment de départ</t>
  </si>
  <si>
    <t xml:space="preserve">Niveau 1 gratuit</t>
  </si>
  <si>
    <t xml:space="preserve">Chaque bâtiment est construit au niveau 1 dès son étage de déblocage.</t>
  </si>
  <si>
    <t xml:space="preserve">3. Tranches de niveau : étage requis et matériau de construction</t>
  </si>
  <si>
    <t xml:space="preserve">Tranche</t>
  </si>
  <si>
    <t xml:space="preserve">Niveau min</t>
  </si>
  <si>
    <t xml:space="preserve">Matériau de construction</t>
  </si>
  <si>
    <t xml:space="preserve">Niveaux 1 à 5</t>
  </si>
  <si>
    <t xml:space="preserve">Niveaux 6 à 10</t>
  </si>
  <si>
    <t xml:space="preserve">Niveaux 11 à 15</t>
  </si>
  <si>
    <t xml:space="preserve">Niveaux 16 à 20</t>
  </si>
  <si>
    <t xml:space="preserve">Niveaux 21 à 25</t>
  </si>
  <si>
    <t xml:space="preserve">Un niveau demande au minimum l'étage de sa tranche. Pour un bâtiment de production, il demande aussi l'étage de la ressource qu'il débloque (onglet Production). Le matériau dépend de l'étage requis : bois avant 15, fer, acier, mithril puis adamantite.</t>
  </si>
  <si>
    <t xml:space="preserve">4. Entrepôt et taverne</t>
  </si>
  <si>
    <t xml:space="preserve">Entrepôt : capacité de base par ressource</t>
  </si>
  <si>
    <t xml:space="preserve">Capacité au niveau N = base × N ^ exposant (arrondie à la centaine).</t>
  </si>
  <si>
    <t xml:space="preserve">Entrepôt : exposant</t>
  </si>
  <si>
    <t xml:space="preserve">Taverne : objets proposés au niveau 1</t>
  </si>
  <si>
    <t xml:space="preserve">+1 objet tous les 2 niveaux.</t>
  </si>
  <si>
    <t xml:space="preserve">Taverne : lots de ressources au niveau 1</t>
  </si>
  <si>
    <t xml:space="preserve">+1 lot tous les 2 niveaux.</t>
  </si>
  <si>
    <t xml:space="preserve">Taverne : remise par niveau</t>
  </si>
  <si>
    <t xml:space="preserve">Sur tous les prix de la boutique (niveau 10 : −18 %).</t>
  </si>
  <si>
    <t xml:space="preserve">5. Repère : or gagné par heure de chasse (copie du bestiaire, onglet Zones, colonne Y)</t>
  </si>
  <si>
    <t xml:space="preserve">Étage de la zone</t>
  </si>
  <si>
    <t xml:space="preserve">Or / heure</t>
  </si>
  <si>
    <t xml:space="preserve">Zone</t>
  </si>
  <si>
    <t xml:space="preserve">Forêt de chasse</t>
  </si>
  <si>
    <t xml:space="preserve">Village gobelin</t>
  </si>
  <si>
    <t xml:space="preserve">Mine abandonnée</t>
  </si>
  <si>
    <t xml:space="preserve">Grotte profonde</t>
  </si>
  <si>
    <t xml:space="preserve">Océan de lave</t>
  </si>
  <si>
    <t xml:space="preserve">Cœur du volcan</t>
  </si>
  <si>
    <t xml:space="preserve">Désert d'Arrakis</t>
  </si>
  <si>
    <t xml:space="preserve">Pyramide</t>
  </si>
  <si>
    <t xml:space="preserve">Ancienne tour</t>
  </si>
  <si>
    <t xml:space="preserve">Marais des morts</t>
  </si>
  <si>
    <t xml:space="preserve">Océan profond</t>
  </si>
  <si>
    <t xml:space="preserve">Palais des Atlantes</t>
  </si>
  <si>
    <t xml:space="preserve">Plaine enneigée</t>
  </si>
  <si>
    <t xml:space="preserve">Palais des glaces</t>
  </si>
  <si>
    <t xml:space="preserve">Sommet des montagnes</t>
  </si>
  <si>
    <t xml:space="preserve">Orage (80)</t>
  </si>
  <si>
    <t xml:space="preserve">Ciel</t>
  </si>
  <si>
    <t xml:space="preserve">Paradis</t>
  </si>
  <si>
    <t xml:space="preserve">Plaine démoniaque</t>
  </si>
  <si>
    <t xml:space="preserve">Palais démoniaque</t>
  </si>
  <si>
    <t xml:space="preserve">Valeurs recalculées par le bestiaire : à recopier ici si tu changes l'économie (XP, or, rythme de jeu).</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</si>
</sst>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
    <numFmt numFmtId="169" formatCode="0&quot; h&quot;"/>
    <numFmt numFmtId="170" formatCode="@"/>
  </numFmts>
  <fonts count="11">
    <font>
      <sz val="11"/>
      <color theme="1"/>
      <name val="Calibri"/>
      <family val="2"/>
      <charset val="1"/>
    </font>
    <font>
      <sz val="10"/>
      <name val="Arial"/>
      <family val="0"/>
    </font>
    <font>
      <sz val="10"/>
      <name val="Arial"/>
      <family val="0"/>
    </font>
    <font>
      <sz val="10"/>
      <name val="Arial"/>
      <family val="0"/>
    </font>
    <font>
      <b val="true"/>
      <sz val="14"/>
      <color rgb="FF1F2937"/>
      <name val="Arial"/>
      <family val="0"/>
      <charset val="1"/>
    </font>
    <font>
      <sz val="10"/>
      <color rgb="FF6B7280"/>
      <name val="Arial"/>
      <family val="0"/>
      <charset val="1"/>
    </font>
    <font>
      <b val="true"/>
      <sz val="10"/>
      <color rgb="FFFFFFFF"/>
      <name val="Arial"/>
      <family val="0"/>
      <charset val="1"/>
    </font>
    <font>
      <b val="true"/>
      <sz val="10"/>
      <color rgb="FF1F2937"/>
      <name val="Arial"/>
      <family val="0"/>
      <charset val="1"/>
    </font>
    <font>
      <sz val="10"/>
      <color rgb="FF1F2937"/>
      <name val="Arial"/>
      <family val="0"/>
      <charset val="1"/>
    </font>
    <font>
      <sz val="10"/>
      <color rgb="FF0000FF"/>
      <name val="Arial"/>
      <family val="0"/>
      <charset val="1"/>
    </font>
    <font>
      <sz val="9"/>
      <color rgb="FF6B7280"/>
      <name val="Arial"/>
      <family val="0"/>
      <charset val="1"/>
    </font>
  </fonts>
  <fills count="6">
    <fill>
      <patternFill patternType="none"/>
    </fill>
    <fill>
      <patternFill patternType="gray125"/>
    </fill>
    <fill>
      <patternFill patternType="solid">
        <fgColor rgb="FF1F2937"/>
        <bgColor rgb="FF333300"/>
      </patternFill>
    </fill>
    <fill>
      <patternFill patternType="solid">
        <fgColor rgb="FFFFF2CC"/>
        <bgColor rgb="FFF7F9FC"/>
      </patternFill>
    </fill>
    <fill>
      <patternFill patternType="solid">
        <fgColor rgb="FFE5E7EB"/>
        <bgColor rgb="FFF7F9FC"/>
      </patternFill>
    </fill>
    <fill>
      <patternFill patternType="solid">
        <fgColor rgb="FFF7F9FC"/>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2937"/>
          <bgColor rgb="FF000000"/>
        </patternFill>
      </fill>
    </dxf>
    <dxf>
      <fill>
        <patternFill patternType="solid">
          <fgColor rgb="FFF7F9FC"/>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5E7EB"/>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7F9FC"/>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row>
    <row r="5" customFormat="false" ht="23.85" hidden="false" customHeight="false" outlineLevel="0" collapsed="false">
      <c r="A5" s="4" t="s">
        <v>3</v>
      </c>
      <c r="B5" s="5" t="s">
        <v>4</v>
      </c>
    </row>
    <row r="6" customFormat="false" ht="23.85" hidden="false" customHeight="false" outlineLevel="0" collapsed="false">
      <c r="A6" s="4" t="s">
        <v>5</v>
      </c>
      <c r="B6" s="5" t="s">
        <v>6</v>
      </c>
    </row>
    <row r="7" customFormat="false" ht="23.85" hidden="false" customHeight="false" outlineLevel="0" collapsed="false">
      <c r="A7" s="4" t="s">
        <v>7</v>
      </c>
      <c r="B7" s="5" t="s">
        <v>8</v>
      </c>
    </row>
    <row r="8" customFormat="false" ht="23.85" hidden="false" customHeight="false" outlineLevel="0" collapsed="false">
      <c r="A8" s="4" t="s">
        <v>9</v>
      </c>
      <c r="B8" s="5" t="s">
        <v>10</v>
      </c>
    </row>
    <row r="9" customFormat="false" ht="15" hidden="false" customHeight="false" outlineLevel="0" collapsed="false">
      <c r="A9" s="4" t="s">
        <v>11</v>
      </c>
      <c r="B9" s="5" t="s">
        <v>12</v>
      </c>
    </row>
    <row r="10" customFormat="false" ht="15" hidden="false" customHeight="false" outlineLevel="0" collapsed="false">
      <c r="A10" s="3" t="s">
        <v>13</v>
      </c>
      <c r="B10" s="3"/>
    </row>
    <row r="11" customFormat="false" ht="15" hidden="false" customHeight="false" outlineLevel="0" collapsed="false">
      <c r="A11" s="4" t="s">
        <v>14</v>
      </c>
      <c r="B11" s="5" t="s">
        <v>15</v>
      </c>
    </row>
    <row r="12" customFormat="false" ht="15" hidden="false" customHeight="false" outlineLevel="0" collapsed="false">
      <c r="A12" s="4" t="s">
        <v>16</v>
      </c>
      <c r="B12" s="5" t="s">
        <v>17</v>
      </c>
    </row>
    <row r="13" customFormat="false" ht="23.85" hidden="false" customHeight="false" outlineLevel="0" collapsed="false">
      <c r="A13" s="4" t="s">
        <v>18</v>
      </c>
      <c r="B13" s="5" t="s">
        <v>19</v>
      </c>
    </row>
    <row r="14" customFormat="false" ht="15" hidden="false" customHeight="false" outlineLevel="0" collapsed="false">
      <c r="A14" s="4" t="s">
        <v>20</v>
      </c>
      <c r="B14" s="5" t="s">
        <v>21</v>
      </c>
    </row>
    <row r="15" customFormat="false" ht="15" hidden="false" customHeight="false" outlineLevel="0" collapsed="false">
      <c r="A15" s="4" t="s">
        <v>22</v>
      </c>
      <c r="B15" s="5" t="s">
        <v>23</v>
      </c>
    </row>
    <row r="16" customFormat="false" ht="15" hidden="false" customHeight="false" outlineLevel="0" collapsed="false">
      <c r="A16" s="3" t="s">
        <v>24</v>
      </c>
      <c r="B16" s="3"/>
    </row>
    <row r="17" customFormat="false" ht="23.85" hidden="false" customHeight="false" outlineLevel="0" collapsed="false">
      <c r="A17" s="4" t="s">
        <v>25</v>
      </c>
      <c r="B17" s="5" t="s">
        <v>26</v>
      </c>
    </row>
    <row r="18" customFormat="false" ht="23.85" hidden="false" customHeight="false" outlineLevel="0" collapsed="false">
      <c r="A18" s="4" t="s">
        <v>27</v>
      </c>
      <c r="B18" s="5" t="s">
        <v>28</v>
      </c>
    </row>
    <row r="19" customFormat="false" ht="15" hidden="false" customHeight="false" outlineLevel="0" collapsed="false">
      <c r="A19" s="3" t="s">
        <v>29</v>
      </c>
      <c r="B19" s="3"/>
    </row>
    <row r="20" customFormat="false" ht="15" hidden="false" customHeight="false" outlineLevel="0" collapsed="false">
      <c r="A20" s="4" t="s">
        <v>30</v>
      </c>
      <c r="B20" s="5" t="s">
        <v>31</v>
      </c>
    </row>
    <row r="21" customFormat="false" ht="15" hidden="false" customHeight="false" outlineLevel="0" collapsed="false">
      <c r="A21" s="4" t="s">
        <v>32</v>
      </c>
      <c r="B21" s="5" t="s">
        <v>33</v>
      </c>
    </row>
    <row r="22" customFormat="false" ht="15" hidden="false" customHeight="false" outlineLevel="0" collapsed="false">
      <c r="A22" s="3" t="s">
        <v>34</v>
      </c>
      <c r="B22" s="3"/>
    </row>
    <row r="23" customFormat="false" ht="15" hidden="false" customHeight="false" outlineLevel="0" collapsed="false">
      <c r="A23" s="4" t="s">
        <v>35</v>
      </c>
      <c r="B23" s="5"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4" min="3" style="0" width="12"/>
    <col collapsed="false" customWidth="true" hidden="false" outlineLevel="0" max="5" min="5" style="0" width="10"/>
    <col collapsed="false" customWidth="true" hidden="false" outlineLevel="0" max="7" min="6" style="0" width="14"/>
    <col collapsed="false" customWidth="true" hidden="false" outlineLevel="0" max="8" min="8" style="0" width="90"/>
  </cols>
  <sheetData>
    <row r="1" customFormat="false" ht="17.35" hidden="false" customHeight="false" outlineLevel="0" collapsed="false">
      <c r="A1" s="1" t="s">
        <v>37</v>
      </c>
    </row>
    <row r="2" customFormat="false" ht="15" hidden="false" customHeight="false" outlineLevel="0" collapsed="false">
      <c r="A2" s="2" t="s">
        <v>38</v>
      </c>
    </row>
    <row r="5" customFormat="false" ht="30" hidden="false" customHeight="true" outlineLevel="0" collapsed="false">
      <c r="A5" s="6" t="s">
        <v>39</v>
      </c>
      <c r="B5" s="6" t="s">
        <v>40</v>
      </c>
      <c r="C5" s="6" t="s">
        <v>41</v>
      </c>
      <c r="D5" s="6" t="s">
        <v>42</v>
      </c>
      <c r="E5" s="6" t="s">
        <v>43</v>
      </c>
      <c r="F5" s="6" t="s">
        <v>44</v>
      </c>
      <c r="G5" s="6" t="s">
        <v>45</v>
      </c>
      <c r="H5" s="6" t="s">
        <v>46</v>
      </c>
    </row>
    <row r="6" customFormat="false" ht="23.85" hidden="false" customHeight="false" outlineLevel="0" collapsed="false">
      <c r="A6" s="7" t="s">
        <v>47</v>
      </c>
      <c r="B6" s="8" t="s">
        <v>48</v>
      </c>
      <c r="C6" s="8" t="s">
        <v>49</v>
      </c>
      <c r="D6" s="9" t="n">
        <v>0</v>
      </c>
      <c r="E6" s="9" t="n">
        <v>10</v>
      </c>
      <c r="F6" s="10" t="n">
        <v>800</v>
      </c>
      <c r="G6" s="9" t="n">
        <v>1</v>
      </c>
      <c r="H6" s="11" t="s">
        <v>50</v>
      </c>
    </row>
    <row r="7" customFormat="false" ht="15" hidden="false" customHeight="false" outlineLevel="0" collapsed="false">
      <c r="A7" s="7" t="s">
        <v>51</v>
      </c>
      <c r="B7" s="8" t="s">
        <v>52</v>
      </c>
      <c r="C7" s="8" t="s">
        <v>53</v>
      </c>
      <c r="D7" s="9" t="n">
        <v>0</v>
      </c>
      <c r="E7" s="9" t="n">
        <v>25</v>
      </c>
      <c r="F7" s="10" t="n">
        <v>400</v>
      </c>
      <c r="G7" s="9" t="n">
        <v>1</v>
      </c>
      <c r="H7" s="11" t="s">
        <v>54</v>
      </c>
    </row>
    <row r="8" customFormat="false" ht="15" hidden="false" customHeight="false" outlineLevel="0" collapsed="false">
      <c r="A8" s="7" t="s">
        <v>55</v>
      </c>
      <c r="B8" s="8" t="s">
        <v>56</v>
      </c>
      <c r="C8" s="8" t="s">
        <v>16</v>
      </c>
      <c r="D8" s="9" t="n">
        <v>0</v>
      </c>
      <c r="E8" s="9" t="n">
        <v>15</v>
      </c>
      <c r="F8" s="10" t="n">
        <v>500</v>
      </c>
      <c r="G8" s="9" t="n">
        <v>1</v>
      </c>
      <c r="H8" s="11" t="s">
        <v>57</v>
      </c>
    </row>
    <row r="9" customFormat="false" ht="15" hidden="false" customHeight="false" outlineLevel="0" collapsed="false">
      <c r="A9" s="7" t="s">
        <v>58</v>
      </c>
      <c r="B9" s="8" t="s">
        <v>59</v>
      </c>
      <c r="C9" s="8" t="s">
        <v>16</v>
      </c>
      <c r="D9" s="9" t="n">
        <v>0</v>
      </c>
      <c r="E9" s="9" t="n">
        <v>25</v>
      </c>
      <c r="F9" s="10" t="n">
        <v>500</v>
      </c>
      <c r="G9" s="9" t="n">
        <v>1</v>
      </c>
      <c r="H9" s="11" t="s">
        <v>60</v>
      </c>
    </row>
    <row r="10" customFormat="false" ht="15" hidden="false" customHeight="false" outlineLevel="0" collapsed="false">
      <c r="A10" s="7" t="s">
        <v>61</v>
      </c>
      <c r="B10" s="8" t="s">
        <v>62</v>
      </c>
      <c r="C10" s="8" t="s">
        <v>16</v>
      </c>
      <c r="D10" s="9" t="n">
        <v>0</v>
      </c>
      <c r="E10" s="9" t="n">
        <v>20</v>
      </c>
      <c r="F10" s="10" t="n">
        <v>500</v>
      </c>
      <c r="G10" s="9" t="n">
        <v>1</v>
      </c>
      <c r="H10" s="11" t="s">
        <v>63</v>
      </c>
    </row>
    <row r="11" customFormat="false" ht="15" hidden="false" customHeight="false" outlineLevel="0" collapsed="false">
      <c r="A11" s="7" t="s">
        <v>64</v>
      </c>
      <c r="B11" s="8" t="s">
        <v>65</v>
      </c>
      <c r="C11" s="8" t="s">
        <v>16</v>
      </c>
      <c r="D11" s="9" t="n">
        <v>15</v>
      </c>
      <c r="E11" s="9" t="n">
        <v>20</v>
      </c>
      <c r="F11" s="10" t="n">
        <v>600</v>
      </c>
      <c r="G11" s="9" t="n">
        <v>1</v>
      </c>
      <c r="H11" s="11" t="s">
        <v>66</v>
      </c>
    </row>
    <row r="12" customFormat="false" ht="23.85" hidden="false" customHeight="false" outlineLevel="0" collapsed="false">
      <c r="A12" s="7" t="s">
        <v>67</v>
      </c>
      <c r="B12" s="8" t="s">
        <v>68</v>
      </c>
      <c r="C12" s="8" t="s">
        <v>69</v>
      </c>
      <c r="D12" s="9" t="n">
        <v>15</v>
      </c>
      <c r="E12" s="9" t="n">
        <v>5</v>
      </c>
      <c r="F12" s="10" t="n">
        <v>10000</v>
      </c>
      <c r="G12" s="9" t="n">
        <v>4</v>
      </c>
      <c r="H12" s="11" t="s">
        <v>70</v>
      </c>
    </row>
    <row r="13" customFormat="false" ht="15" hidden="false" customHeight="false" outlineLevel="0" collapsed="false">
      <c r="A13" s="7" t="s">
        <v>71</v>
      </c>
      <c r="B13" s="8" t="s">
        <v>72</v>
      </c>
      <c r="C13" s="8" t="s">
        <v>73</v>
      </c>
      <c r="D13" s="9" t="n">
        <v>85</v>
      </c>
      <c r="E13" s="9" t="n">
        <v>5</v>
      </c>
      <c r="F13" s="10" t="n">
        <v>50000</v>
      </c>
      <c r="G13" s="9" t="n">
        <v>6</v>
      </c>
      <c r="H13" s="11" t="s">
        <v>74</v>
      </c>
    </row>
    <row r="14" customFormat="false" ht="15" hidden="false" customHeight="false" outlineLevel="0" collapsed="false">
      <c r="A14" s="7" t="s">
        <v>20</v>
      </c>
      <c r="B14" s="8" t="s">
        <v>75</v>
      </c>
      <c r="C14" s="8" t="s">
        <v>76</v>
      </c>
      <c r="D14" s="9" t="n">
        <v>100</v>
      </c>
      <c r="E14" s="9" t="n">
        <v>20</v>
      </c>
      <c r="F14" s="10" t="s">
        <v>77</v>
      </c>
      <c r="G14" s="9" t="s">
        <v>77</v>
      </c>
      <c r="H14" s="11" t="s">
        <v>78</v>
      </c>
    </row>
    <row r="15" customFormat="false" ht="15" hidden="false" customHeight="false" outlineLevel="0" collapsed="false">
      <c r="A15" s="7" t="s">
        <v>79</v>
      </c>
      <c r="B15" s="8" t="s">
        <v>80</v>
      </c>
      <c r="C15" s="8" t="s">
        <v>81</v>
      </c>
      <c r="D15" s="9" t="n">
        <v>0</v>
      </c>
      <c r="E15" s="9" t="s">
        <v>77</v>
      </c>
      <c r="F15" s="10" t="s">
        <v>77</v>
      </c>
      <c r="G15" s="9" t="s">
        <v>77</v>
      </c>
      <c r="H15" s="11" t="s">
        <v>82</v>
      </c>
    </row>
    <row r="17" customFormat="false" ht="15" hidden="false" customHeight="false" outlineLevel="0" collapsed="false">
      <c r="A17" s="1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8"/>
    <col collapsed="false" customWidth="true" hidden="false" outlineLevel="0" max="4" min="4" style="0" width="12"/>
    <col collapsed="false" customWidth="true" hidden="false" outlineLevel="0" max="5" min="5" style="0" width="10"/>
    <col collapsed="false" customWidth="true" hidden="false" outlineLevel="0" max="6" min="6" style="0" width="30"/>
    <col collapsed="false" customWidth="true" hidden="false" outlineLevel="0" max="7" min="7" style="0" width="12"/>
    <col collapsed="false" customWidth="true" hidden="false" outlineLevel="0" max="32" min="8" style="0" width="8"/>
    <col collapsed="false" customWidth="true" hidden="false" outlineLevel="0" max="35" min="33" style="0" width="13"/>
  </cols>
  <sheetData>
    <row r="1" customFormat="false" ht="17.35" hidden="false" customHeight="false" outlineLevel="0" collapsed="false">
      <c r="A1" s="1" t="s">
        <v>84</v>
      </c>
    </row>
    <row r="2" customFormat="false" ht="15" hidden="false" customHeight="false" outlineLevel="0" collapsed="false">
      <c r="A2" s="2" t="s">
        <v>85</v>
      </c>
    </row>
    <row r="5" customFormat="false" ht="30" hidden="false" customHeight="true" outlineLevel="0" collapsed="false">
      <c r="A5" s="6" t="s">
        <v>39</v>
      </c>
      <c r="B5" s="6" t="s">
        <v>86</v>
      </c>
      <c r="C5" s="6" t="s">
        <v>87</v>
      </c>
      <c r="D5" s="6" t="s">
        <v>88</v>
      </c>
      <c r="E5" s="6" t="s">
        <v>9</v>
      </c>
      <c r="F5" s="6" t="s">
        <v>40</v>
      </c>
      <c r="G5" s="6" t="s">
        <v>89</v>
      </c>
      <c r="H5" s="6" t="s">
        <v>90</v>
      </c>
      <c r="I5" s="6" t="s">
        <v>91</v>
      </c>
      <c r="J5" s="6" t="s">
        <v>92</v>
      </c>
      <c r="K5" s="6" t="s">
        <v>93</v>
      </c>
      <c r="L5" s="6" t="s">
        <v>94</v>
      </c>
      <c r="M5" s="6" t="s">
        <v>95</v>
      </c>
      <c r="N5" s="6" t="s">
        <v>96</v>
      </c>
      <c r="O5" s="6" t="s">
        <v>97</v>
      </c>
      <c r="P5" s="6" t="s">
        <v>98</v>
      </c>
      <c r="Q5" s="6" t="s">
        <v>99</v>
      </c>
      <c r="R5" s="6" t="s">
        <v>100</v>
      </c>
      <c r="S5" s="6" t="s">
        <v>101</v>
      </c>
      <c r="T5" s="6" t="s">
        <v>102</v>
      </c>
      <c r="U5" s="6" t="s">
        <v>103</v>
      </c>
      <c r="V5" s="6" t="s">
        <v>104</v>
      </c>
      <c r="W5" s="6" t="s">
        <v>105</v>
      </c>
      <c r="X5" s="6" t="s">
        <v>106</v>
      </c>
      <c r="Y5" s="6" t="s">
        <v>107</v>
      </c>
      <c r="Z5" s="6" t="s">
        <v>108</v>
      </c>
      <c r="AA5" s="6" t="s">
        <v>109</v>
      </c>
      <c r="AB5" s="6" t="s">
        <v>110</v>
      </c>
      <c r="AC5" s="6" t="s">
        <v>111</v>
      </c>
      <c r="AD5" s="6" t="s">
        <v>112</v>
      </c>
      <c r="AE5" s="6" t="s">
        <v>113</v>
      </c>
      <c r="AF5" s="6" t="s">
        <v>114</v>
      </c>
      <c r="AG5" s="6" t="s">
        <v>43</v>
      </c>
      <c r="AH5" s="6" t="s">
        <v>115</v>
      </c>
      <c r="AI5" s="6" t="s">
        <v>116</v>
      </c>
    </row>
    <row r="6" customFormat="false" ht="15" hidden="false" customHeight="false" outlineLevel="0" collapsed="false">
      <c r="A6" s="8" t="s">
        <v>55</v>
      </c>
      <c r="B6" s="7" t="s">
        <v>117</v>
      </c>
      <c r="C6" s="9" t="n">
        <v>1</v>
      </c>
      <c r="D6" s="9" t="n">
        <v>1</v>
      </c>
      <c r="E6" s="9" t="n">
        <v>0</v>
      </c>
      <c r="F6" s="13" t="s">
        <v>118</v>
      </c>
      <c r="G6" s="14" t="n">
        <f aca="false">INDEX(Paramètres!$B$5:$B$9,$C6)</f>
        <v>60</v>
      </c>
      <c r="H6" s="14" t="n">
        <f aca="false">IF(OR(1&lt;$D6,1&gt;INDEX(Bâtiments!$E$6:$E$15,MATCH($A6,Bâtiments!$A$6:$A$15,0))),"",ROUND($G6*(1+Paramètres!$B$10)^(1-$D6),0))</f>
        <v>60</v>
      </c>
      <c r="I6" s="14" t="n">
        <f aca="false">IF(OR(2&lt;$D6,2&gt;INDEX(Bâtiments!$E$6:$E$15,MATCH($A6,Bâtiments!$A$6:$A$15,0))),"",ROUND($G6*(1+Paramètres!$B$10)^(2-$D6),0))</f>
        <v>67</v>
      </c>
      <c r="J6" s="14" t="n">
        <f aca="false">IF(OR(3&lt;$D6,3&gt;INDEX(Bâtiments!$E$6:$E$15,MATCH($A6,Bâtiments!$A$6:$A$15,0))),"",ROUND($G6*(1+Paramètres!$B$10)^(3-$D6),0))</f>
        <v>75</v>
      </c>
      <c r="K6" s="14" t="n">
        <f aca="false">IF(OR(4&lt;$D6,4&gt;INDEX(Bâtiments!$E$6:$E$15,MATCH($A6,Bâtiments!$A$6:$A$15,0))),"",ROUND($G6*(1+Paramètres!$B$10)^(4-$D6),0))</f>
        <v>84</v>
      </c>
      <c r="L6" s="14" t="n">
        <f aca="false">IF(OR(5&lt;$D6,5&gt;INDEX(Bâtiments!$E$6:$E$15,MATCH($A6,Bâtiments!$A$6:$A$15,0))),"",ROUND($G6*(1+Paramètres!$B$10)^(5-$D6),0))</f>
        <v>94</v>
      </c>
      <c r="M6" s="14" t="n">
        <f aca="false">IF(OR(6&lt;$D6,6&gt;INDEX(Bâtiments!$E$6:$E$15,MATCH($A6,Bâtiments!$A$6:$A$15,0))),"",ROUND($G6*(1+Paramètres!$B$10)^(6-$D6),0))</f>
        <v>106</v>
      </c>
      <c r="N6" s="14" t="n">
        <f aca="false">IF(OR(7&lt;$D6,7&gt;INDEX(Bâtiments!$E$6:$E$15,MATCH($A6,Bâtiments!$A$6:$A$15,0))),"",ROUND($G6*(1+Paramètres!$B$10)^(7-$D6),0))</f>
        <v>118</v>
      </c>
      <c r="O6" s="14" t="n">
        <f aca="false">IF(OR(8&lt;$D6,8&gt;INDEX(Bâtiments!$E$6:$E$15,MATCH($A6,Bâtiments!$A$6:$A$15,0))),"",ROUND($G6*(1+Paramètres!$B$10)^(8-$D6),0))</f>
        <v>133</v>
      </c>
      <c r="P6" s="14" t="n">
        <f aca="false">IF(OR(9&lt;$D6,9&gt;INDEX(Bâtiments!$E$6:$E$15,MATCH($A6,Bâtiments!$A$6:$A$15,0))),"",ROUND($G6*(1+Paramètres!$B$10)^(9-$D6),0))</f>
        <v>149</v>
      </c>
      <c r="Q6" s="14" t="n">
        <f aca="false">IF(OR(10&lt;$D6,10&gt;INDEX(Bâtiments!$E$6:$E$15,MATCH($A6,Bâtiments!$A$6:$A$15,0))),"",ROUND($G6*(1+Paramètres!$B$10)^(10-$D6),0))</f>
        <v>166</v>
      </c>
      <c r="R6" s="14" t="n">
        <f aca="false">IF(OR(11&lt;$D6,11&gt;INDEX(Bâtiments!$E$6:$E$15,MATCH($A6,Bâtiments!$A$6:$A$15,0))),"",ROUND($G6*(1+Paramètres!$B$10)^(11-$D6),0))</f>
        <v>186</v>
      </c>
      <c r="S6" s="14" t="n">
        <f aca="false">IF(OR(12&lt;$D6,12&gt;INDEX(Bâtiments!$E$6:$E$15,MATCH($A6,Bâtiments!$A$6:$A$15,0))),"",ROUND($G6*(1+Paramètres!$B$10)^(12-$D6),0))</f>
        <v>209</v>
      </c>
      <c r="T6" s="14" t="n">
        <f aca="false">IF(OR(13&lt;$D6,13&gt;INDEX(Bâtiments!$E$6:$E$15,MATCH($A6,Bâtiments!$A$6:$A$15,0))),"",ROUND($G6*(1+Paramètres!$B$10)^(13-$D6),0))</f>
        <v>234</v>
      </c>
      <c r="U6" s="14" t="n">
        <f aca="false">IF(OR(14&lt;$D6,14&gt;INDEX(Bâtiments!$E$6:$E$15,MATCH($A6,Bâtiments!$A$6:$A$15,0))),"",ROUND($G6*(1+Paramètres!$B$10)^(14-$D6),0))</f>
        <v>262</v>
      </c>
      <c r="V6" s="14" t="n">
        <f aca="false">IF(OR(15&lt;$D6,15&gt;INDEX(Bâtiments!$E$6:$E$15,MATCH($A6,Bâtiments!$A$6:$A$15,0))),"",ROUND($G6*(1+Paramètres!$B$10)^(15-$D6),0))</f>
        <v>293</v>
      </c>
      <c r="W6" s="14" t="str">
        <f aca="false">IF(OR(16&lt;$D6,16&gt;INDEX(Bâtiments!$E$6:$E$15,MATCH($A6,Bâtiments!$A$6:$A$15,0))),"",ROUND($G6*(1+Paramètres!$B$10)^(16-$D6),0))</f>
        <v/>
      </c>
      <c r="X6" s="14" t="str">
        <f aca="false">IF(OR(17&lt;$D6,17&gt;INDEX(Bâtiments!$E$6:$E$15,MATCH($A6,Bâtiments!$A$6:$A$15,0))),"",ROUND($G6*(1+Paramètres!$B$10)^(17-$D6),0))</f>
        <v/>
      </c>
      <c r="Y6" s="14" t="str">
        <f aca="false">IF(OR(18&lt;$D6,18&gt;INDEX(Bâtiments!$E$6:$E$15,MATCH($A6,Bâtiments!$A$6:$A$15,0))),"",ROUND($G6*(1+Paramètres!$B$10)^(18-$D6),0))</f>
        <v/>
      </c>
      <c r="Z6" s="14" t="str">
        <f aca="false">IF(OR(19&lt;$D6,19&gt;INDEX(Bâtiments!$E$6:$E$15,MATCH($A6,Bâtiments!$A$6:$A$15,0))),"",ROUND($G6*(1+Paramètres!$B$10)^(19-$D6),0))</f>
        <v/>
      </c>
      <c r="AA6" s="14" t="str">
        <f aca="false">IF(OR(20&lt;$D6,20&gt;INDEX(Bâtiments!$E$6:$E$15,MATCH($A6,Bâtiments!$A$6:$A$15,0))),"",ROUND($G6*(1+Paramètres!$B$10)^(20-$D6),0))</f>
        <v/>
      </c>
      <c r="AB6" s="14" t="str">
        <f aca="false">IF(OR(21&lt;$D6,21&gt;INDEX(Bâtiments!$E$6:$E$15,MATCH($A6,Bâtiments!$A$6:$A$15,0))),"",ROUND($G6*(1+Paramètres!$B$10)^(21-$D6),0))</f>
        <v/>
      </c>
      <c r="AC6" s="14" t="str">
        <f aca="false">IF(OR(22&lt;$D6,22&gt;INDEX(Bâtiments!$E$6:$E$15,MATCH($A6,Bâtiments!$A$6:$A$15,0))),"",ROUND($G6*(1+Paramètres!$B$10)^(22-$D6),0))</f>
        <v/>
      </c>
      <c r="AD6" s="14" t="str">
        <f aca="false">IF(OR(23&lt;$D6,23&gt;INDEX(Bâtiments!$E$6:$E$15,MATCH($A6,Bâtiments!$A$6:$A$15,0))),"",ROUND($G6*(1+Paramètres!$B$10)^(23-$D6),0))</f>
        <v/>
      </c>
      <c r="AE6" s="14" t="str">
        <f aca="false">IF(OR(24&lt;$D6,24&gt;INDEX(Bâtiments!$E$6:$E$15,MATCH($A6,Bâtiments!$A$6:$A$15,0))),"",ROUND($G6*(1+Paramètres!$B$10)^(24-$D6),0))</f>
        <v/>
      </c>
      <c r="AF6" s="14" t="str">
        <f aca="false">IF(OR(25&lt;$D6,25&gt;INDEX(Bâtiments!$E$6:$E$15,MATCH($A6,Bâtiments!$A$6:$A$15,0))),"",ROUND($G6*(1+Paramètres!$B$10)^(25-$D6),0))</f>
        <v/>
      </c>
      <c r="AG6" s="15" t="n">
        <f aca="false">INDEX(Bâtiments!$E$6:$E$15,MATCH($A6,Bâtiments!$A$6:$A$15,0))</f>
        <v>15</v>
      </c>
      <c r="AH6" s="16" t="n">
        <f aca="false">ROUND($G6*(1+Paramètres!$B$10)^(AG6-$D6),0)</f>
        <v>293</v>
      </c>
      <c r="AI6" s="14" t="n">
        <f aca="false">AH6*Paramètres!$B$11</f>
        <v>2344</v>
      </c>
    </row>
    <row r="7" customFormat="false" ht="15" hidden="false" customHeight="false" outlineLevel="0" collapsed="false">
      <c r="A7" s="8" t="s">
        <v>55</v>
      </c>
      <c r="B7" s="7" t="s">
        <v>119</v>
      </c>
      <c r="C7" s="9" t="n">
        <v>2</v>
      </c>
      <c r="D7" s="9" t="n">
        <v>6</v>
      </c>
      <c r="E7" s="9" t="n">
        <v>15</v>
      </c>
      <c r="F7" s="13" t="s">
        <v>120</v>
      </c>
      <c r="G7" s="14" t="n">
        <f aca="false">INDEX(Paramètres!$B$5:$B$9,$C7)</f>
        <v>90</v>
      </c>
      <c r="H7" s="14" t="str">
        <f aca="false">IF(OR(1&lt;$D7,1&gt;INDEX(Bâtiments!$E$6:$E$15,MATCH($A7,Bâtiments!$A$6:$A$15,0))),"",ROUND($G7*(1+Paramètres!$B$10)^(1-$D7),0))</f>
        <v/>
      </c>
      <c r="I7" s="14" t="str">
        <f aca="false">IF(OR(2&lt;$D7,2&gt;INDEX(Bâtiments!$E$6:$E$15,MATCH($A7,Bâtiments!$A$6:$A$15,0))),"",ROUND($G7*(1+Paramètres!$B$10)^(2-$D7),0))</f>
        <v/>
      </c>
      <c r="J7" s="14" t="str">
        <f aca="false">IF(OR(3&lt;$D7,3&gt;INDEX(Bâtiments!$E$6:$E$15,MATCH($A7,Bâtiments!$A$6:$A$15,0))),"",ROUND($G7*(1+Paramètres!$B$10)^(3-$D7),0))</f>
        <v/>
      </c>
      <c r="K7" s="14" t="str">
        <f aca="false">IF(OR(4&lt;$D7,4&gt;INDEX(Bâtiments!$E$6:$E$15,MATCH($A7,Bâtiments!$A$6:$A$15,0))),"",ROUND($G7*(1+Paramètres!$B$10)^(4-$D7),0))</f>
        <v/>
      </c>
      <c r="L7" s="14" t="str">
        <f aca="false">IF(OR(5&lt;$D7,5&gt;INDEX(Bâtiments!$E$6:$E$15,MATCH($A7,Bâtiments!$A$6:$A$15,0))),"",ROUND($G7*(1+Paramètres!$B$10)^(5-$D7),0))</f>
        <v/>
      </c>
      <c r="M7" s="14" t="n">
        <f aca="false">IF(OR(6&lt;$D7,6&gt;INDEX(Bâtiments!$E$6:$E$15,MATCH($A7,Bâtiments!$A$6:$A$15,0))),"",ROUND($G7*(1+Paramètres!$B$10)^(6-$D7),0))</f>
        <v>90</v>
      </c>
      <c r="N7" s="14" t="n">
        <f aca="false">IF(OR(7&lt;$D7,7&gt;INDEX(Bâtiments!$E$6:$E$15,MATCH($A7,Bâtiments!$A$6:$A$15,0))),"",ROUND($G7*(1+Paramètres!$B$10)^(7-$D7),0))</f>
        <v>101</v>
      </c>
      <c r="O7" s="14" t="n">
        <f aca="false">IF(OR(8&lt;$D7,8&gt;INDEX(Bâtiments!$E$6:$E$15,MATCH($A7,Bâtiments!$A$6:$A$15,0))),"",ROUND($G7*(1+Paramètres!$B$10)^(8-$D7),0))</f>
        <v>113</v>
      </c>
      <c r="P7" s="14" t="n">
        <f aca="false">IF(OR(9&lt;$D7,9&gt;INDEX(Bâtiments!$E$6:$E$15,MATCH($A7,Bâtiments!$A$6:$A$15,0))),"",ROUND($G7*(1+Paramètres!$B$10)^(9-$D7),0))</f>
        <v>126</v>
      </c>
      <c r="Q7" s="14" t="n">
        <f aca="false">IF(OR(10&lt;$D7,10&gt;INDEX(Bâtiments!$E$6:$E$15,MATCH($A7,Bâtiments!$A$6:$A$15,0))),"",ROUND($G7*(1+Paramètres!$B$10)^(10-$D7),0))</f>
        <v>142</v>
      </c>
      <c r="R7" s="14" t="n">
        <f aca="false">IF(OR(11&lt;$D7,11&gt;INDEX(Bâtiments!$E$6:$E$15,MATCH($A7,Bâtiments!$A$6:$A$15,0))),"",ROUND($G7*(1+Paramètres!$B$10)^(11-$D7),0))</f>
        <v>159</v>
      </c>
      <c r="S7" s="14" t="n">
        <f aca="false">IF(OR(12&lt;$D7,12&gt;INDEX(Bâtiments!$E$6:$E$15,MATCH($A7,Bâtiments!$A$6:$A$15,0))),"",ROUND($G7*(1+Paramètres!$B$10)^(12-$D7),0))</f>
        <v>178</v>
      </c>
      <c r="T7" s="14" t="n">
        <f aca="false">IF(OR(13&lt;$D7,13&gt;INDEX(Bâtiments!$E$6:$E$15,MATCH($A7,Bâtiments!$A$6:$A$15,0))),"",ROUND($G7*(1+Paramètres!$B$10)^(13-$D7),0))</f>
        <v>199</v>
      </c>
      <c r="U7" s="14" t="n">
        <f aca="false">IF(OR(14&lt;$D7,14&gt;INDEX(Bâtiments!$E$6:$E$15,MATCH($A7,Bâtiments!$A$6:$A$15,0))),"",ROUND($G7*(1+Paramètres!$B$10)^(14-$D7),0))</f>
        <v>223</v>
      </c>
      <c r="V7" s="14" t="n">
        <f aca="false">IF(OR(15&lt;$D7,15&gt;INDEX(Bâtiments!$E$6:$E$15,MATCH($A7,Bâtiments!$A$6:$A$15,0))),"",ROUND($G7*(1+Paramètres!$B$10)^(15-$D7),0))</f>
        <v>250</v>
      </c>
      <c r="W7" s="14" t="str">
        <f aca="false">IF(OR(16&lt;$D7,16&gt;INDEX(Bâtiments!$E$6:$E$15,MATCH($A7,Bâtiments!$A$6:$A$15,0))),"",ROUND($G7*(1+Paramètres!$B$10)^(16-$D7),0))</f>
        <v/>
      </c>
      <c r="X7" s="14" t="str">
        <f aca="false">IF(OR(17&lt;$D7,17&gt;INDEX(Bâtiments!$E$6:$E$15,MATCH($A7,Bâtiments!$A$6:$A$15,0))),"",ROUND($G7*(1+Paramètres!$B$10)^(17-$D7),0))</f>
        <v/>
      </c>
      <c r="Y7" s="14" t="str">
        <f aca="false">IF(OR(18&lt;$D7,18&gt;INDEX(Bâtiments!$E$6:$E$15,MATCH($A7,Bâtiments!$A$6:$A$15,0))),"",ROUND($G7*(1+Paramètres!$B$10)^(18-$D7),0))</f>
        <v/>
      </c>
      <c r="Z7" s="14" t="str">
        <f aca="false">IF(OR(19&lt;$D7,19&gt;INDEX(Bâtiments!$E$6:$E$15,MATCH($A7,Bâtiments!$A$6:$A$15,0))),"",ROUND($G7*(1+Paramètres!$B$10)^(19-$D7),0))</f>
        <v/>
      </c>
      <c r="AA7" s="14" t="str">
        <f aca="false">IF(OR(20&lt;$D7,20&gt;INDEX(Bâtiments!$E$6:$E$15,MATCH($A7,Bâtiments!$A$6:$A$15,0))),"",ROUND($G7*(1+Paramètres!$B$10)^(20-$D7),0))</f>
        <v/>
      </c>
      <c r="AB7" s="14" t="str">
        <f aca="false">IF(OR(21&lt;$D7,21&gt;INDEX(Bâtiments!$E$6:$E$15,MATCH($A7,Bâtiments!$A$6:$A$15,0))),"",ROUND($G7*(1+Paramètres!$B$10)^(21-$D7),0))</f>
        <v/>
      </c>
      <c r="AC7" s="14" t="str">
        <f aca="false">IF(OR(22&lt;$D7,22&gt;INDEX(Bâtiments!$E$6:$E$15,MATCH($A7,Bâtiments!$A$6:$A$15,0))),"",ROUND($G7*(1+Paramètres!$B$10)^(22-$D7),0))</f>
        <v/>
      </c>
      <c r="AD7" s="14" t="str">
        <f aca="false">IF(OR(23&lt;$D7,23&gt;INDEX(Bâtiments!$E$6:$E$15,MATCH($A7,Bâtiments!$A$6:$A$15,0))),"",ROUND($G7*(1+Paramètres!$B$10)^(23-$D7),0))</f>
        <v/>
      </c>
      <c r="AE7" s="14" t="str">
        <f aca="false">IF(OR(24&lt;$D7,24&gt;INDEX(Bâtiments!$E$6:$E$15,MATCH($A7,Bâtiments!$A$6:$A$15,0))),"",ROUND($G7*(1+Paramètres!$B$10)^(24-$D7),0))</f>
        <v/>
      </c>
      <c r="AF7" s="14" t="str">
        <f aca="false">IF(OR(25&lt;$D7,25&gt;INDEX(Bâtiments!$E$6:$E$15,MATCH($A7,Bâtiments!$A$6:$A$15,0))),"",ROUND($G7*(1+Paramètres!$B$10)^(25-$D7),0))</f>
        <v/>
      </c>
      <c r="AG7" s="15" t="n">
        <f aca="false">INDEX(Bâtiments!$E$6:$E$15,MATCH($A7,Bâtiments!$A$6:$A$15,0))</f>
        <v>15</v>
      </c>
      <c r="AH7" s="16" t="n">
        <f aca="false">ROUND($G7*(1+Paramètres!$B$10)^(AG7-$D7),0)</f>
        <v>250</v>
      </c>
      <c r="AI7" s="14" t="n">
        <f aca="false">AH7*Paramètres!$B$11</f>
        <v>2000</v>
      </c>
    </row>
    <row r="8" customFormat="false" ht="15" hidden="false" customHeight="false" outlineLevel="0" collapsed="false">
      <c r="A8" s="8" t="s">
        <v>55</v>
      </c>
      <c r="B8" s="7" t="s">
        <v>121</v>
      </c>
      <c r="C8" s="9" t="n">
        <v>2</v>
      </c>
      <c r="D8" s="9" t="n">
        <v>6</v>
      </c>
      <c r="E8" s="9" t="n">
        <v>15</v>
      </c>
      <c r="F8" s="13" t="s">
        <v>122</v>
      </c>
      <c r="G8" s="14" t="n">
        <f aca="false">INDEX(Paramètres!$B$5:$B$9,$C8)</f>
        <v>90</v>
      </c>
      <c r="H8" s="14" t="str">
        <f aca="false">IF(OR(1&lt;$D8,1&gt;INDEX(Bâtiments!$E$6:$E$15,MATCH($A8,Bâtiments!$A$6:$A$15,0))),"",ROUND($G8*(1+Paramètres!$B$10)^(1-$D8),0))</f>
        <v/>
      </c>
      <c r="I8" s="14" t="str">
        <f aca="false">IF(OR(2&lt;$D8,2&gt;INDEX(Bâtiments!$E$6:$E$15,MATCH($A8,Bâtiments!$A$6:$A$15,0))),"",ROUND($G8*(1+Paramètres!$B$10)^(2-$D8),0))</f>
        <v/>
      </c>
      <c r="J8" s="14" t="str">
        <f aca="false">IF(OR(3&lt;$D8,3&gt;INDEX(Bâtiments!$E$6:$E$15,MATCH($A8,Bâtiments!$A$6:$A$15,0))),"",ROUND($G8*(1+Paramètres!$B$10)^(3-$D8),0))</f>
        <v/>
      </c>
      <c r="K8" s="14" t="str">
        <f aca="false">IF(OR(4&lt;$D8,4&gt;INDEX(Bâtiments!$E$6:$E$15,MATCH($A8,Bâtiments!$A$6:$A$15,0))),"",ROUND($G8*(1+Paramètres!$B$10)^(4-$D8),0))</f>
        <v/>
      </c>
      <c r="L8" s="14" t="str">
        <f aca="false">IF(OR(5&lt;$D8,5&gt;INDEX(Bâtiments!$E$6:$E$15,MATCH($A8,Bâtiments!$A$6:$A$15,0))),"",ROUND($G8*(1+Paramètres!$B$10)^(5-$D8),0))</f>
        <v/>
      </c>
      <c r="M8" s="14" t="n">
        <f aca="false">IF(OR(6&lt;$D8,6&gt;INDEX(Bâtiments!$E$6:$E$15,MATCH($A8,Bâtiments!$A$6:$A$15,0))),"",ROUND($G8*(1+Paramètres!$B$10)^(6-$D8),0))</f>
        <v>90</v>
      </c>
      <c r="N8" s="14" t="n">
        <f aca="false">IF(OR(7&lt;$D8,7&gt;INDEX(Bâtiments!$E$6:$E$15,MATCH($A8,Bâtiments!$A$6:$A$15,0))),"",ROUND($G8*(1+Paramètres!$B$10)^(7-$D8),0))</f>
        <v>101</v>
      </c>
      <c r="O8" s="14" t="n">
        <f aca="false">IF(OR(8&lt;$D8,8&gt;INDEX(Bâtiments!$E$6:$E$15,MATCH($A8,Bâtiments!$A$6:$A$15,0))),"",ROUND($G8*(1+Paramètres!$B$10)^(8-$D8),0))</f>
        <v>113</v>
      </c>
      <c r="P8" s="14" t="n">
        <f aca="false">IF(OR(9&lt;$D8,9&gt;INDEX(Bâtiments!$E$6:$E$15,MATCH($A8,Bâtiments!$A$6:$A$15,0))),"",ROUND($G8*(1+Paramètres!$B$10)^(9-$D8),0))</f>
        <v>126</v>
      </c>
      <c r="Q8" s="14" t="n">
        <f aca="false">IF(OR(10&lt;$D8,10&gt;INDEX(Bâtiments!$E$6:$E$15,MATCH($A8,Bâtiments!$A$6:$A$15,0))),"",ROUND($G8*(1+Paramètres!$B$10)^(10-$D8),0))</f>
        <v>142</v>
      </c>
      <c r="R8" s="14" t="n">
        <f aca="false">IF(OR(11&lt;$D8,11&gt;INDEX(Bâtiments!$E$6:$E$15,MATCH($A8,Bâtiments!$A$6:$A$15,0))),"",ROUND($G8*(1+Paramètres!$B$10)^(11-$D8),0))</f>
        <v>159</v>
      </c>
      <c r="S8" s="14" t="n">
        <f aca="false">IF(OR(12&lt;$D8,12&gt;INDEX(Bâtiments!$E$6:$E$15,MATCH($A8,Bâtiments!$A$6:$A$15,0))),"",ROUND($G8*(1+Paramètres!$B$10)^(12-$D8),0))</f>
        <v>178</v>
      </c>
      <c r="T8" s="14" t="n">
        <f aca="false">IF(OR(13&lt;$D8,13&gt;INDEX(Bâtiments!$E$6:$E$15,MATCH($A8,Bâtiments!$A$6:$A$15,0))),"",ROUND($G8*(1+Paramètres!$B$10)^(13-$D8),0))</f>
        <v>199</v>
      </c>
      <c r="U8" s="14" t="n">
        <f aca="false">IF(OR(14&lt;$D8,14&gt;INDEX(Bâtiments!$E$6:$E$15,MATCH($A8,Bâtiments!$A$6:$A$15,0))),"",ROUND($G8*(1+Paramètres!$B$10)^(14-$D8),0))</f>
        <v>223</v>
      </c>
      <c r="V8" s="14" t="n">
        <f aca="false">IF(OR(15&lt;$D8,15&gt;INDEX(Bâtiments!$E$6:$E$15,MATCH($A8,Bâtiments!$A$6:$A$15,0))),"",ROUND($G8*(1+Paramètres!$B$10)^(15-$D8),0))</f>
        <v>250</v>
      </c>
      <c r="W8" s="14" t="str">
        <f aca="false">IF(OR(16&lt;$D8,16&gt;INDEX(Bâtiments!$E$6:$E$15,MATCH($A8,Bâtiments!$A$6:$A$15,0))),"",ROUND($G8*(1+Paramètres!$B$10)^(16-$D8),0))</f>
        <v/>
      </c>
      <c r="X8" s="14" t="str">
        <f aca="false">IF(OR(17&lt;$D8,17&gt;INDEX(Bâtiments!$E$6:$E$15,MATCH($A8,Bâtiments!$A$6:$A$15,0))),"",ROUND($G8*(1+Paramètres!$B$10)^(17-$D8),0))</f>
        <v/>
      </c>
      <c r="Y8" s="14" t="str">
        <f aca="false">IF(OR(18&lt;$D8,18&gt;INDEX(Bâtiments!$E$6:$E$15,MATCH($A8,Bâtiments!$A$6:$A$15,0))),"",ROUND($G8*(1+Paramètres!$B$10)^(18-$D8),0))</f>
        <v/>
      </c>
      <c r="Z8" s="14" t="str">
        <f aca="false">IF(OR(19&lt;$D8,19&gt;INDEX(Bâtiments!$E$6:$E$15,MATCH($A8,Bâtiments!$A$6:$A$15,0))),"",ROUND($G8*(1+Paramètres!$B$10)^(19-$D8),0))</f>
        <v/>
      </c>
      <c r="AA8" s="14" t="str">
        <f aca="false">IF(OR(20&lt;$D8,20&gt;INDEX(Bâtiments!$E$6:$E$15,MATCH($A8,Bâtiments!$A$6:$A$15,0))),"",ROUND($G8*(1+Paramètres!$B$10)^(20-$D8),0))</f>
        <v/>
      </c>
      <c r="AB8" s="14" t="str">
        <f aca="false">IF(OR(21&lt;$D8,21&gt;INDEX(Bâtiments!$E$6:$E$15,MATCH($A8,Bâtiments!$A$6:$A$15,0))),"",ROUND($G8*(1+Paramètres!$B$10)^(21-$D8),0))</f>
        <v/>
      </c>
      <c r="AC8" s="14" t="str">
        <f aca="false">IF(OR(22&lt;$D8,22&gt;INDEX(Bâtiments!$E$6:$E$15,MATCH($A8,Bâtiments!$A$6:$A$15,0))),"",ROUND($G8*(1+Paramètres!$B$10)^(22-$D8),0))</f>
        <v/>
      </c>
      <c r="AD8" s="14" t="str">
        <f aca="false">IF(OR(23&lt;$D8,23&gt;INDEX(Bâtiments!$E$6:$E$15,MATCH($A8,Bâtiments!$A$6:$A$15,0))),"",ROUND($G8*(1+Paramètres!$B$10)^(23-$D8),0))</f>
        <v/>
      </c>
      <c r="AE8" s="14" t="str">
        <f aca="false">IF(OR(24&lt;$D8,24&gt;INDEX(Bâtiments!$E$6:$E$15,MATCH($A8,Bâtiments!$A$6:$A$15,0))),"",ROUND($G8*(1+Paramètres!$B$10)^(24-$D8),0))</f>
        <v/>
      </c>
      <c r="AF8" s="14" t="str">
        <f aca="false">IF(OR(25&lt;$D8,25&gt;INDEX(Bâtiments!$E$6:$E$15,MATCH($A8,Bâtiments!$A$6:$A$15,0))),"",ROUND($G8*(1+Paramètres!$B$10)^(25-$D8),0))</f>
        <v/>
      </c>
      <c r="AG8" s="15" t="n">
        <f aca="false">INDEX(Bâtiments!$E$6:$E$15,MATCH($A8,Bâtiments!$A$6:$A$15,0))</f>
        <v>15</v>
      </c>
      <c r="AH8" s="16" t="n">
        <f aca="false">ROUND($G8*(1+Paramètres!$B$10)^(AG8-$D8),0)</f>
        <v>250</v>
      </c>
      <c r="AI8" s="14" t="n">
        <f aca="false">AH8*Paramètres!$B$11</f>
        <v>2000</v>
      </c>
    </row>
    <row r="9" customFormat="false" ht="15" hidden="false" customHeight="false" outlineLevel="0" collapsed="false">
      <c r="A9" s="8" t="s">
        <v>55</v>
      </c>
      <c r="B9" s="7" t="s">
        <v>123</v>
      </c>
      <c r="C9" s="9" t="n">
        <v>3</v>
      </c>
      <c r="D9" s="9" t="n">
        <v>11</v>
      </c>
      <c r="E9" s="9" t="n">
        <v>30</v>
      </c>
      <c r="F9" s="13" t="s">
        <v>124</v>
      </c>
      <c r="G9" s="14" t="n">
        <f aca="false">INDEX(Paramètres!$B$5:$B$9,$C9)</f>
        <v>135</v>
      </c>
      <c r="H9" s="14" t="str">
        <f aca="false">IF(OR(1&lt;$D9,1&gt;INDEX(Bâtiments!$E$6:$E$15,MATCH($A9,Bâtiments!$A$6:$A$15,0))),"",ROUND($G9*(1+Paramètres!$B$10)^(1-$D9),0))</f>
        <v/>
      </c>
      <c r="I9" s="14" t="str">
        <f aca="false">IF(OR(2&lt;$D9,2&gt;INDEX(Bâtiments!$E$6:$E$15,MATCH($A9,Bâtiments!$A$6:$A$15,0))),"",ROUND($G9*(1+Paramètres!$B$10)^(2-$D9),0))</f>
        <v/>
      </c>
      <c r="J9" s="14" t="str">
        <f aca="false">IF(OR(3&lt;$D9,3&gt;INDEX(Bâtiments!$E$6:$E$15,MATCH($A9,Bâtiments!$A$6:$A$15,0))),"",ROUND($G9*(1+Paramètres!$B$10)^(3-$D9),0))</f>
        <v/>
      </c>
      <c r="K9" s="14" t="str">
        <f aca="false">IF(OR(4&lt;$D9,4&gt;INDEX(Bâtiments!$E$6:$E$15,MATCH($A9,Bâtiments!$A$6:$A$15,0))),"",ROUND($G9*(1+Paramètres!$B$10)^(4-$D9),0))</f>
        <v/>
      </c>
      <c r="L9" s="14" t="str">
        <f aca="false">IF(OR(5&lt;$D9,5&gt;INDEX(Bâtiments!$E$6:$E$15,MATCH($A9,Bâtiments!$A$6:$A$15,0))),"",ROUND($G9*(1+Paramètres!$B$10)^(5-$D9),0))</f>
        <v/>
      </c>
      <c r="M9" s="14" t="str">
        <f aca="false">IF(OR(6&lt;$D9,6&gt;INDEX(Bâtiments!$E$6:$E$15,MATCH($A9,Bâtiments!$A$6:$A$15,0))),"",ROUND($G9*(1+Paramètres!$B$10)^(6-$D9),0))</f>
        <v/>
      </c>
      <c r="N9" s="14" t="str">
        <f aca="false">IF(OR(7&lt;$D9,7&gt;INDEX(Bâtiments!$E$6:$E$15,MATCH($A9,Bâtiments!$A$6:$A$15,0))),"",ROUND($G9*(1+Paramètres!$B$10)^(7-$D9),0))</f>
        <v/>
      </c>
      <c r="O9" s="14" t="str">
        <f aca="false">IF(OR(8&lt;$D9,8&gt;INDEX(Bâtiments!$E$6:$E$15,MATCH($A9,Bâtiments!$A$6:$A$15,0))),"",ROUND($G9*(1+Paramètres!$B$10)^(8-$D9),0))</f>
        <v/>
      </c>
      <c r="P9" s="14" t="str">
        <f aca="false">IF(OR(9&lt;$D9,9&gt;INDEX(Bâtiments!$E$6:$E$15,MATCH($A9,Bâtiments!$A$6:$A$15,0))),"",ROUND($G9*(1+Paramètres!$B$10)^(9-$D9),0))</f>
        <v/>
      </c>
      <c r="Q9" s="14" t="str">
        <f aca="false">IF(OR(10&lt;$D9,10&gt;INDEX(Bâtiments!$E$6:$E$15,MATCH($A9,Bâtiments!$A$6:$A$15,0))),"",ROUND($G9*(1+Paramètres!$B$10)^(10-$D9),0))</f>
        <v/>
      </c>
      <c r="R9" s="14" t="n">
        <f aca="false">IF(OR(11&lt;$D9,11&gt;INDEX(Bâtiments!$E$6:$E$15,MATCH($A9,Bâtiments!$A$6:$A$15,0))),"",ROUND($G9*(1+Paramètres!$B$10)^(11-$D9),0))</f>
        <v>135</v>
      </c>
      <c r="S9" s="14" t="n">
        <f aca="false">IF(OR(12&lt;$D9,12&gt;INDEX(Bâtiments!$E$6:$E$15,MATCH($A9,Bâtiments!$A$6:$A$15,0))),"",ROUND($G9*(1+Paramètres!$B$10)^(12-$D9),0))</f>
        <v>151</v>
      </c>
      <c r="T9" s="14" t="n">
        <f aca="false">IF(OR(13&lt;$D9,13&gt;INDEX(Bâtiments!$E$6:$E$15,MATCH($A9,Bâtiments!$A$6:$A$15,0))),"",ROUND($G9*(1+Paramètres!$B$10)^(13-$D9),0))</f>
        <v>169</v>
      </c>
      <c r="U9" s="14" t="n">
        <f aca="false">IF(OR(14&lt;$D9,14&gt;INDEX(Bâtiments!$E$6:$E$15,MATCH($A9,Bâtiments!$A$6:$A$15,0))),"",ROUND($G9*(1+Paramètres!$B$10)^(14-$D9),0))</f>
        <v>190</v>
      </c>
      <c r="V9" s="14" t="n">
        <f aca="false">IF(OR(15&lt;$D9,15&gt;INDEX(Bâtiments!$E$6:$E$15,MATCH($A9,Bâtiments!$A$6:$A$15,0))),"",ROUND($G9*(1+Paramètres!$B$10)^(15-$D9),0))</f>
        <v>212</v>
      </c>
      <c r="W9" s="14" t="str">
        <f aca="false">IF(OR(16&lt;$D9,16&gt;INDEX(Bâtiments!$E$6:$E$15,MATCH($A9,Bâtiments!$A$6:$A$15,0))),"",ROUND($G9*(1+Paramètres!$B$10)^(16-$D9),0))</f>
        <v/>
      </c>
      <c r="X9" s="14" t="str">
        <f aca="false">IF(OR(17&lt;$D9,17&gt;INDEX(Bâtiments!$E$6:$E$15,MATCH($A9,Bâtiments!$A$6:$A$15,0))),"",ROUND($G9*(1+Paramètres!$B$10)^(17-$D9),0))</f>
        <v/>
      </c>
      <c r="Y9" s="14" t="str">
        <f aca="false">IF(OR(18&lt;$D9,18&gt;INDEX(Bâtiments!$E$6:$E$15,MATCH($A9,Bâtiments!$A$6:$A$15,0))),"",ROUND($G9*(1+Paramètres!$B$10)^(18-$D9),0))</f>
        <v/>
      </c>
      <c r="Z9" s="14" t="str">
        <f aca="false">IF(OR(19&lt;$D9,19&gt;INDEX(Bâtiments!$E$6:$E$15,MATCH($A9,Bâtiments!$A$6:$A$15,0))),"",ROUND($G9*(1+Paramètres!$B$10)^(19-$D9),0))</f>
        <v/>
      </c>
      <c r="AA9" s="14" t="str">
        <f aca="false">IF(OR(20&lt;$D9,20&gt;INDEX(Bâtiments!$E$6:$E$15,MATCH($A9,Bâtiments!$A$6:$A$15,0))),"",ROUND($G9*(1+Paramètres!$B$10)^(20-$D9),0))</f>
        <v/>
      </c>
      <c r="AB9" s="14" t="str">
        <f aca="false">IF(OR(21&lt;$D9,21&gt;INDEX(Bâtiments!$E$6:$E$15,MATCH($A9,Bâtiments!$A$6:$A$15,0))),"",ROUND($G9*(1+Paramètres!$B$10)^(21-$D9),0))</f>
        <v/>
      </c>
      <c r="AC9" s="14" t="str">
        <f aca="false">IF(OR(22&lt;$D9,22&gt;INDEX(Bâtiments!$E$6:$E$15,MATCH($A9,Bâtiments!$A$6:$A$15,0))),"",ROUND($G9*(1+Paramètres!$B$10)^(22-$D9),0))</f>
        <v/>
      </c>
      <c r="AD9" s="14" t="str">
        <f aca="false">IF(OR(23&lt;$D9,23&gt;INDEX(Bâtiments!$E$6:$E$15,MATCH($A9,Bâtiments!$A$6:$A$15,0))),"",ROUND($G9*(1+Paramètres!$B$10)^(23-$D9),0))</f>
        <v/>
      </c>
      <c r="AE9" s="14" t="str">
        <f aca="false">IF(OR(24&lt;$D9,24&gt;INDEX(Bâtiments!$E$6:$E$15,MATCH($A9,Bâtiments!$A$6:$A$15,0))),"",ROUND($G9*(1+Paramètres!$B$10)^(24-$D9),0))</f>
        <v/>
      </c>
      <c r="AF9" s="14" t="str">
        <f aca="false">IF(OR(25&lt;$D9,25&gt;INDEX(Bâtiments!$E$6:$E$15,MATCH($A9,Bâtiments!$A$6:$A$15,0))),"",ROUND($G9*(1+Paramètres!$B$10)^(25-$D9),0))</f>
        <v/>
      </c>
      <c r="AG9" s="15" t="n">
        <f aca="false">INDEX(Bâtiments!$E$6:$E$15,MATCH($A9,Bâtiments!$A$6:$A$15,0))</f>
        <v>15</v>
      </c>
      <c r="AH9" s="16" t="n">
        <f aca="false">ROUND($G9*(1+Paramètres!$B$10)^(AG9-$D9),0)</f>
        <v>212</v>
      </c>
      <c r="AI9" s="14" t="n">
        <f aca="false">AH9*Paramètres!$B$11</f>
        <v>1696</v>
      </c>
    </row>
    <row r="10" customFormat="false" ht="15" hidden="false" customHeight="false" outlineLevel="0" collapsed="false">
      <c r="A10" s="8" t="s">
        <v>55</v>
      </c>
      <c r="B10" s="7" t="s">
        <v>125</v>
      </c>
      <c r="C10" s="9" t="n">
        <v>3</v>
      </c>
      <c r="D10" s="9" t="n">
        <v>11</v>
      </c>
      <c r="E10" s="9" t="n">
        <v>30</v>
      </c>
      <c r="F10" s="13" t="s">
        <v>126</v>
      </c>
      <c r="G10" s="14" t="n">
        <f aca="false">INDEX(Paramètres!$B$5:$B$9,$C10)</f>
        <v>135</v>
      </c>
      <c r="H10" s="14" t="str">
        <f aca="false">IF(OR(1&lt;$D10,1&gt;INDEX(Bâtiments!$E$6:$E$15,MATCH($A10,Bâtiments!$A$6:$A$15,0))),"",ROUND($G10*(1+Paramètres!$B$10)^(1-$D10),0))</f>
        <v/>
      </c>
      <c r="I10" s="14" t="str">
        <f aca="false">IF(OR(2&lt;$D10,2&gt;INDEX(Bâtiments!$E$6:$E$15,MATCH($A10,Bâtiments!$A$6:$A$15,0))),"",ROUND($G10*(1+Paramètres!$B$10)^(2-$D10),0))</f>
        <v/>
      </c>
      <c r="J10" s="14" t="str">
        <f aca="false">IF(OR(3&lt;$D10,3&gt;INDEX(Bâtiments!$E$6:$E$15,MATCH($A10,Bâtiments!$A$6:$A$15,0))),"",ROUND($G10*(1+Paramètres!$B$10)^(3-$D10),0))</f>
        <v/>
      </c>
      <c r="K10" s="14" t="str">
        <f aca="false">IF(OR(4&lt;$D10,4&gt;INDEX(Bâtiments!$E$6:$E$15,MATCH($A10,Bâtiments!$A$6:$A$15,0))),"",ROUND($G10*(1+Paramètres!$B$10)^(4-$D10),0))</f>
        <v/>
      </c>
      <c r="L10" s="14" t="str">
        <f aca="false">IF(OR(5&lt;$D10,5&gt;INDEX(Bâtiments!$E$6:$E$15,MATCH($A10,Bâtiments!$A$6:$A$15,0))),"",ROUND($G10*(1+Paramètres!$B$10)^(5-$D10),0))</f>
        <v/>
      </c>
      <c r="M10" s="14" t="str">
        <f aca="false">IF(OR(6&lt;$D10,6&gt;INDEX(Bâtiments!$E$6:$E$15,MATCH($A10,Bâtiments!$A$6:$A$15,0))),"",ROUND($G10*(1+Paramètres!$B$10)^(6-$D10),0))</f>
        <v/>
      </c>
      <c r="N10" s="14" t="str">
        <f aca="false">IF(OR(7&lt;$D10,7&gt;INDEX(Bâtiments!$E$6:$E$15,MATCH($A10,Bâtiments!$A$6:$A$15,0))),"",ROUND($G10*(1+Paramètres!$B$10)^(7-$D10),0))</f>
        <v/>
      </c>
      <c r="O10" s="14" t="str">
        <f aca="false">IF(OR(8&lt;$D10,8&gt;INDEX(Bâtiments!$E$6:$E$15,MATCH($A10,Bâtiments!$A$6:$A$15,0))),"",ROUND($G10*(1+Paramètres!$B$10)^(8-$D10),0))</f>
        <v/>
      </c>
      <c r="P10" s="14" t="str">
        <f aca="false">IF(OR(9&lt;$D10,9&gt;INDEX(Bâtiments!$E$6:$E$15,MATCH($A10,Bâtiments!$A$6:$A$15,0))),"",ROUND($G10*(1+Paramètres!$B$10)^(9-$D10),0))</f>
        <v/>
      </c>
      <c r="Q10" s="14" t="str">
        <f aca="false">IF(OR(10&lt;$D10,10&gt;INDEX(Bâtiments!$E$6:$E$15,MATCH($A10,Bâtiments!$A$6:$A$15,0))),"",ROUND($G10*(1+Paramètres!$B$10)^(10-$D10),0))</f>
        <v/>
      </c>
      <c r="R10" s="14" t="n">
        <f aca="false">IF(OR(11&lt;$D10,11&gt;INDEX(Bâtiments!$E$6:$E$15,MATCH($A10,Bâtiments!$A$6:$A$15,0))),"",ROUND($G10*(1+Paramètres!$B$10)^(11-$D10),0))</f>
        <v>135</v>
      </c>
      <c r="S10" s="14" t="n">
        <f aca="false">IF(OR(12&lt;$D10,12&gt;INDEX(Bâtiments!$E$6:$E$15,MATCH($A10,Bâtiments!$A$6:$A$15,0))),"",ROUND($G10*(1+Paramètres!$B$10)^(12-$D10),0))</f>
        <v>151</v>
      </c>
      <c r="T10" s="14" t="n">
        <f aca="false">IF(OR(13&lt;$D10,13&gt;INDEX(Bâtiments!$E$6:$E$15,MATCH($A10,Bâtiments!$A$6:$A$15,0))),"",ROUND($G10*(1+Paramètres!$B$10)^(13-$D10),0))</f>
        <v>169</v>
      </c>
      <c r="U10" s="14" t="n">
        <f aca="false">IF(OR(14&lt;$D10,14&gt;INDEX(Bâtiments!$E$6:$E$15,MATCH($A10,Bâtiments!$A$6:$A$15,0))),"",ROUND($G10*(1+Paramètres!$B$10)^(14-$D10),0))</f>
        <v>190</v>
      </c>
      <c r="V10" s="14" t="n">
        <f aca="false">IF(OR(15&lt;$D10,15&gt;INDEX(Bâtiments!$E$6:$E$15,MATCH($A10,Bâtiments!$A$6:$A$15,0))),"",ROUND($G10*(1+Paramètres!$B$10)^(15-$D10),0))</f>
        <v>212</v>
      </c>
      <c r="W10" s="14" t="str">
        <f aca="false">IF(OR(16&lt;$D10,16&gt;INDEX(Bâtiments!$E$6:$E$15,MATCH($A10,Bâtiments!$A$6:$A$15,0))),"",ROUND($G10*(1+Paramètres!$B$10)^(16-$D10),0))</f>
        <v/>
      </c>
      <c r="X10" s="14" t="str">
        <f aca="false">IF(OR(17&lt;$D10,17&gt;INDEX(Bâtiments!$E$6:$E$15,MATCH($A10,Bâtiments!$A$6:$A$15,0))),"",ROUND($G10*(1+Paramètres!$B$10)^(17-$D10),0))</f>
        <v/>
      </c>
      <c r="Y10" s="14" t="str">
        <f aca="false">IF(OR(18&lt;$D10,18&gt;INDEX(Bâtiments!$E$6:$E$15,MATCH($A10,Bâtiments!$A$6:$A$15,0))),"",ROUND($G10*(1+Paramètres!$B$10)^(18-$D10),0))</f>
        <v/>
      </c>
      <c r="Z10" s="14" t="str">
        <f aca="false">IF(OR(19&lt;$D10,19&gt;INDEX(Bâtiments!$E$6:$E$15,MATCH($A10,Bâtiments!$A$6:$A$15,0))),"",ROUND($G10*(1+Paramètres!$B$10)^(19-$D10),0))</f>
        <v/>
      </c>
      <c r="AA10" s="14" t="str">
        <f aca="false">IF(OR(20&lt;$D10,20&gt;INDEX(Bâtiments!$E$6:$E$15,MATCH($A10,Bâtiments!$A$6:$A$15,0))),"",ROUND($G10*(1+Paramètres!$B$10)^(20-$D10),0))</f>
        <v/>
      </c>
      <c r="AB10" s="14" t="str">
        <f aca="false">IF(OR(21&lt;$D10,21&gt;INDEX(Bâtiments!$E$6:$E$15,MATCH($A10,Bâtiments!$A$6:$A$15,0))),"",ROUND($G10*(1+Paramètres!$B$10)^(21-$D10),0))</f>
        <v/>
      </c>
      <c r="AC10" s="14" t="str">
        <f aca="false">IF(OR(22&lt;$D10,22&gt;INDEX(Bâtiments!$E$6:$E$15,MATCH($A10,Bâtiments!$A$6:$A$15,0))),"",ROUND($G10*(1+Paramètres!$B$10)^(22-$D10),0))</f>
        <v/>
      </c>
      <c r="AD10" s="14" t="str">
        <f aca="false">IF(OR(23&lt;$D10,23&gt;INDEX(Bâtiments!$E$6:$E$15,MATCH($A10,Bâtiments!$A$6:$A$15,0))),"",ROUND($G10*(1+Paramètres!$B$10)^(23-$D10),0))</f>
        <v/>
      </c>
      <c r="AE10" s="14" t="str">
        <f aca="false">IF(OR(24&lt;$D10,24&gt;INDEX(Bâtiments!$E$6:$E$15,MATCH($A10,Bâtiments!$A$6:$A$15,0))),"",ROUND($G10*(1+Paramètres!$B$10)^(24-$D10),0))</f>
        <v/>
      </c>
      <c r="AF10" s="14" t="str">
        <f aca="false">IF(OR(25&lt;$D10,25&gt;INDEX(Bâtiments!$E$6:$E$15,MATCH($A10,Bâtiments!$A$6:$A$15,0))),"",ROUND($G10*(1+Paramètres!$B$10)^(25-$D10),0))</f>
        <v/>
      </c>
      <c r="AG10" s="15" t="n">
        <f aca="false">INDEX(Bâtiments!$E$6:$E$15,MATCH($A10,Bâtiments!$A$6:$A$15,0))</f>
        <v>15</v>
      </c>
      <c r="AH10" s="16" t="n">
        <f aca="false">ROUND($G10*(1+Paramètres!$B$10)^(AG10-$D10),0)</f>
        <v>212</v>
      </c>
      <c r="AI10" s="14" t="n">
        <f aca="false">AH10*Paramètres!$B$11</f>
        <v>1696</v>
      </c>
    </row>
    <row r="11" customFormat="false" ht="15" hidden="false" customHeight="false" outlineLevel="0" collapsed="false">
      <c r="A11" s="8" t="s">
        <v>58</v>
      </c>
      <c r="B11" s="7" t="s">
        <v>127</v>
      </c>
      <c r="C11" s="9" t="n">
        <v>1</v>
      </c>
      <c r="D11" s="9" t="n">
        <v>1</v>
      </c>
      <c r="E11" s="9" t="n">
        <v>0</v>
      </c>
      <c r="F11" s="13" t="s">
        <v>128</v>
      </c>
      <c r="G11" s="14" t="n">
        <f aca="false">INDEX(Paramètres!$B$5:$B$9,$C11)</f>
        <v>60</v>
      </c>
      <c r="H11" s="14" t="n">
        <f aca="false">IF(OR(1&lt;$D11,1&gt;INDEX(Bâtiments!$E$6:$E$15,MATCH($A11,Bâtiments!$A$6:$A$15,0))),"",ROUND($G11*(1+Paramètres!$B$10)^(1-$D11),0))</f>
        <v>60</v>
      </c>
      <c r="I11" s="14" t="n">
        <f aca="false">IF(OR(2&lt;$D11,2&gt;INDEX(Bâtiments!$E$6:$E$15,MATCH($A11,Bâtiments!$A$6:$A$15,0))),"",ROUND($G11*(1+Paramètres!$B$10)^(2-$D11),0))</f>
        <v>67</v>
      </c>
      <c r="J11" s="14" t="n">
        <f aca="false">IF(OR(3&lt;$D11,3&gt;INDEX(Bâtiments!$E$6:$E$15,MATCH($A11,Bâtiments!$A$6:$A$15,0))),"",ROUND($G11*(1+Paramètres!$B$10)^(3-$D11),0))</f>
        <v>75</v>
      </c>
      <c r="K11" s="14" t="n">
        <f aca="false">IF(OR(4&lt;$D11,4&gt;INDEX(Bâtiments!$E$6:$E$15,MATCH($A11,Bâtiments!$A$6:$A$15,0))),"",ROUND($G11*(1+Paramètres!$B$10)^(4-$D11),0))</f>
        <v>84</v>
      </c>
      <c r="L11" s="14" t="n">
        <f aca="false">IF(OR(5&lt;$D11,5&gt;INDEX(Bâtiments!$E$6:$E$15,MATCH($A11,Bâtiments!$A$6:$A$15,0))),"",ROUND($G11*(1+Paramètres!$B$10)^(5-$D11),0))</f>
        <v>94</v>
      </c>
      <c r="M11" s="14" t="n">
        <f aca="false">IF(OR(6&lt;$D11,6&gt;INDEX(Bâtiments!$E$6:$E$15,MATCH($A11,Bâtiments!$A$6:$A$15,0))),"",ROUND($G11*(1+Paramètres!$B$10)^(6-$D11),0))</f>
        <v>106</v>
      </c>
      <c r="N11" s="14" t="n">
        <f aca="false">IF(OR(7&lt;$D11,7&gt;INDEX(Bâtiments!$E$6:$E$15,MATCH($A11,Bâtiments!$A$6:$A$15,0))),"",ROUND($G11*(1+Paramètres!$B$10)^(7-$D11),0))</f>
        <v>118</v>
      </c>
      <c r="O11" s="14" t="n">
        <f aca="false">IF(OR(8&lt;$D11,8&gt;INDEX(Bâtiments!$E$6:$E$15,MATCH($A11,Bâtiments!$A$6:$A$15,0))),"",ROUND($G11*(1+Paramètres!$B$10)^(8-$D11),0))</f>
        <v>133</v>
      </c>
      <c r="P11" s="14" t="n">
        <f aca="false">IF(OR(9&lt;$D11,9&gt;INDEX(Bâtiments!$E$6:$E$15,MATCH($A11,Bâtiments!$A$6:$A$15,0))),"",ROUND($G11*(1+Paramètres!$B$10)^(9-$D11),0))</f>
        <v>149</v>
      </c>
      <c r="Q11" s="14" t="n">
        <f aca="false">IF(OR(10&lt;$D11,10&gt;INDEX(Bâtiments!$E$6:$E$15,MATCH($A11,Bâtiments!$A$6:$A$15,0))),"",ROUND($G11*(1+Paramètres!$B$10)^(10-$D11),0))</f>
        <v>166</v>
      </c>
      <c r="R11" s="14" t="n">
        <f aca="false">IF(OR(11&lt;$D11,11&gt;INDEX(Bâtiments!$E$6:$E$15,MATCH($A11,Bâtiments!$A$6:$A$15,0))),"",ROUND($G11*(1+Paramètres!$B$10)^(11-$D11),0))</f>
        <v>186</v>
      </c>
      <c r="S11" s="14" t="n">
        <f aca="false">IF(OR(12&lt;$D11,12&gt;INDEX(Bâtiments!$E$6:$E$15,MATCH($A11,Bâtiments!$A$6:$A$15,0))),"",ROUND($G11*(1+Paramètres!$B$10)^(12-$D11),0))</f>
        <v>209</v>
      </c>
      <c r="T11" s="14" t="n">
        <f aca="false">IF(OR(13&lt;$D11,13&gt;INDEX(Bâtiments!$E$6:$E$15,MATCH($A11,Bâtiments!$A$6:$A$15,0))),"",ROUND($G11*(1+Paramètres!$B$10)^(13-$D11),0))</f>
        <v>234</v>
      </c>
      <c r="U11" s="14" t="n">
        <f aca="false">IF(OR(14&lt;$D11,14&gt;INDEX(Bâtiments!$E$6:$E$15,MATCH($A11,Bâtiments!$A$6:$A$15,0))),"",ROUND($G11*(1+Paramètres!$B$10)^(14-$D11),0))</f>
        <v>262</v>
      </c>
      <c r="V11" s="14" t="n">
        <f aca="false">IF(OR(15&lt;$D11,15&gt;INDEX(Bâtiments!$E$6:$E$15,MATCH($A11,Bâtiments!$A$6:$A$15,0))),"",ROUND($G11*(1+Paramètres!$B$10)^(15-$D11),0))</f>
        <v>293</v>
      </c>
      <c r="W11" s="14" t="n">
        <f aca="false">IF(OR(16&lt;$D11,16&gt;INDEX(Bâtiments!$E$6:$E$15,MATCH($A11,Bâtiments!$A$6:$A$15,0))),"",ROUND($G11*(1+Paramètres!$B$10)^(16-$D11),0))</f>
        <v>328</v>
      </c>
      <c r="X11" s="14" t="n">
        <f aca="false">IF(OR(17&lt;$D11,17&gt;INDEX(Bâtiments!$E$6:$E$15,MATCH($A11,Bâtiments!$A$6:$A$15,0))),"",ROUND($G11*(1+Paramètres!$B$10)^(17-$D11),0))</f>
        <v>368</v>
      </c>
      <c r="Y11" s="14" t="n">
        <f aca="false">IF(OR(18&lt;$D11,18&gt;INDEX(Bâtiments!$E$6:$E$15,MATCH($A11,Bâtiments!$A$6:$A$15,0))),"",ROUND($G11*(1+Paramètres!$B$10)^(18-$D11),0))</f>
        <v>412</v>
      </c>
      <c r="Z11" s="14" t="n">
        <f aca="false">IF(OR(19&lt;$D11,19&gt;INDEX(Bâtiments!$E$6:$E$15,MATCH($A11,Bâtiments!$A$6:$A$15,0))),"",ROUND($G11*(1+Paramètres!$B$10)^(19-$D11),0))</f>
        <v>461</v>
      </c>
      <c r="AA11" s="14" t="n">
        <f aca="false">IF(OR(20&lt;$D11,20&gt;INDEX(Bâtiments!$E$6:$E$15,MATCH($A11,Bâtiments!$A$6:$A$15,0))),"",ROUND($G11*(1+Paramètres!$B$10)^(20-$D11),0))</f>
        <v>517</v>
      </c>
      <c r="AB11" s="14" t="n">
        <f aca="false">IF(OR(21&lt;$D11,21&gt;INDEX(Bâtiments!$E$6:$E$15,MATCH($A11,Bâtiments!$A$6:$A$15,0))),"",ROUND($G11*(1+Paramètres!$B$10)^(21-$D11),0))</f>
        <v>579</v>
      </c>
      <c r="AC11" s="14" t="n">
        <f aca="false">IF(OR(22&lt;$D11,22&gt;INDEX(Bâtiments!$E$6:$E$15,MATCH($A11,Bâtiments!$A$6:$A$15,0))),"",ROUND($G11*(1+Paramètres!$B$10)^(22-$D11),0))</f>
        <v>648</v>
      </c>
      <c r="AD11" s="14" t="n">
        <f aca="false">IF(OR(23&lt;$D11,23&gt;INDEX(Bâtiments!$E$6:$E$15,MATCH($A11,Bâtiments!$A$6:$A$15,0))),"",ROUND($G11*(1+Paramètres!$B$10)^(23-$D11),0))</f>
        <v>726</v>
      </c>
      <c r="AE11" s="14" t="n">
        <f aca="false">IF(OR(24&lt;$D11,24&gt;INDEX(Bâtiments!$E$6:$E$15,MATCH($A11,Bâtiments!$A$6:$A$15,0))),"",ROUND($G11*(1+Paramètres!$B$10)^(24-$D11),0))</f>
        <v>813</v>
      </c>
      <c r="AF11" s="14" t="n">
        <f aca="false">IF(OR(25&lt;$D11,25&gt;INDEX(Bâtiments!$E$6:$E$15,MATCH($A11,Bâtiments!$A$6:$A$15,0))),"",ROUND($G11*(1+Paramètres!$B$10)^(25-$D11),0))</f>
        <v>911</v>
      </c>
      <c r="AG11" s="15" t="n">
        <f aca="false">INDEX(Bâtiments!$E$6:$E$15,MATCH($A11,Bâtiments!$A$6:$A$15,0))</f>
        <v>25</v>
      </c>
      <c r="AH11" s="16" t="n">
        <f aca="false">ROUND($G11*(1+Paramètres!$B$10)^(AG11-$D11),0)</f>
        <v>911</v>
      </c>
      <c r="AI11" s="14" t="n">
        <f aca="false">AH11*Paramètres!$B$11</f>
        <v>7288</v>
      </c>
    </row>
    <row r="12" customFormat="false" ht="15" hidden="false" customHeight="false" outlineLevel="0" collapsed="false">
      <c r="A12" s="8" t="s">
        <v>58</v>
      </c>
      <c r="B12" s="7" t="s">
        <v>129</v>
      </c>
      <c r="C12" s="9" t="n">
        <v>2</v>
      </c>
      <c r="D12" s="9" t="n">
        <v>6</v>
      </c>
      <c r="E12" s="9" t="n">
        <v>15</v>
      </c>
      <c r="F12" s="13" t="s">
        <v>130</v>
      </c>
      <c r="G12" s="14" t="n">
        <f aca="false">INDEX(Paramètres!$B$5:$B$9,$C12)</f>
        <v>90</v>
      </c>
      <c r="H12" s="14" t="str">
        <f aca="false">IF(OR(1&lt;$D12,1&gt;INDEX(Bâtiments!$E$6:$E$15,MATCH($A12,Bâtiments!$A$6:$A$15,0))),"",ROUND($G12*(1+Paramètres!$B$10)^(1-$D12),0))</f>
        <v/>
      </c>
      <c r="I12" s="14" t="str">
        <f aca="false">IF(OR(2&lt;$D12,2&gt;INDEX(Bâtiments!$E$6:$E$15,MATCH($A12,Bâtiments!$A$6:$A$15,0))),"",ROUND($G12*(1+Paramètres!$B$10)^(2-$D12),0))</f>
        <v/>
      </c>
      <c r="J12" s="14" t="str">
        <f aca="false">IF(OR(3&lt;$D12,3&gt;INDEX(Bâtiments!$E$6:$E$15,MATCH($A12,Bâtiments!$A$6:$A$15,0))),"",ROUND($G12*(1+Paramètres!$B$10)^(3-$D12),0))</f>
        <v/>
      </c>
      <c r="K12" s="14" t="str">
        <f aca="false">IF(OR(4&lt;$D12,4&gt;INDEX(Bâtiments!$E$6:$E$15,MATCH($A12,Bâtiments!$A$6:$A$15,0))),"",ROUND($G12*(1+Paramètres!$B$10)^(4-$D12),0))</f>
        <v/>
      </c>
      <c r="L12" s="14" t="str">
        <f aca="false">IF(OR(5&lt;$D12,5&gt;INDEX(Bâtiments!$E$6:$E$15,MATCH($A12,Bâtiments!$A$6:$A$15,0))),"",ROUND($G12*(1+Paramètres!$B$10)^(5-$D12),0))</f>
        <v/>
      </c>
      <c r="M12" s="14" t="n">
        <f aca="false">IF(OR(6&lt;$D12,6&gt;INDEX(Bâtiments!$E$6:$E$15,MATCH($A12,Bâtiments!$A$6:$A$15,0))),"",ROUND($G12*(1+Paramètres!$B$10)^(6-$D12),0))</f>
        <v>90</v>
      </c>
      <c r="N12" s="14" t="n">
        <f aca="false">IF(OR(7&lt;$D12,7&gt;INDEX(Bâtiments!$E$6:$E$15,MATCH($A12,Bâtiments!$A$6:$A$15,0))),"",ROUND($G12*(1+Paramètres!$B$10)^(7-$D12),0))</f>
        <v>101</v>
      </c>
      <c r="O12" s="14" t="n">
        <f aca="false">IF(OR(8&lt;$D12,8&gt;INDEX(Bâtiments!$E$6:$E$15,MATCH($A12,Bâtiments!$A$6:$A$15,0))),"",ROUND($G12*(1+Paramètres!$B$10)^(8-$D12),0))</f>
        <v>113</v>
      </c>
      <c r="P12" s="14" t="n">
        <f aca="false">IF(OR(9&lt;$D12,9&gt;INDEX(Bâtiments!$E$6:$E$15,MATCH($A12,Bâtiments!$A$6:$A$15,0))),"",ROUND($G12*(1+Paramètres!$B$10)^(9-$D12),0))</f>
        <v>126</v>
      </c>
      <c r="Q12" s="14" t="n">
        <f aca="false">IF(OR(10&lt;$D12,10&gt;INDEX(Bâtiments!$E$6:$E$15,MATCH($A12,Bâtiments!$A$6:$A$15,0))),"",ROUND($G12*(1+Paramètres!$B$10)^(10-$D12),0))</f>
        <v>142</v>
      </c>
      <c r="R12" s="14" t="n">
        <f aca="false">IF(OR(11&lt;$D12,11&gt;INDEX(Bâtiments!$E$6:$E$15,MATCH($A12,Bâtiments!$A$6:$A$15,0))),"",ROUND($G12*(1+Paramètres!$B$10)^(11-$D12),0))</f>
        <v>159</v>
      </c>
      <c r="S12" s="14" t="n">
        <f aca="false">IF(OR(12&lt;$D12,12&gt;INDEX(Bâtiments!$E$6:$E$15,MATCH($A12,Bâtiments!$A$6:$A$15,0))),"",ROUND($G12*(1+Paramètres!$B$10)^(12-$D12),0))</f>
        <v>178</v>
      </c>
      <c r="T12" s="14" t="n">
        <f aca="false">IF(OR(13&lt;$D12,13&gt;INDEX(Bâtiments!$E$6:$E$15,MATCH($A12,Bâtiments!$A$6:$A$15,0))),"",ROUND($G12*(1+Paramètres!$B$10)^(13-$D12),0))</f>
        <v>199</v>
      </c>
      <c r="U12" s="14" t="n">
        <f aca="false">IF(OR(14&lt;$D12,14&gt;INDEX(Bâtiments!$E$6:$E$15,MATCH($A12,Bâtiments!$A$6:$A$15,0))),"",ROUND($G12*(1+Paramètres!$B$10)^(14-$D12),0))</f>
        <v>223</v>
      </c>
      <c r="V12" s="14" t="n">
        <f aca="false">IF(OR(15&lt;$D12,15&gt;INDEX(Bâtiments!$E$6:$E$15,MATCH($A12,Bâtiments!$A$6:$A$15,0))),"",ROUND($G12*(1+Paramètres!$B$10)^(15-$D12),0))</f>
        <v>250</v>
      </c>
      <c r="W12" s="14" t="n">
        <f aca="false">IF(OR(16&lt;$D12,16&gt;INDEX(Bâtiments!$E$6:$E$15,MATCH($A12,Bâtiments!$A$6:$A$15,0))),"",ROUND($G12*(1+Paramètres!$B$10)^(16-$D12),0))</f>
        <v>280</v>
      </c>
      <c r="X12" s="14" t="n">
        <f aca="false">IF(OR(17&lt;$D12,17&gt;INDEX(Bâtiments!$E$6:$E$15,MATCH($A12,Bâtiments!$A$6:$A$15,0))),"",ROUND($G12*(1+Paramètres!$B$10)^(17-$D12),0))</f>
        <v>313</v>
      </c>
      <c r="Y12" s="14" t="n">
        <f aca="false">IF(OR(18&lt;$D12,18&gt;INDEX(Bâtiments!$E$6:$E$15,MATCH($A12,Bâtiments!$A$6:$A$15,0))),"",ROUND($G12*(1+Paramètres!$B$10)^(18-$D12),0))</f>
        <v>351</v>
      </c>
      <c r="Z12" s="14" t="n">
        <f aca="false">IF(OR(19&lt;$D12,19&gt;INDEX(Bâtiments!$E$6:$E$15,MATCH($A12,Bâtiments!$A$6:$A$15,0))),"",ROUND($G12*(1+Paramètres!$B$10)^(19-$D12),0))</f>
        <v>393</v>
      </c>
      <c r="AA12" s="14" t="n">
        <f aca="false">IF(OR(20&lt;$D12,20&gt;INDEX(Bâtiments!$E$6:$E$15,MATCH($A12,Bâtiments!$A$6:$A$15,0))),"",ROUND($G12*(1+Paramètres!$B$10)^(20-$D12),0))</f>
        <v>440</v>
      </c>
      <c r="AB12" s="14" t="n">
        <f aca="false">IF(OR(21&lt;$D12,21&gt;INDEX(Bâtiments!$E$6:$E$15,MATCH($A12,Bâtiments!$A$6:$A$15,0))),"",ROUND($G12*(1+Paramètres!$B$10)^(21-$D12),0))</f>
        <v>493</v>
      </c>
      <c r="AC12" s="14" t="n">
        <f aca="false">IF(OR(22&lt;$D12,22&gt;INDEX(Bâtiments!$E$6:$E$15,MATCH($A12,Bâtiments!$A$6:$A$15,0))),"",ROUND($G12*(1+Paramètres!$B$10)^(22-$D12),0))</f>
        <v>552</v>
      </c>
      <c r="AD12" s="14" t="n">
        <f aca="false">IF(OR(23&lt;$D12,23&gt;INDEX(Bâtiments!$E$6:$E$15,MATCH($A12,Bâtiments!$A$6:$A$15,0))),"",ROUND($G12*(1+Paramètres!$B$10)^(23-$D12),0))</f>
        <v>618</v>
      </c>
      <c r="AE12" s="14" t="n">
        <f aca="false">IF(OR(24&lt;$D12,24&gt;INDEX(Bâtiments!$E$6:$E$15,MATCH($A12,Bâtiments!$A$6:$A$15,0))),"",ROUND($G12*(1+Paramètres!$B$10)^(24-$D12),0))</f>
        <v>692</v>
      </c>
      <c r="AF12" s="14" t="n">
        <f aca="false">IF(OR(25&lt;$D12,25&gt;INDEX(Bâtiments!$E$6:$E$15,MATCH($A12,Bâtiments!$A$6:$A$15,0))),"",ROUND($G12*(1+Paramètres!$B$10)^(25-$D12),0))</f>
        <v>775</v>
      </c>
      <c r="AG12" s="15" t="n">
        <f aca="false">INDEX(Bâtiments!$E$6:$E$15,MATCH($A12,Bâtiments!$A$6:$A$15,0))</f>
        <v>25</v>
      </c>
      <c r="AH12" s="16" t="n">
        <f aca="false">ROUND($G12*(1+Paramètres!$B$10)^(AG12-$D12),0)</f>
        <v>775</v>
      </c>
      <c r="AI12" s="14" t="n">
        <f aca="false">AH12*Paramètres!$B$11</f>
        <v>6200</v>
      </c>
    </row>
    <row r="13" customFormat="false" ht="15" hidden="false" customHeight="false" outlineLevel="0" collapsed="false">
      <c r="A13" s="8" t="s">
        <v>58</v>
      </c>
      <c r="B13" s="7" t="s">
        <v>131</v>
      </c>
      <c r="C13" s="9" t="n">
        <v>3</v>
      </c>
      <c r="D13" s="9" t="n">
        <v>11</v>
      </c>
      <c r="E13" s="9" t="n">
        <v>30</v>
      </c>
      <c r="F13" s="13" t="s">
        <v>132</v>
      </c>
      <c r="G13" s="14" t="n">
        <f aca="false">INDEX(Paramètres!$B$5:$B$9,$C13)</f>
        <v>135</v>
      </c>
      <c r="H13" s="14" t="str">
        <f aca="false">IF(OR(1&lt;$D13,1&gt;INDEX(Bâtiments!$E$6:$E$15,MATCH($A13,Bâtiments!$A$6:$A$15,0))),"",ROUND($G13*(1+Paramètres!$B$10)^(1-$D13),0))</f>
        <v/>
      </c>
      <c r="I13" s="14" t="str">
        <f aca="false">IF(OR(2&lt;$D13,2&gt;INDEX(Bâtiments!$E$6:$E$15,MATCH($A13,Bâtiments!$A$6:$A$15,0))),"",ROUND($G13*(1+Paramètres!$B$10)^(2-$D13),0))</f>
        <v/>
      </c>
      <c r="J13" s="14" t="str">
        <f aca="false">IF(OR(3&lt;$D13,3&gt;INDEX(Bâtiments!$E$6:$E$15,MATCH($A13,Bâtiments!$A$6:$A$15,0))),"",ROUND($G13*(1+Paramètres!$B$10)^(3-$D13),0))</f>
        <v/>
      </c>
      <c r="K13" s="14" t="str">
        <f aca="false">IF(OR(4&lt;$D13,4&gt;INDEX(Bâtiments!$E$6:$E$15,MATCH($A13,Bâtiments!$A$6:$A$15,0))),"",ROUND($G13*(1+Paramètres!$B$10)^(4-$D13),0))</f>
        <v/>
      </c>
      <c r="L13" s="14" t="str">
        <f aca="false">IF(OR(5&lt;$D13,5&gt;INDEX(Bâtiments!$E$6:$E$15,MATCH($A13,Bâtiments!$A$6:$A$15,0))),"",ROUND($G13*(1+Paramètres!$B$10)^(5-$D13),0))</f>
        <v/>
      </c>
      <c r="M13" s="14" t="str">
        <f aca="false">IF(OR(6&lt;$D13,6&gt;INDEX(Bâtiments!$E$6:$E$15,MATCH($A13,Bâtiments!$A$6:$A$15,0))),"",ROUND($G13*(1+Paramètres!$B$10)^(6-$D13),0))</f>
        <v/>
      </c>
      <c r="N13" s="14" t="str">
        <f aca="false">IF(OR(7&lt;$D13,7&gt;INDEX(Bâtiments!$E$6:$E$15,MATCH($A13,Bâtiments!$A$6:$A$15,0))),"",ROUND($G13*(1+Paramètres!$B$10)^(7-$D13),0))</f>
        <v/>
      </c>
      <c r="O13" s="14" t="str">
        <f aca="false">IF(OR(8&lt;$D13,8&gt;INDEX(Bâtiments!$E$6:$E$15,MATCH($A13,Bâtiments!$A$6:$A$15,0))),"",ROUND($G13*(1+Paramètres!$B$10)^(8-$D13),0))</f>
        <v/>
      </c>
      <c r="P13" s="14" t="str">
        <f aca="false">IF(OR(9&lt;$D13,9&gt;INDEX(Bâtiments!$E$6:$E$15,MATCH($A13,Bâtiments!$A$6:$A$15,0))),"",ROUND($G13*(1+Paramètres!$B$10)^(9-$D13),0))</f>
        <v/>
      </c>
      <c r="Q13" s="14" t="str">
        <f aca="false">IF(OR(10&lt;$D13,10&gt;INDEX(Bâtiments!$E$6:$E$15,MATCH($A13,Bâtiments!$A$6:$A$15,0))),"",ROUND($G13*(1+Paramètres!$B$10)^(10-$D13),0))</f>
        <v/>
      </c>
      <c r="R13" s="14" t="n">
        <f aca="false">IF(OR(11&lt;$D13,11&gt;INDEX(Bâtiments!$E$6:$E$15,MATCH($A13,Bâtiments!$A$6:$A$15,0))),"",ROUND($G13*(1+Paramètres!$B$10)^(11-$D13),0))</f>
        <v>135</v>
      </c>
      <c r="S13" s="14" t="n">
        <f aca="false">IF(OR(12&lt;$D13,12&gt;INDEX(Bâtiments!$E$6:$E$15,MATCH($A13,Bâtiments!$A$6:$A$15,0))),"",ROUND($G13*(1+Paramètres!$B$10)^(12-$D13),0))</f>
        <v>151</v>
      </c>
      <c r="T13" s="14" t="n">
        <f aca="false">IF(OR(13&lt;$D13,13&gt;INDEX(Bâtiments!$E$6:$E$15,MATCH($A13,Bâtiments!$A$6:$A$15,0))),"",ROUND($G13*(1+Paramètres!$B$10)^(13-$D13),0))</f>
        <v>169</v>
      </c>
      <c r="U13" s="14" t="n">
        <f aca="false">IF(OR(14&lt;$D13,14&gt;INDEX(Bâtiments!$E$6:$E$15,MATCH($A13,Bâtiments!$A$6:$A$15,0))),"",ROUND($G13*(1+Paramètres!$B$10)^(14-$D13),0))</f>
        <v>190</v>
      </c>
      <c r="V13" s="14" t="n">
        <f aca="false">IF(OR(15&lt;$D13,15&gt;INDEX(Bâtiments!$E$6:$E$15,MATCH($A13,Bâtiments!$A$6:$A$15,0))),"",ROUND($G13*(1+Paramètres!$B$10)^(15-$D13),0))</f>
        <v>212</v>
      </c>
      <c r="W13" s="14" t="n">
        <f aca="false">IF(OR(16&lt;$D13,16&gt;INDEX(Bâtiments!$E$6:$E$15,MATCH($A13,Bâtiments!$A$6:$A$15,0))),"",ROUND($G13*(1+Paramètres!$B$10)^(16-$D13),0))</f>
        <v>238</v>
      </c>
      <c r="X13" s="14" t="n">
        <f aca="false">IF(OR(17&lt;$D13,17&gt;INDEX(Bâtiments!$E$6:$E$15,MATCH($A13,Bâtiments!$A$6:$A$15,0))),"",ROUND($G13*(1+Paramètres!$B$10)^(17-$D13),0))</f>
        <v>266</v>
      </c>
      <c r="Y13" s="14" t="n">
        <f aca="false">IF(OR(18&lt;$D13,18&gt;INDEX(Bâtiments!$E$6:$E$15,MATCH($A13,Bâtiments!$A$6:$A$15,0))),"",ROUND($G13*(1+Paramètres!$B$10)^(18-$D13),0))</f>
        <v>298</v>
      </c>
      <c r="Z13" s="14" t="n">
        <f aca="false">IF(OR(19&lt;$D13,19&gt;INDEX(Bâtiments!$E$6:$E$15,MATCH($A13,Bâtiments!$A$6:$A$15,0))),"",ROUND($G13*(1+Paramètres!$B$10)^(19-$D13),0))</f>
        <v>334</v>
      </c>
      <c r="AA13" s="14" t="n">
        <f aca="false">IF(OR(20&lt;$D13,20&gt;INDEX(Bâtiments!$E$6:$E$15,MATCH($A13,Bâtiments!$A$6:$A$15,0))),"",ROUND($G13*(1+Paramètres!$B$10)^(20-$D13),0))</f>
        <v>374</v>
      </c>
      <c r="AB13" s="14" t="n">
        <f aca="false">IF(OR(21&lt;$D13,21&gt;INDEX(Bâtiments!$E$6:$E$15,MATCH($A13,Bâtiments!$A$6:$A$15,0))),"",ROUND($G13*(1+Paramètres!$B$10)^(21-$D13),0))</f>
        <v>419</v>
      </c>
      <c r="AC13" s="14" t="n">
        <f aca="false">IF(OR(22&lt;$D13,22&gt;INDEX(Bâtiments!$E$6:$E$15,MATCH($A13,Bâtiments!$A$6:$A$15,0))),"",ROUND($G13*(1+Paramètres!$B$10)^(22-$D13),0))</f>
        <v>470</v>
      </c>
      <c r="AD13" s="14" t="n">
        <f aca="false">IF(OR(23&lt;$D13,23&gt;INDEX(Bâtiments!$E$6:$E$15,MATCH($A13,Bâtiments!$A$6:$A$15,0))),"",ROUND($G13*(1+Paramètres!$B$10)^(23-$D13),0))</f>
        <v>526</v>
      </c>
      <c r="AE13" s="14" t="n">
        <f aca="false">IF(OR(24&lt;$D13,24&gt;INDEX(Bâtiments!$E$6:$E$15,MATCH($A13,Bâtiments!$A$6:$A$15,0))),"",ROUND($G13*(1+Paramètres!$B$10)^(24-$D13),0))</f>
        <v>589</v>
      </c>
      <c r="AF13" s="14" t="n">
        <f aca="false">IF(OR(25&lt;$D13,25&gt;INDEX(Bâtiments!$E$6:$E$15,MATCH($A13,Bâtiments!$A$6:$A$15,0))),"",ROUND($G13*(1+Paramètres!$B$10)^(25-$D13),0))</f>
        <v>660</v>
      </c>
      <c r="AG13" s="15" t="n">
        <f aca="false">INDEX(Bâtiments!$E$6:$E$15,MATCH($A13,Bâtiments!$A$6:$A$15,0))</f>
        <v>25</v>
      </c>
      <c r="AH13" s="16" t="n">
        <f aca="false">ROUND($G13*(1+Paramètres!$B$10)^(AG13-$D13),0)</f>
        <v>660</v>
      </c>
      <c r="AI13" s="14" t="n">
        <f aca="false">AH13*Paramètres!$B$11</f>
        <v>5280</v>
      </c>
    </row>
    <row r="14" customFormat="false" ht="15" hidden="false" customHeight="false" outlineLevel="0" collapsed="false">
      <c r="A14" s="8" t="s">
        <v>58</v>
      </c>
      <c r="B14" s="7" t="s">
        <v>133</v>
      </c>
      <c r="C14" s="9" t="n">
        <v>4</v>
      </c>
      <c r="D14" s="9" t="n">
        <v>16</v>
      </c>
      <c r="E14" s="9" t="n">
        <v>50</v>
      </c>
      <c r="F14" s="13" t="s">
        <v>134</v>
      </c>
      <c r="G14" s="14" t="n">
        <f aca="false">INDEX(Paramètres!$B$5:$B$9,$C14)</f>
        <v>200</v>
      </c>
      <c r="H14" s="14" t="str">
        <f aca="false">IF(OR(1&lt;$D14,1&gt;INDEX(Bâtiments!$E$6:$E$15,MATCH($A14,Bâtiments!$A$6:$A$15,0))),"",ROUND($G14*(1+Paramètres!$B$10)^(1-$D14),0))</f>
        <v/>
      </c>
      <c r="I14" s="14" t="str">
        <f aca="false">IF(OR(2&lt;$D14,2&gt;INDEX(Bâtiments!$E$6:$E$15,MATCH($A14,Bâtiments!$A$6:$A$15,0))),"",ROUND($G14*(1+Paramètres!$B$10)^(2-$D14),0))</f>
        <v/>
      </c>
      <c r="J14" s="14" t="str">
        <f aca="false">IF(OR(3&lt;$D14,3&gt;INDEX(Bâtiments!$E$6:$E$15,MATCH($A14,Bâtiments!$A$6:$A$15,0))),"",ROUND($G14*(1+Paramètres!$B$10)^(3-$D14),0))</f>
        <v/>
      </c>
      <c r="K14" s="14" t="str">
        <f aca="false">IF(OR(4&lt;$D14,4&gt;INDEX(Bâtiments!$E$6:$E$15,MATCH($A14,Bâtiments!$A$6:$A$15,0))),"",ROUND($G14*(1+Paramètres!$B$10)^(4-$D14),0))</f>
        <v/>
      </c>
      <c r="L14" s="14" t="str">
        <f aca="false">IF(OR(5&lt;$D14,5&gt;INDEX(Bâtiments!$E$6:$E$15,MATCH($A14,Bâtiments!$A$6:$A$15,0))),"",ROUND($G14*(1+Paramètres!$B$10)^(5-$D14),0))</f>
        <v/>
      </c>
      <c r="M14" s="14" t="str">
        <f aca="false">IF(OR(6&lt;$D14,6&gt;INDEX(Bâtiments!$E$6:$E$15,MATCH($A14,Bâtiments!$A$6:$A$15,0))),"",ROUND($G14*(1+Paramètres!$B$10)^(6-$D14),0))</f>
        <v/>
      </c>
      <c r="N14" s="14" t="str">
        <f aca="false">IF(OR(7&lt;$D14,7&gt;INDEX(Bâtiments!$E$6:$E$15,MATCH($A14,Bâtiments!$A$6:$A$15,0))),"",ROUND($G14*(1+Paramètres!$B$10)^(7-$D14),0))</f>
        <v/>
      </c>
      <c r="O14" s="14" t="str">
        <f aca="false">IF(OR(8&lt;$D14,8&gt;INDEX(Bâtiments!$E$6:$E$15,MATCH($A14,Bâtiments!$A$6:$A$15,0))),"",ROUND($G14*(1+Paramètres!$B$10)^(8-$D14),0))</f>
        <v/>
      </c>
      <c r="P14" s="14" t="str">
        <f aca="false">IF(OR(9&lt;$D14,9&gt;INDEX(Bâtiments!$E$6:$E$15,MATCH($A14,Bâtiments!$A$6:$A$15,0))),"",ROUND($G14*(1+Paramètres!$B$10)^(9-$D14),0))</f>
        <v/>
      </c>
      <c r="Q14" s="14" t="str">
        <f aca="false">IF(OR(10&lt;$D14,10&gt;INDEX(Bâtiments!$E$6:$E$15,MATCH($A14,Bâtiments!$A$6:$A$15,0))),"",ROUND($G14*(1+Paramètres!$B$10)^(10-$D14),0))</f>
        <v/>
      </c>
      <c r="R14" s="14" t="str">
        <f aca="false">IF(OR(11&lt;$D14,11&gt;INDEX(Bâtiments!$E$6:$E$15,MATCH($A14,Bâtiments!$A$6:$A$15,0))),"",ROUND($G14*(1+Paramètres!$B$10)^(11-$D14),0))</f>
        <v/>
      </c>
      <c r="S14" s="14" t="str">
        <f aca="false">IF(OR(12&lt;$D14,12&gt;INDEX(Bâtiments!$E$6:$E$15,MATCH($A14,Bâtiments!$A$6:$A$15,0))),"",ROUND($G14*(1+Paramètres!$B$10)^(12-$D14),0))</f>
        <v/>
      </c>
      <c r="T14" s="14" t="str">
        <f aca="false">IF(OR(13&lt;$D14,13&gt;INDEX(Bâtiments!$E$6:$E$15,MATCH($A14,Bâtiments!$A$6:$A$15,0))),"",ROUND($G14*(1+Paramètres!$B$10)^(13-$D14),0))</f>
        <v/>
      </c>
      <c r="U14" s="14" t="str">
        <f aca="false">IF(OR(14&lt;$D14,14&gt;INDEX(Bâtiments!$E$6:$E$15,MATCH($A14,Bâtiments!$A$6:$A$15,0))),"",ROUND($G14*(1+Paramètres!$B$10)^(14-$D14),0))</f>
        <v/>
      </c>
      <c r="V14" s="14" t="str">
        <f aca="false">IF(OR(15&lt;$D14,15&gt;INDEX(Bâtiments!$E$6:$E$15,MATCH($A14,Bâtiments!$A$6:$A$15,0))),"",ROUND($G14*(1+Paramètres!$B$10)^(15-$D14),0))</f>
        <v/>
      </c>
      <c r="W14" s="14" t="n">
        <f aca="false">IF(OR(16&lt;$D14,16&gt;INDEX(Bâtiments!$E$6:$E$15,MATCH($A14,Bâtiments!$A$6:$A$15,0))),"",ROUND($G14*(1+Paramètres!$B$10)^(16-$D14),0))</f>
        <v>200</v>
      </c>
      <c r="X14" s="14" t="n">
        <f aca="false">IF(OR(17&lt;$D14,17&gt;INDEX(Bâtiments!$E$6:$E$15,MATCH($A14,Bâtiments!$A$6:$A$15,0))),"",ROUND($G14*(1+Paramètres!$B$10)^(17-$D14),0))</f>
        <v>224</v>
      </c>
      <c r="Y14" s="14" t="n">
        <f aca="false">IF(OR(18&lt;$D14,18&gt;INDEX(Bâtiments!$E$6:$E$15,MATCH($A14,Bâtiments!$A$6:$A$15,0))),"",ROUND($G14*(1+Paramètres!$B$10)^(18-$D14),0))</f>
        <v>251</v>
      </c>
      <c r="Z14" s="14" t="n">
        <f aca="false">IF(OR(19&lt;$D14,19&gt;INDEX(Bâtiments!$E$6:$E$15,MATCH($A14,Bâtiments!$A$6:$A$15,0))),"",ROUND($G14*(1+Paramètres!$B$10)^(19-$D14),0))</f>
        <v>281</v>
      </c>
      <c r="AA14" s="14" t="n">
        <f aca="false">IF(OR(20&lt;$D14,20&gt;INDEX(Bâtiments!$E$6:$E$15,MATCH($A14,Bâtiments!$A$6:$A$15,0))),"",ROUND($G14*(1+Paramètres!$B$10)^(20-$D14),0))</f>
        <v>315</v>
      </c>
      <c r="AB14" s="14" t="n">
        <f aca="false">IF(OR(21&lt;$D14,21&gt;INDEX(Bâtiments!$E$6:$E$15,MATCH($A14,Bâtiments!$A$6:$A$15,0))),"",ROUND($G14*(1+Paramètres!$B$10)^(21-$D14),0))</f>
        <v>352</v>
      </c>
      <c r="AC14" s="14" t="n">
        <f aca="false">IF(OR(22&lt;$D14,22&gt;INDEX(Bâtiments!$E$6:$E$15,MATCH($A14,Bâtiments!$A$6:$A$15,0))),"",ROUND($G14*(1+Paramètres!$B$10)^(22-$D14),0))</f>
        <v>395</v>
      </c>
      <c r="AD14" s="14" t="n">
        <f aca="false">IF(OR(23&lt;$D14,23&gt;INDEX(Bâtiments!$E$6:$E$15,MATCH($A14,Bâtiments!$A$6:$A$15,0))),"",ROUND($G14*(1+Paramètres!$B$10)^(23-$D14),0))</f>
        <v>442</v>
      </c>
      <c r="AE14" s="14" t="n">
        <f aca="false">IF(OR(24&lt;$D14,24&gt;INDEX(Bâtiments!$E$6:$E$15,MATCH($A14,Bâtiments!$A$6:$A$15,0))),"",ROUND($G14*(1+Paramètres!$B$10)^(24-$D14),0))</f>
        <v>495</v>
      </c>
      <c r="AF14" s="14" t="n">
        <f aca="false">IF(OR(25&lt;$D14,25&gt;INDEX(Bâtiments!$E$6:$E$15,MATCH($A14,Bâtiments!$A$6:$A$15,0))),"",ROUND($G14*(1+Paramètres!$B$10)^(25-$D14),0))</f>
        <v>555</v>
      </c>
      <c r="AG14" s="15" t="n">
        <f aca="false">INDEX(Bâtiments!$E$6:$E$15,MATCH($A14,Bâtiments!$A$6:$A$15,0))</f>
        <v>25</v>
      </c>
      <c r="AH14" s="16" t="n">
        <f aca="false">ROUND($G14*(1+Paramètres!$B$10)^(AG14-$D14),0)</f>
        <v>555</v>
      </c>
      <c r="AI14" s="14" t="n">
        <f aca="false">AH14*Paramètres!$B$11</f>
        <v>4440</v>
      </c>
    </row>
    <row r="15" customFormat="false" ht="15" hidden="false" customHeight="false" outlineLevel="0" collapsed="false">
      <c r="A15" s="8" t="s">
        <v>58</v>
      </c>
      <c r="B15" s="7" t="s">
        <v>135</v>
      </c>
      <c r="C15" s="9" t="n">
        <v>5</v>
      </c>
      <c r="D15" s="9" t="n">
        <v>21</v>
      </c>
      <c r="E15" s="9" t="n">
        <v>70</v>
      </c>
      <c r="F15" s="13" t="s">
        <v>136</v>
      </c>
      <c r="G15" s="14" t="n">
        <f aca="false">INDEX(Paramètres!$B$5:$B$9,$C15)</f>
        <v>300</v>
      </c>
      <c r="H15" s="14" t="str">
        <f aca="false">IF(OR(1&lt;$D15,1&gt;INDEX(Bâtiments!$E$6:$E$15,MATCH($A15,Bâtiments!$A$6:$A$15,0))),"",ROUND($G15*(1+Paramètres!$B$10)^(1-$D15),0))</f>
        <v/>
      </c>
      <c r="I15" s="14" t="str">
        <f aca="false">IF(OR(2&lt;$D15,2&gt;INDEX(Bâtiments!$E$6:$E$15,MATCH($A15,Bâtiments!$A$6:$A$15,0))),"",ROUND($G15*(1+Paramètres!$B$10)^(2-$D15),0))</f>
        <v/>
      </c>
      <c r="J15" s="14" t="str">
        <f aca="false">IF(OR(3&lt;$D15,3&gt;INDEX(Bâtiments!$E$6:$E$15,MATCH($A15,Bâtiments!$A$6:$A$15,0))),"",ROUND($G15*(1+Paramètres!$B$10)^(3-$D15),0))</f>
        <v/>
      </c>
      <c r="K15" s="14" t="str">
        <f aca="false">IF(OR(4&lt;$D15,4&gt;INDEX(Bâtiments!$E$6:$E$15,MATCH($A15,Bâtiments!$A$6:$A$15,0))),"",ROUND($G15*(1+Paramètres!$B$10)^(4-$D15),0))</f>
        <v/>
      </c>
      <c r="L15" s="14" t="str">
        <f aca="false">IF(OR(5&lt;$D15,5&gt;INDEX(Bâtiments!$E$6:$E$15,MATCH($A15,Bâtiments!$A$6:$A$15,0))),"",ROUND($G15*(1+Paramètres!$B$10)^(5-$D15),0))</f>
        <v/>
      </c>
      <c r="M15" s="14" t="str">
        <f aca="false">IF(OR(6&lt;$D15,6&gt;INDEX(Bâtiments!$E$6:$E$15,MATCH($A15,Bâtiments!$A$6:$A$15,0))),"",ROUND($G15*(1+Paramètres!$B$10)^(6-$D15),0))</f>
        <v/>
      </c>
      <c r="N15" s="14" t="str">
        <f aca="false">IF(OR(7&lt;$D15,7&gt;INDEX(Bâtiments!$E$6:$E$15,MATCH($A15,Bâtiments!$A$6:$A$15,0))),"",ROUND($G15*(1+Paramètres!$B$10)^(7-$D15),0))</f>
        <v/>
      </c>
      <c r="O15" s="14" t="str">
        <f aca="false">IF(OR(8&lt;$D15,8&gt;INDEX(Bâtiments!$E$6:$E$15,MATCH($A15,Bâtiments!$A$6:$A$15,0))),"",ROUND($G15*(1+Paramètres!$B$10)^(8-$D15),0))</f>
        <v/>
      </c>
      <c r="P15" s="14" t="str">
        <f aca="false">IF(OR(9&lt;$D15,9&gt;INDEX(Bâtiments!$E$6:$E$15,MATCH($A15,Bâtiments!$A$6:$A$15,0))),"",ROUND($G15*(1+Paramètres!$B$10)^(9-$D15),0))</f>
        <v/>
      </c>
      <c r="Q15" s="14" t="str">
        <f aca="false">IF(OR(10&lt;$D15,10&gt;INDEX(Bâtiments!$E$6:$E$15,MATCH($A15,Bâtiments!$A$6:$A$15,0))),"",ROUND($G15*(1+Paramètres!$B$10)^(10-$D15),0))</f>
        <v/>
      </c>
      <c r="R15" s="14" t="str">
        <f aca="false">IF(OR(11&lt;$D15,11&gt;INDEX(Bâtiments!$E$6:$E$15,MATCH($A15,Bâtiments!$A$6:$A$15,0))),"",ROUND($G15*(1+Paramètres!$B$10)^(11-$D15),0))</f>
        <v/>
      </c>
      <c r="S15" s="14" t="str">
        <f aca="false">IF(OR(12&lt;$D15,12&gt;INDEX(Bâtiments!$E$6:$E$15,MATCH($A15,Bâtiments!$A$6:$A$15,0))),"",ROUND($G15*(1+Paramètres!$B$10)^(12-$D15),0))</f>
        <v/>
      </c>
      <c r="T15" s="14" t="str">
        <f aca="false">IF(OR(13&lt;$D15,13&gt;INDEX(Bâtiments!$E$6:$E$15,MATCH($A15,Bâtiments!$A$6:$A$15,0))),"",ROUND($G15*(1+Paramètres!$B$10)^(13-$D15),0))</f>
        <v/>
      </c>
      <c r="U15" s="14" t="str">
        <f aca="false">IF(OR(14&lt;$D15,14&gt;INDEX(Bâtiments!$E$6:$E$15,MATCH($A15,Bâtiments!$A$6:$A$15,0))),"",ROUND($G15*(1+Paramètres!$B$10)^(14-$D15),0))</f>
        <v/>
      </c>
      <c r="V15" s="14" t="str">
        <f aca="false">IF(OR(15&lt;$D15,15&gt;INDEX(Bâtiments!$E$6:$E$15,MATCH($A15,Bâtiments!$A$6:$A$15,0))),"",ROUND($G15*(1+Paramètres!$B$10)^(15-$D15),0))</f>
        <v/>
      </c>
      <c r="W15" s="14" t="str">
        <f aca="false">IF(OR(16&lt;$D15,16&gt;INDEX(Bâtiments!$E$6:$E$15,MATCH($A15,Bâtiments!$A$6:$A$15,0))),"",ROUND($G15*(1+Paramètres!$B$10)^(16-$D15),0))</f>
        <v/>
      </c>
      <c r="X15" s="14" t="str">
        <f aca="false">IF(OR(17&lt;$D15,17&gt;INDEX(Bâtiments!$E$6:$E$15,MATCH($A15,Bâtiments!$A$6:$A$15,0))),"",ROUND($G15*(1+Paramètres!$B$10)^(17-$D15),0))</f>
        <v/>
      </c>
      <c r="Y15" s="14" t="str">
        <f aca="false">IF(OR(18&lt;$D15,18&gt;INDEX(Bâtiments!$E$6:$E$15,MATCH($A15,Bâtiments!$A$6:$A$15,0))),"",ROUND($G15*(1+Paramètres!$B$10)^(18-$D15),0))</f>
        <v/>
      </c>
      <c r="Z15" s="14" t="str">
        <f aca="false">IF(OR(19&lt;$D15,19&gt;INDEX(Bâtiments!$E$6:$E$15,MATCH($A15,Bâtiments!$A$6:$A$15,0))),"",ROUND($G15*(1+Paramètres!$B$10)^(19-$D15),0))</f>
        <v/>
      </c>
      <c r="AA15" s="14" t="str">
        <f aca="false">IF(OR(20&lt;$D15,20&gt;INDEX(Bâtiments!$E$6:$E$15,MATCH($A15,Bâtiments!$A$6:$A$15,0))),"",ROUND($G15*(1+Paramètres!$B$10)^(20-$D15),0))</f>
        <v/>
      </c>
      <c r="AB15" s="14" t="n">
        <f aca="false">IF(OR(21&lt;$D15,21&gt;INDEX(Bâtiments!$E$6:$E$15,MATCH($A15,Bâtiments!$A$6:$A$15,0))),"",ROUND($G15*(1+Paramètres!$B$10)^(21-$D15),0))</f>
        <v>300</v>
      </c>
      <c r="AC15" s="14" t="n">
        <f aca="false">IF(OR(22&lt;$D15,22&gt;INDEX(Bâtiments!$E$6:$E$15,MATCH($A15,Bâtiments!$A$6:$A$15,0))),"",ROUND($G15*(1+Paramètres!$B$10)^(22-$D15),0))</f>
        <v>336</v>
      </c>
      <c r="AD15" s="14" t="n">
        <f aca="false">IF(OR(23&lt;$D15,23&gt;INDEX(Bâtiments!$E$6:$E$15,MATCH($A15,Bâtiments!$A$6:$A$15,0))),"",ROUND($G15*(1+Paramètres!$B$10)^(23-$D15),0))</f>
        <v>376</v>
      </c>
      <c r="AE15" s="14" t="n">
        <f aca="false">IF(OR(24&lt;$D15,24&gt;INDEX(Bâtiments!$E$6:$E$15,MATCH($A15,Bâtiments!$A$6:$A$15,0))),"",ROUND($G15*(1+Paramètres!$B$10)^(24-$D15),0))</f>
        <v>421</v>
      </c>
      <c r="AF15" s="14" t="n">
        <f aca="false">IF(OR(25&lt;$D15,25&gt;INDEX(Bâtiments!$E$6:$E$15,MATCH($A15,Bâtiments!$A$6:$A$15,0))),"",ROUND($G15*(1+Paramètres!$B$10)^(25-$D15),0))</f>
        <v>472</v>
      </c>
      <c r="AG15" s="15" t="n">
        <f aca="false">INDEX(Bâtiments!$E$6:$E$15,MATCH($A15,Bâtiments!$A$6:$A$15,0))</f>
        <v>25</v>
      </c>
      <c r="AH15" s="16" t="n">
        <f aca="false">ROUND($G15*(1+Paramètres!$B$10)^(AG15-$D15),0)</f>
        <v>472</v>
      </c>
      <c r="AI15" s="14" t="n">
        <f aca="false">AH15*Paramètres!$B$11</f>
        <v>3776</v>
      </c>
    </row>
    <row r="16" customFormat="false" ht="15" hidden="false" customHeight="false" outlineLevel="0" collapsed="false">
      <c r="A16" s="8" t="s">
        <v>61</v>
      </c>
      <c r="B16" s="7" t="s">
        <v>137</v>
      </c>
      <c r="C16" s="9" t="n">
        <v>1</v>
      </c>
      <c r="D16" s="9" t="n">
        <v>1</v>
      </c>
      <c r="E16" s="9" t="n">
        <v>0</v>
      </c>
      <c r="F16" s="13" t="s">
        <v>138</v>
      </c>
      <c r="G16" s="14" t="n">
        <f aca="false">INDEX(Paramètres!$B$5:$B$9,$C16)</f>
        <v>60</v>
      </c>
      <c r="H16" s="14" t="n">
        <f aca="false">IF(OR(1&lt;$D16,1&gt;INDEX(Bâtiments!$E$6:$E$15,MATCH($A16,Bâtiments!$A$6:$A$15,0))),"",ROUND($G16*(1+Paramètres!$B$10)^(1-$D16),0))</f>
        <v>60</v>
      </c>
      <c r="I16" s="14" t="n">
        <f aca="false">IF(OR(2&lt;$D16,2&gt;INDEX(Bâtiments!$E$6:$E$15,MATCH($A16,Bâtiments!$A$6:$A$15,0))),"",ROUND($G16*(1+Paramètres!$B$10)^(2-$D16),0))</f>
        <v>67</v>
      </c>
      <c r="J16" s="14" t="n">
        <f aca="false">IF(OR(3&lt;$D16,3&gt;INDEX(Bâtiments!$E$6:$E$15,MATCH($A16,Bâtiments!$A$6:$A$15,0))),"",ROUND($G16*(1+Paramètres!$B$10)^(3-$D16),0))</f>
        <v>75</v>
      </c>
      <c r="K16" s="14" t="n">
        <f aca="false">IF(OR(4&lt;$D16,4&gt;INDEX(Bâtiments!$E$6:$E$15,MATCH($A16,Bâtiments!$A$6:$A$15,0))),"",ROUND($G16*(1+Paramètres!$B$10)^(4-$D16),0))</f>
        <v>84</v>
      </c>
      <c r="L16" s="14" t="n">
        <f aca="false">IF(OR(5&lt;$D16,5&gt;INDEX(Bâtiments!$E$6:$E$15,MATCH($A16,Bâtiments!$A$6:$A$15,0))),"",ROUND($G16*(1+Paramètres!$B$10)^(5-$D16),0))</f>
        <v>94</v>
      </c>
      <c r="M16" s="14" t="n">
        <f aca="false">IF(OR(6&lt;$D16,6&gt;INDEX(Bâtiments!$E$6:$E$15,MATCH($A16,Bâtiments!$A$6:$A$15,0))),"",ROUND($G16*(1+Paramètres!$B$10)^(6-$D16),0))</f>
        <v>106</v>
      </c>
      <c r="N16" s="14" t="n">
        <f aca="false">IF(OR(7&lt;$D16,7&gt;INDEX(Bâtiments!$E$6:$E$15,MATCH($A16,Bâtiments!$A$6:$A$15,0))),"",ROUND($G16*(1+Paramètres!$B$10)^(7-$D16),0))</f>
        <v>118</v>
      </c>
      <c r="O16" s="14" t="n">
        <f aca="false">IF(OR(8&lt;$D16,8&gt;INDEX(Bâtiments!$E$6:$E$15,MATCH($A16,Bâtiments!$A$6:$A$15,0))),"",ROUND($G16*(1+Paramètres!$B$10)^(8-$D16),0))</f>
        <v>133</v>
      </c>
      <c r="P16" s="14" t="n">
        <f aca="false">IF(OR(9&lt;$D16,9&gt;INDEX(Bâtiments!$E$6:$E$15,MATCH($A16,Bâtiments!$A$6:$A$15,0))),"",ROUND($G16*(1+Paramètres!$B$10)^(9-$D16),0))</f>
        <v>149</v>
      </c>
      <c r="Q16" s="14" t="n">
        <f aca="false">IF(OR(10&lt;$D16,10&gt;INDEX(Bâtiments!$E$6:$E$15,MATCH($A16,Bâtiments!$A$6:$A$15,0))),"",ROUND($G16*(1+Paramètres!$B$10)^(10-$D16),0))</f>
        <v>166</v>
      </c>
      <c r="R16" s="14" t="n">
        <f aca="false">IF(OR(11&lt;$D16,11&gt;INDEX(Bâtiments!$E$6:$E$15,MATCH($A16,Bâtiments!$A$6:$A$15,0))),"",ROUND($G16*(1+Paramètres!$B$10)^(11-$D16),0))</f>
        <v>186</v>
      </c>
      <c r="S16" s="14" t="n">
        <f aca="false">IF(OR(12&lt;$D16,12&gt;INDEX(Bâtiments!$E$6:$E$15,MATCH($A16,Bâtiments!$A$6:$A$15,0))),"",ROUND($G16*(1+Paramètres!$B$10)^(12-$D16),0))</f>
        <v>209</v>
      </c>
      <c r="T16" s="14" t="n">
        <f aca="false">IF(OR(13&lt;$D16,13&gt;INDEX(Bâtiments!$E$6:$E$15,MATCH($A16,Bâtiments!$A$6:$A$15,0))),"",ROUND($G16*(1+Paramètres!$B$10)^(13-$D16),0))</f>
        <v>234</v>
      </c>
      <c r="U16" s="14" t="n">
        <f aca="false">IF(OR(14&lt;$D16,14&gt;INDEX(Bâtiments!$E$6:$E$15,MATCH($A16,Bâtiments!$A$6:$A$15,0))),"",ROUND($G16*(1+Paramètres!$B$10)^(14-$D16),0))</f>
        <v>262</v>
      </c>
      <c r="V16" s="14" t="n">
        <f aca="false">IF(OR(15&lt;$D16,15&gt;INDEX(Bâtiments!$E$6:$E$15,MATCH($A16,Bâtiments!$A$6:$A$15,0))),"",ROUND($G16*(1+Paramètres!$B$10)^(15-$D16),0))</f>
        <v>293</v>
      </c>
      <c r="W16" s="14" t="n">
        <f aca="false">IF(OR(16&lt;$D16,16&gt;INDEX(Bâtiments!$E$6:$E$15,MATCH($A16,Bâtiments!$A$6:$A$15,0))),"",ROUND($G16*(1+Paramètres!$B$10)^(16-$D16),0))</f>
        <v>328</v>
      </c>
      <c r="X16" s="14" t="n">
        <f aca="false">IF(OR(17&lt;$D16,17&gt;INDEX(Bâtiments!$E$6:$E$15,MATCH($A16,Bâtiments!$A$6:$A$15,0))),"",ROUND($G16*(1+Paramètres!$B$10)^(17-$D16),0))</f>
        <v>368</v>
      </c>
      <c r="Y16" s="14" t="n">
        <f aca="false">IF(OR(18&lt;$D16,18&gt;INDEX(Bâtiments!$E$6:$E$15,MATCH($A16,Bâtiments!$A$6:$A$15,0))),"",ROUND($G16*(1+Paramètres!$B$10)^(18-$D16),0))</f>
        <v>412</v>
      </c>
      <c r="Z16" s="14" t="n">
        <f aca="false">IF(OR(19&lt;$D16,19&gt;INDEX(Bâtiments!$E$6:$E$15,MATCH($A16,Bâtiments!$A$6:$A$15,0))),"",ROUND($G16*(1+Paramètres!$B$10)^(19-$D16),0))</f>
        <v>461</v>
      </c>
      <c r="AA16" s="14" t="n">
        <f aca="false">IF(OR(20&lt;$D16,20&gt;INDEX(Bâtiments!$E$6:$E$15,MATCH($A16,Bâtiments!$A$6:$A$15,0))),"",ROUND($G16*(1+Paramètres!$B$10)^(20-$D16),0))</f>
        <v>517</v>
      </c>
      <c r="AB16" s="14" t="str">
        <f aca="false">IF(OR(21&lt;$D16,21&gt;INDEX(Bâtiments!$E$6:$E$15,MATCH($A16,Bâtiments!$A$6:$A$15,0))),"",ROUND($G16*(1+Paramètres!$B$10)^(21-$D16),0))</f>
        <v/>
      </c>
      <c r="AC16" s="14" t="str">
        <f aca="false">IF(OR(22&lt;$D16,22&gt;INDEX(Bâtiments!$E$6:$E$15,MATCH($A16,Bâtiments!$A$6:$A$15,0))),"",ROUND($G16*(1+Paramètres!$B$10)^(22-$D16),0))</f>
        <v/>
      </c>
      <c r="AD16" s="14" t="str">
        <f aca="false">IF(OR(23&lt;$D16,23&gt;INDEX(Bâtiments!$E$6:$E$15,MATCH($A16,Bâtiments!$A$6:$A$15,0))),"",ROUND($G16*(1+Paramètres!$B$10)^(23-$D16),0))</f>
        <v/>
      </c>
      <c r="AE16" s="14" t="str">
        <f aca="false">IF(OR(24&lt;$D16,24&gt;INDEX(Bâtiments!$E$6:$E$15,MATCH($A16,Bâtiments!$A$6:$A$15,0))),"",ROUND($G16*(1+Paramètres!$B$10)^(24-$D16),0))</f>
        <v/>
      </c>
      <c r="AF16" s="14" t="str">
        <f aca="false">IF(OR(25&lt;$D16,25&gt;INDEX(Bâtiments!$E$6:$E$15,MATCH($A16,Bâtiments!$A$6:$A$15,0))),"",ROUND($G16*(1+Paramètres!$B$10)^(25-$D16),0))</f>
        <v/>
      </c>
      <c r="AG16" s="15" t="n">
        <f aca="false">INDEX(Bâtiments!$E$6:$E$15,MATCH($A16,Bâtiments!$A$6:$A$15,0))</f>
        <v>20</v>
      </c>
      <c r="AH16" s="16" t="n">
        <f aca="false">ROUND($G16*(1+Paramètres!$B$10)^(AG16-$D16),0)</f>
        <v>517</v>
      </c>
      <c r="AI16" s="14" t="n">
        <f aca="false">AH16*Paramètres!$B$11</f>
        <v>4136</v>
      </c>
    </row>
    <row r="17" customFormat="false" ht="15" hidden="false" customHeight="false" outlineLevel="0" collapsed="false">
      <c r="A17" s="8" t="s">
        <v>61</v>
      </c>
      <c r="B17" s="7" t="s">
        <v>139</v>
      </c>
      <c r="C17" s="9" t="n">
        <v>3</v>
      </c>
      <c r="D17" s="9" t="n">
        <v>6</v>
      </c>
      <c r="E17" s="9" t="n">
        <v>30</v>
      </c>
      <c r="F17" s="13" t="s">
        <v>140</v>
      </c>
      <c r="G17" s="14" t="n">
        <f aca="false">INDEX(Paramètres!$B$5:$B$9,$C17)</f>
        <v>135</v>
      </c>
      <c r="H17" s="14" t="str">
        <f aca="false">IF(OR(1&lt;$D17,1&gt;INDEX(Bâtiments!$E$6:$E$15,MATCH($A17,Bâtiments!$A$6:$A$15,0))),"",ROUND($G17*(1+Paramètres!$B$10)^(1-$D17),0))</f>
        <v/>
      </c>
      <c r="I17" s="14" t="str">
        <f aca="false">IF(OR(2&lt;$D17,2&gt;INDEX(Bâtiments!$E$6:$E$15,MATCH($A17,Bâtiments!$A$6:$A$15,0))),"",ROUND($G17*(1+Paramètres!$B$10)^(2-$D17),0))</f>
        <v/>
      </c>
      <c r="J17" s="14" t="str">
        <f aca="false">IF(OR(3&lt;$D17,3&gt;INDEX(Bâtiments!$E$6:$E$15,MATCH($A17,Bâtiments!$A$6:$A$15,0))),"",ROUND($G17*(1+Paramètres!$B$10)^(3-$D17),0))</f>
        <v/>
      </c>
      <c r="K17" s="14" t="str">
        <f aca="false">IF(OR(4&lt;$D17,4&gt;INDEX(Bâtiments!$E$6:$E$15,MATCH($A17,Bâtiments!$A$6:$A$15,0))),"",ROUND($G17*(1+Paramètres!$B$10)^(4-$D17),0))</f>
        <v/>
      </c>
      <c r="L17" s="14" t="str">
        <f aca="false">IF(OR(5&lt;$D17,5&gt;INDEX(Bâtiments!$E$6:$E$15,MATCH($A17,Bâtiments!$A$6:$A$15,0))),"",ROUND($G17*(1+Paramètres!$B$10)^(5-$D17),0))</f>
        <v/>
      </c>
      <c r="M17" s="14" t="n">
        <f aca="false">IF(OR(6&lt;$D17,6&gt;INDEX(Bâtiments!$E$6:$E$15,MATCH($A17,Bâtiments!$A$6:$A$15,0))),"",ROUND($G17*(1+Paramètres!$B$10)^(6-$D17),0))</f>
        <v>135</v>
      </c>
      <c r="N17" s="14" t="n">
        <f aca="false">IF(OR(7&lt;$D17,7&gt;INDEX(Bâtiments!$E$6:$E$15,MATCH($A17,Bâtiments!$A$6:$A$15,0))),"",ROUND($G17*(1+Paramètres!$B$10)^(7-$D17),0))</f>
        <v>151</v>
      </c>
      <c r="O17" s="14" t="n">
        <f aca="false">IF(OR(8&lt;$D17,8&gt;INDEX(Bâtiments!$E$6:$E$15,MATCH($A17,Bâtiments!$A$6:$A$15,0))),"",ROUND($G17*(1+Paramètres!$B$10)^(8-$D17),0))</f>
        <v>169</v>
      </c>
      <c r="P17" s="14" t="n">
        <f aca="false">IF(OR(9&lt;$D17,9&gt;INDEX(Bâtiments!$E$6:$E$15,MATCH($A17,Bâtiments!$A$6:$A$15,0))),"",ROUND($G17*(1+Paramètres!$B$10)^(9-$D17),0))</f>
        <v>190</v>
      </c>
      <c r="Q17" s="14" t="n">
        <f aca="false">IF(OR(10&lt;$D17,10&gt;INDEX(Bâtiments!$E$6:$E$15,MATCH($A17,Bâtiments!$A$6:$A$15,0))),"",ROUND($G17*(1+Paramètres!$B$10)^(10-$D17),0))</f>
        <v>212</v>
      </c>
      <c r="R17" s="14" t="n">
        <f aca="false">IF(OR(11&lt;$D17,11&gt;INDEX(Bâtiments!$E$6:$E$15,MATCH($A17,Bâtiments!$A$6:$A$15,0))),"",ROUND($G17*(1+Paramètres!$B$10)^(11-$D17),0))</f>
        <v>238</v>
      </c>
      <c r="S17" s="14" t="n">
        <f aca="false">IF(OR(12&lt;$D17,12&gt;INDEX(Bâtiments!$E$6:$E$15,MATCH($A17,Bâtiments!$A$6:$A$15,0))),"",ROUND($G17*(1+Paramètres!$B$10)^(12-$D17),0))</f>
        <v>266</v>
      </c>
      <c r="T17" s="14" t="n">
        <f aca="false">IF(OR(13&lt;$D17,13&gt;INDEX(Bâtiments!$E$6:$E$15,MATCH($A17,Bâtiments!$A$6:$A$15,0))),"",ROUND($G17*(1+Paramètres!$B$10)^(13-$D17),0))</f>
        <v>298</v>
      </c>
      <c r="U17" s="14" t="n">
        <f aca="false">IF(OR(14&lt;$D17,14&gt;INDEX(Bâtiments!$E$6:$E$15,MATCH($A17,Bâtiments!$A$6:$A$15,0))),"",ROUND($G17*(1+Paramètres!$B$10)^(14-$D17),0))</f>
        <v>334</v>
      </c>
      <c r="V17" s="14" t="n">
        <f aca="false">IF(OR(15&lt;$D17,15&gt;INDEX(Bâtiments!$E$6:$E$15,MATCH($A17,Bâtiments!$A$6:$A$15,0))),"",ROUND($G17*(1+Paramètres!$B$10)^(15-$D17),0))</f>
        <v>374</v>
      </c>
      <c r="W17" s="14" t="n">
        <f aca="false">IF(OR(16&lt;$D17,16&gt;INDEX(Bâtiments!$E$6:$E$15,MATCH($A17,Bâtiments!$A$6:$A$15,0))),"",ROUND($G17*(1+Paramètres!$B$10)^(16-$D17),0))</f>
        <v>419</v>
      </c>
      <c r="X17" s="14" t="n">
        <f aca="false">IF(OR(17&lt;$D17,17&gt;INDEX(Bâtiments!$E$6:$E$15,MATCH($A17,Bâtiments!$A$6:$A$15,0))),"",ROUND($G17*(1+Paramètres!$B$10)^(17-$D17),0))</f>
        <v>470</v>
      </c>
      <c r="Y17" s="14" t="n">
        <f aca="false">IF(OR(18&lt;$D17,18&gt;INDEX(Bâtiments!$E$6:$E$15,MATCH($A17,Bâtiments!$A$6:$A$15,0))),"",ROUND($G17*(1+Paramètres!$B$10)^(18-$D17),0))</f>
        <v>526</v>
      </c>
      <c r="Z17" s="14" t="n">
        <f aca="false">IF(OR(19&lt;$D17,19&gt;INDEX(Bâtiments!$E$6:$E$15,MATCH($A17,Bâtiments!$A$6:$A$15,0))),"",ROUND($G17*(1+Paramètres!$B$10)^(19-$D17),0))</f>
        <v>589</v>
      </c>
      <c r="AA17" s="14" t="n">
        <f aca="false">IF(OR(20&lt;$D17,20&gt;INDEX(Bâtiments!$E$6:$E$15,MATCH($A17,Bâtiments!$A$6:$A$15,0))),"",ROUND($G17*(1+Paramètres!$B$10)^(20-$D17),0))</f>
        <v>660</v>
      </c>
      <c r="AB17" s="14" t="str">
        <f aca="false">IF(OR(21&lt;$D17,21&gt;INDEX(Bâtiments!$E$6:$E$15,MATCH($A17,Bâtiments!$A$6:$A$15,0))),"",ROUND($G17*(1+Paramètres!$B$10)^(21-$D17),0))</f>
        <v/>
      </c>
      <c r="AC17" s="14" t="str">
        <f aca="false">IF(OR(22&lt;$D17,22&gt;INDEX(Bâtiments!$E$6:$E$15,MATCH($A17,Bâtiments!$A$6:$A$15,0))),"",ROUND($G17*(1+Paramètres!$B$10)^(22-$D17),0))</f>
        <v/>
      </c>
      <c r="AD17" s="14" t="str">
        <f aca="false">IF(OR(23&lt;$D17,23&gt;INDEX(Bâtiments!$E$6:$E$15,MATCH($A17,Bâtiments!$A$6:$A$15,0))),"",ROUND($G17*(1+Paramètres!$B$10)^(23-$D17),0))</f>
        <v/>
      </c>
      <c r="AE17" s="14" t="str">
        <f aca="false">IF(OR(24&lt;$D17,24&gt;INDEX(Bâtiments!$E$6:$E$15,MATCH($A17,Bâtiments!$A$6:$A$15,0))),"",ROUND($G17*(1+Paramètres!$B$10)^(24-$D17),0))</f>
        <v/>
      </c>
      <c r="AF17" s="14" t="str">
        <f aca="false">IF(OR(25&lt;$D17,25&gt;INDEX(Bâtiments!$E$6:$E$15,MATCH($A17,Bâtiments!$A$6:$A$15,0))),"",ROUND($G17*(1+Paramètres!$B$10)^(25-$D17),0))</f>
        <v/>
      </c>
      <c r="AG17" s="15" t="n">
        <f aca="false">INDEX(Bâtiments!$E$6:$E$15,MATCH($A17,Bâtiments!$A$6:$A$15,0))</f>
        <v>20</v>
      </c>
      <c r="AH17" s="16" t="n">
        <f aca="false">ROUND($G17*(1+Paramètres!$B$10)^(AG17-$D17),0)</f>
        <v>660</v>
      </c>
      <c r="AI17" s="14" t="n">
        <f aca="false">AH17*Paramètres!$B$11</f>
        <v>5280</v>
      </c>
    </row>
    <row r="18" customFormat="false" ht="15" hidden="false" customHeight="false" outlineLevel="0" collapsed="false">
      <c r="A18" s="8" t="s">
        <v>61</v>
      </c>
      <c r="B18" s="7" t="s">
        <v>141</v>
      </c>
      <c r="C18" s="9" t="n">
        <v>4</v>
      </c>
      <c r="D18" s="9" t="n">
        <v>11</v>
      </c>
      <c r="E18" s="9" t="n">
        <v>50</v>
      </c>
      <c r="F18" s="13" t="s">
        <v>142</v>
      </c>
      <c r="G18" s="14" t="n">
        <f aca="false">INDEX(Paramètres!$B$5:$B$9,$C18)</f>
        <v>200</v>
      </c>
      <c r="H18" s="14" t="str">
        <f aca="false">IF(OR(1&lt;$D18,1&gt;INDEX(Bâtiments!$E$6:$E$15,MATCH($A18,Bâtiments!$A$6:$A$15,0))),"",ROUND($G18*(1+Paramètres!$B$10)^(1-$D18),0))</f>
        <v/>
      </c>
      <c r="I18" s="14" t="str">
        <f aca="false">IF(OR(2&lt;$D18,2&gt;INDEX(Bâtiments!$E$6:$E$15,MATCH($A18,Bâtiments!$A$6:$A$15,0))),"",ROUND($G18*(1+Paramètres!$B$10)^(2-$D18),0))</f>
        <v/>
      </c>
      <c r="J18" s="14" t="str">
        <f aca="false">IF(OR(3&lt;$D18,3&gt;INDEX(Bâtiments!$E$6:$E$15,MATCH($A18,Bâtiments!$A$6:$A$15,0))),"",ROUND($G18*(1+Paramètres!$B$10)^(3-$D18),0))</f>
        <v/>
      </c>
      <c r="K18" s="14" t="str">
        <f aca="false">IF(OR(4&lt;$D18,4&gt;INDEX(Bâtiments!$E$6:$E$15,MATCH($A18,Bâtiments!$A$6:$A$15,0))),"",ROUND($G18*(1+Paramètres!$B$10)^(4-$D18),0))</f>
        <v/>
      </c>
      <c r="L18" s="14" t="str">
        <f aca="false">IF(OR(5&lt;$D18,5&gt;INDEX(Bâtiments!$E$6:$E$15,MATCH($A18,Bâtiments!$A$6:$A$15,0))),"",ROUND($G18*(1+Paramètres!$B$10)^(5-$D18),0))</f>
        <v/>
      </c>
      <c r="M18" s="14" t="str">
        <f aca="false">IF(OR(6&lt;$D18,6&gt;INDEX(Bâtiments!$E$6:$E$15,MATCH($A18,Bâtiments!$A$6:$A$15,0))),"",ROUND($G18*(1+Paramètres!$B$10)^(6-$D18),0))</f>
        <v/>
      </c>
      <c r="N18" s="14" t="str">
        <f aca="false">IF(OR(7&lt;$D18,7&gt;INDEX(Bâtiments!$E$6:$E$15,MATCH($A18,Bâtiments!$A$6:$A$15,0))),"",ROUND($G18*(1+Paramètres!$B$10)^(7-$D18),0))</f>
        <v/>
      </c>
      <c r="O18" s="14" t="str">
        <f aca="false">IF(OR(8&lt;$D18,8&gt;INDEX(Bâtiments!$E$6:$E$15,MATCH($A18,Bâtiments!$A$6:$A$15,0))),"",ROUND($G18*(1+Paramètres!$B$10)^(8-$D18),0))</f>
        <v/>
      </c>
      <c r="P18" s="14" t="str">
        <f aca="false">IF(OR(9&lt;$D18,9&gt;INDEX(Bâtiments!$E$6:$E$15,MATCH($A18,Bâtiments!$A$6:$A$15,0))),"",ROUND($G18*(1+Paramètres!$B$10)^(9-$D18),0))</f>
        <v/>
      </c>
      <c r="Q18" s="14" t="str">
        <f aca="false">IF(OR(10&lt;$D18,10&gt;INDEX(Bâtiments!$E$6:$E$15,MATCH($A18,Bâtiments!$A$6:$A$15,0))),"",ROUND($G18*(1+Paramètres!$B$10)^(10-$D18),0))</f>
        <v/>
      </c>
      <c r="R18" s="14" t="n">
        <f aca="false">IF(OR(11&lt;$D18,11&gt;INDEX(Bâtiments!$E$6:$E$15,MATCH($A18,Bâtiments!$A$6:$A$15,0))),"",ROUND($G18*(1+Paramètres!$B$10)^(11-$D18),0))</f>
        <v>200</v>
      </c>
      <c r="S18" s="14" t="n">
        <f aca="false">IF(OR(12&lt;$D18,12&gt;INDEX(Bâtiments!$E$6:$E$15,MATCH($A18,Bâtiments!$A$6:$A$15,0))),"",ROUND($G18*(1+Paramètres!$B$10)^(12-$D18),0))</f>
        <v>224</v>
      </c>
      <c r="T18" s="14" t="n">
        <f aca="false">IF(OR(13&lt;$D18,13&gt;INDEX(Bâtiments!$E$6:$E$15,MATCH($A18,Bâtiments!$A$6:$A$15,0))),"",ROUND($G18*(1+Paramètres!$B$10)^(13-$D18),0))</f>
        <v>251</v>
      </c>
      <c r="U18" s="14" t="n">
        <f aca="false">IF(OR(14&lt;$D18,14&gt;INDEX(Bâtiments!$E$6:$E$15,MATCH($A18,Bâtiments!$A$6:$A$15,0))),"",ROUND($G18*(1+Paramètres!$B$10)^(14-$D18),0))</f>
        <v>281</v>
      </c>
      <c r="V18" s="14" t="n">
        <f aca="false">IF(OR(15&lt;$D18,15&gt;INDEX(Bâtiments!$E$6:$E$15,MATCH($A18,Bâtiments!$A$6:$A$15,0))),"",ROUND($G18*(1+Paramètres!$B$10)^(15-$D18),0))</f>
        <v>315</v>
      </c>
      <c r="W18" s="14" t="n">
        <f aca="false">IF(OR(16&lt;$D18,16&gt;INDEX(Bâtiments!$E$6:$E$15,MATCH($A18,Bâtiments!$A$6:$A$15,0))),"",ROUND($G18*(1+Paramètres!$B$10)^(16-$D18),0))</f>
        <v>352</v>
      </c>
      <c r="X18" s="14" t="n">
        <f aca="false">IF(OR(17&lt;$D18,17&gt;INDEX(Bâtiments!$E$6:$E$15,MATCH($A18,Bâtiments!$A$6:$A$15,0))),"",ROUND($G18*(1+Paramètres!$B$10)^(17-$D18),0))</f>
        <v>395</v>
      </c>
      <c r="Y18" s="14" t="n">
        <f aca="false">IF(OR(18&lt;$D18,18&gt;INDEX(Bâtiments!$E$6:$E$15,MATCH($A18,Bâtiments!$A$6:$A$15,0))),"",ROUND($G18*(1+Paramètres!$B$10)^(18-$D18),0))</f>
        <v>442</v>
      </c>
      <c r="Z18" s="14" t="n">
        <f aca="false">IF(OR(19&lt;$D18,19&gt;INDEX(Bâtiments!$E$6:$E$15,MATCH($A18,Bâtiments!$A$6:$A$15,0))),"",ROUND($G18*(1+Paramètres!$B$10)^(19-$D18),0))</f>
        <v>495</v>
      </c>
      <c r="AA18" s="14" t="n">
        <f aca="false">IF(OR(20&lt;$D18,20&gt;INDEX(Bâtiments!$E$6:$E$15,MATCH($A18,Bâtiments!$A$6:$A$15,0))),"",ROUND($G18*(1+Paramètres!$B$10)^(20-$D18),0))</f>
        <v>555</v>
      </c>
      <c r="AB18" s="14" t="str">
        <f aca="false">IF(OR(21&lt;$D18,21&gt;INDEX(Bâtiments!$E$6:$E$15,MATCH($A18,Bâtiments!$A$6:$A$15,0))),"",ROUND($G18*(1+Paramètres!$B$10)^(21-$D18),0))</f>
        <v/>
      </c>
      <c r="AC18" s="14" t="str">
        <f aca="false">IF(OR(22&lt;$D18,22&gt;INDEX(Bâtiments!$E$6:$E$15,MATCH($A18,Bâtiments!$A$6:$A$15,0))),"",ROUND($G18*(1+Paramètres!$B$10)^(22-$D18),0))</f>
        <v/>
      </c>
      <c r="AD18" s="14" t="str">
        <f aca="false">IF(OR(23&lt;$D18,23&gt;INDEX(Bâtiments!$E$6:$E$15,MATCH($A18,Bâtiments!$A$6:$A$15,0))),"",ROUND($G18*(1+Paramètres!$B$10)^(23-$D18),0))</f>
        <v/>
      </c>
      <c r="AE18" s="14" t="str">
        <f aca="false">IF(OR(24&lt;$D18,24&gt;INDEX(Bâtiments!$E$6:$E$15,MATCH($A18,Bâtiments!$A$6:$A$15,0))),"",ROUND($G18*(1+Paramètres!$B$10)^(24-$D18),0))</f>
        <v/>
      </c>
      <c r="AF18" s="14" t="str">
        <f aca="false">IF(OR(25&lt;$D18,25&gt;INDEX(Bâtiments!$E$6:$E$15,MATCH($A18,Bâtiments!$A$6:$A$15,0))),"",ROUND($G18*(1+Paramètres!$B$10)^(25-$D18),0))</f>
        <v/>
      </c>
      <c r="AG18" s="15" t="n">
        <f aca="false">INDEX(Bâtiments!$E$6:$E$15,MATCH($A18,Bâtiments!$A$6:$A$15,0))</f>
        <v>20</v>
      </c>
      <c r="AH18" s="16" t="n">
        <f aca="false">ROUND($G18*(1+Paramètres!$B$10)^(AG18-$D18),0)</f>
        <v>555</v>
      </c>
      <c r="AI18" s="14" t="n">
        <f aca="false">AH18*Paramètres!$B$11</f>
        <v>4440</v>
      </c>
    </row>
    <row r="19" customFormat="false" ht="15" hidden="false" customHeight="false" outlineLevel="0" collapsed="false">
      <c r="A19" s="8" t="s">
        <v>61</v>
      </c>
      <c r="B19" s="7" t="s">
        <v>143</v>
      </c>
      <c r="C19" s="9" t="n">
        <v>5</v>
      </c>
      <c r="D19" s="9" t="n">
        <v>16</v>
      </c>
      <c r="E19" s="9" t="n">
        <v>70</v>
      </c>
      <c r="F19" s="13" t="s">
        <v>144</v>
      </c>
      <c r="G19" s="14" t="n">
        <f aca="false">INDEX(Paramètres!$B$5:$B$9,$C19)</f>
        <v>300</v>
      </c>
      <c r="H19" s="14" t="str">
        <f aca="false">IF(OR(1&lt;$D19,1&gt;INDEX(Bâtiments!$E$6:$E$15,MATCH($A19,Bâtiments!$A$6:$A$15,0))),"",ROUND($G19*(1+Paramètres!$B$10)^(1-$D19),0))</f>
        <v/>
      </c>
      <c r="I19" s="14" t="str">
        <f aca="false">IF(OR(2&lt;$D19,2&gt;INDEX(Bâtiments!$E$6:$E$15,MATCH($A19,Bâtiments!$A$6:$A$15,0))),"",ROUND($G19*(1+Paramètres!$B$10)^(2-$D19),0))</f>
        <v/>
      </c>
      <c r="J19" s="14" t="str">
        <f aca="false">IF(OR(3&lt;$D19,3&gt;INDEX(Bâtiments!$E$6:$E$15,MATCH($A19,Bâtiments!$A$6:$A$15,0))),"",ROUND($G19*(1+Paramètres!$B$10)^(3-$D19),0))</f>
        <v/>
      </c>
      <c r="K19" s="14" t="str">
        <f aca="false">IF(OR(4&lt;$D19,4&gt;INDEX(Bâtiments!$E$6:$E$15,MATCH($A19,Bâtiments!$A$6:$A$15,0))),"",ROUND($G19*(1+Paramètres!$B$10)^(4-$D19),0))</f>
        <v/>
      </c>
      <c r="L19" s="14" t="str">
        <f aca="false">IF(OR(5&lt;$D19,5&gt;INDEX(Bâtiments!$E$6:$E$15,MATCH($A19,Bâtiments!$A$6:$A$15,0))),"",ROUND($G19*(1+Paramètres!$B$10)^(5-$D19),0))</f>
        <v/>
      </c>
      <c r="M19" s="14" t="str">
        <f aca="false">IF(OR(6&lt;$D19,6&gt;INDEX(Bâtiments!$E$6:$E$15,MATCH($A19,Bâtiments!$A$6:$A$15,0))),"",ROUND($G19*(1+Paramètres!$B$10)^(6-$D19),0))</f>
        <v/>
      </c>
      <c r="N19" s="14" t="str">
        <f aca="false">IF(OR(7&lt;$D19,7&gt;INDEX(Bâtiments!$E$6:$E$15,MATCH($A19,Bâtiments!$A$6:$A$15,0))),"",ROUND($G19*(1+Paramètres!$B$10)^(7-$D19),0))</f>
        <v/>
      </c>
      <c r="O19" s="14" t="str">
        <f aca="false">IF(OR(8&lt;$D19,8&gt;INDEX(Bâtiments!$E$6:$E$15,MATCH($A19,Bâtiments!$A$6:$A$15,0))),"",ROUND($G19*(1+Paramètres!$B$10)^(8-$D19),0))</f>
        <v/>
      </c>
      <c r="P19" s="14" t="str">
        <f aca="false">IF(OR(9&lt;$D19,9&gt;INDEX(Bâtiments!$E$6:$E$15,MATCH($A19,Bâtiments!$A$6:$A$15,0))),"",ROUND($G19*(1+Paramètres!$B$10)^(9-$D19),0))</f>
        <v/>
      </c>
      <c r="Q19" s="14" t="str">
        <f aca="false">IF(OR(10&lt;$D19,10&gt;INDEX(Bâtiments!$E$6:$E$15,MATCH($A19,Bâtiments!$A$6:$A$15,0))),"",ROUND($G19*(1+Paramètres!$B$10)^(10-$D19),0))</f>
        <v/>
      </c>
      <c r="R19" s="14" t="str">
        <f aca="false">IF(OR(11&lt;$D19,11&gt;INDEX(Bâtiments!$E$6:$E$15,MATCH($A19,Bâtiments!$A$6:$A$15,0))),"",ROUND($G19*(1+Paramètres!$B$10)^(11-$D19),0))</f>
        <v/>
      </c>
      <c r="S19" s="14" t="str">
        <f aca="false">IF(OR(12&lt;$D19,12&gt;INDEX(Bâtiments!$E$6:$E$15,MATCH($A19,Bâtiments!$A$6:$A$15,0))),"",ROUND($G19*(1+Paramètres!$B$10)^(12-$D19),0))</f>
        <v/>
      </c>
      <c r="T19" s="14" t="str">
        <f aca="false">IF(OR(13&lt;$D19,13&gt;INDEX(Bâtiments!$E$6:$E$15,MATCH($A19,Bâtiments!$A$6:$A$15,0))),"",ROUND($G19*(1+Paramètres!$B$10)^(13-$D19),0))</f>
        <v/>
      </c>
      <c r="U19" s="14" t="str">
        <f aca="false">IF(OR(14&lt;$D19,14&gt;INDEX(Bâtiments!$E$6:$E$15,MATCH($A19,Bâtiments!$A$6:$A$15,0))),"",ROUND($G19*(1+Paramètres!$B$10)^(14-$D19),0))</f>
        <v/>
      </c>
      <c r="V19" s="14" t="str">
        <f aca="false">IF(OR(15&lt;$D19,15&gt;INDEX(Bâtiments!$E$6:$E$15,MATCH($A19,Bâtiments!$A$6:$A$15,0))),"",ROUND($G19*(1+Paramètres!$B$10)^(15-$D19),0))</f>
        <v/>
      </c>
      <c r="W19" s="14" t="n">
        <f aca="false">IF(OR(16&lt;$D19,16&gt;INDEX(Bâtiments!$E$6:$E$15,MATCH($A19,Bâtiments!$A$6:$A$15,0))),"",ROUND($G19*(1+Paramètres!$B$10)^(16-$D19),0))</f>
        <v>300</v>
      </c>
      <c r="X19" s="14" t="n">
        <f aca="false">IF(OR(17&lt;$D19,17&gt;INDEX(Bâtiments!$E$6:$E$15,MATCH($A19,Bâtiments!$A$6:$A$15,0))),"",ROUND($G19*(1+Paramètres!$B$10)^(17-$D19),0))</f>
        <v>336</v>
      </c>
      <c r="Y19" s="14" t="n">
        <f aca="false">IF(OR(18&lt;$D19,18&gt;INDEX(Bâtiments!$E$6:$E$15,MATCH($A19,Bâtiments!$A$6:$A$15,0))),"",ROUND($G19*(1+Paramètres!$B$10)^(18-$D19),0))</f>
        <v>376</v>
      </c>
      <c r="Z19" s="14" t="n">
        <f aca="false">IF(OR(19&lt;$D19,19&gt;INDEX(Bâtiments!$E$6:$E$15,MATCH($A19,Bâtiments!$A$6:$A$15,0))),"",ROUND($G19*(1+Paramètres!$B$10)^(19-$D19),0))</f>
        <v>421</v>
      </c>
      <c r="AA19" s="14" t="n">
        <f aca="false">IF(OR(20&lt;$D19,20&gt;INDEX(Bâtiments!$E$6:$E$15,MATCH($A19,Bâtiments!$A$6:$A$15,0))),"",ROUND($G19*(1+Paramètres!$B$10)^(20-$D19),0))</f>
        <v>472</v>
      </c>
      <c r="AB19" s="14" t="str">
        <f aca="false">IF(OR(21&lt;$D19,21&gt;INDEX(Bâtiments!$E$6:$E$15,MATCH($A19,Bâtiments!$A$6:$A$15,0))),"",ROUND($G19*(1+Paramètres!$B$10)^(21-$D19),0))</f>
        <v/>
      </c>
      <c r="AC19" s="14" t="str">
        <f aca="false">IF(OR(22&lt;$D19,22&gt;INDEX(Bâtiments!$E$6:$E$15,MATCH($A19,Bâtiments!$A$6:$A$15,0))),"",ROUND($G19*(1+Paramètres!$B$10)^(22-$D19),0))</f>
        <v/>
      </c>
      <c r="AD19" s="14" t="str">
        <f aca="false">IF(OR(23&lt;$D19,23&gt;INDEX(Bâtiments!$E$6:$E$15,MATCH($A19,Bâtiments!$A$6:$A$15,0))),"",ROUND($G19*(1+Paramètres!$B$10)^(23-$D19),0))</f>
        <v/>
      </c>
      <c r="AE19" s="14" t="str">
        <f aca="false">IF(OR(24&lt;$D19,24&gt;INDEX(Bâtiments!$E$6:$E$15,MATCH($A19,Bâtiments!$A$6:$A$15,0))),"",ROUND($G19*(1+Paramètres!$B$10)^(24-$D19),0))</f>
        <v/>
      </c>
      <c r="AF19" s="14" t="str">
        <f aca="false">IF(OR(25&lt;$D19,25&gt;INDEX(Bâtiments!$E$6:$E$15,MATCH($A19,Bâtiments!$A$6:$A$15,0))),"",ROUND($G19*(1+Paramètres!$B$10)^(25-$D19),0))</f>
        <v/>
      </c>
      <c r="AG19" s="15" t="n">
        <f aca="false">INDEX(Bâtiments!$E$6:$E$15,MATCH($A19,Bâtiments!$A$6:$A$15,0))</f>
        <v>20</v>
      </c>
      <c r="AH19" s="16" t="n">
        <f aca="false">ROUND($G19*(1+Paramètres!$B$10)^(AG19-$D19),0)</f>
        <v>472</v>
      </c>
      <c r="AI19" s="14" t="n">
        <f aca="false">AH19*Paramètres!$B$11</f>
        <v>3776</v>
      </c>
    </row>
    <row r="20" customFormat="false" ht="15" hidden="false" customHeight="false" outlineLevel="0" collapsed="false">
      <c r="A20" s="8" t="s">
        <v>61</v>
      </c>
      <c r="B20" s="7" t="s">
        <v>145</v>
      </c>
      <c r="C20" s="9" t="n">
        <v>5</v>
      </c>
      <c r="D20" s="9" t="n">
        <v>16</v>
      </c>
      <c r="E20" s="9" t="n">
        <v>70</v>
      </c>
      <c r="F20" s="13" t="s">
        <v>146</v>
      </c>
      <c r="G20" s="14" t="n">
        <f aca="false">INDEX(Paramètres!$B$5:$B$9,$C20)</f>
        <v>300</v>
      </c>
      <c r="H20" s="14" t="str">
        <f aca="false">IF(OR(1&lt;$D20,1&gt;INDEX(Bâtiments!$E$6:$E$15,MATCH($A20,Bâtiments!$A$6:$A$15,0))),"",ROUND($G20*(1+Paramètres!$B$10)^(1-$D20),0))</f>
        <v/>
      </c>
      <c r="I20" s="14" t="str">
        <f aca="false">IF(OR(2&lt;$D20,2&gt;INDEX(Bâtiments!$E$6:$E$15,MATCH($A20,Bâtiments!$A$6:$A$15,0))),"",ROUND($G20*(1+Paramètres!$B$10)^(2-$D20),0))</f>
        <v/>
      </c>
      <c r="J20" s="14" t="str">
        <f aca="false">IF(OR(3&lt;$D20,3&gt;INDEX(Bâtiments!$E$6:$E$15,MATCH($A20,Bâtiments!$A$6:$A$15,0))),"",ROUND($G20*(1+Paramètres!$B$10)^(3-$D20),0))</f>
        <v/>
      </c>
      <c r="K20" s="14" t="str">
        <f aca="false">IF(OR(4&lt;$D20,4&gt;INDEX(Bâtiments!$E$6:$E$15,MATCH($A20,Bâtiments!$A$6:$A$15,0))),"",ROUND($G20*(1+Paramètres!$B$10)^(4-$D20),0))</f>
        <v/>
      </c>
      <c r="L20" s="14" t="str">
        <f aca="false">IF(OR(5&lt;$D20,5&gt;INDEX(Bâtiments!$E$6:$E$15,MATCH($A20,Bâtiments!$A$6:$A$15,0))),"",ROUND($G20*(1+Paramètres!$B$10)^(5-$D20),0))</f>
        <v/>
      </c>
      <c r="M20" s="14" t="str">
        <f aca="false">IF(OR(6&lt;$D20,6&gt;INDEX(Bâtiments!$E$6:$E$15,MATCH($A20,Bâtiments!$A$6:$A$15,0))),"",ROUND($G20*(1+Paramètres!$B$10)^(6-$D20),0))</f>
        <v/>
      </c>
      <c r="N20" s="14" t="str">
        <f aca="false">IF(OR(7&lt;$D20,7&gt;INDEX(Bâtiments!$E$6:$E$15,MATCH($A20,Bâtiments!$A$6:$A$15,0))),"",ROUND($G20*(1+Paramètres!$B$10)^(7-$D20),0))</f>
        <v/>
      </c>
      <c r="O20" s="14" t="str">
        <f aca="false">IF(OR(8&lt;$D20,8&gt;INDEX(Bâtiments!$E$6:$E$15,MATCH($A20,Bâtiments!$A$6:$A$15,0))),"",ROUND($G20*(1+Paramètres!$B$10)^(8-$D20),0))</f>
        <v/>
      </c>
      <c r="P20" s="14" t="str">
        <f aca="false">IF(OR(9&lt;$D20,9&gt;INDEX(Bâtiments!$E$6:$E$15,MATCH($A20,Bâtiments!$A$6:$A$15,0))),"",ROUND($G20*(1+Paramètres!$B$10)^(9-$D20),0))</f>
        <v/>
      </c>
      <c r="Q20" s="14" t="str">
        <f aca="false">IF(OR(10&lt;$D20,10&gt;INDEX(Bâtiments!$E$6:$E$15,MATCH($A20,Bâtiments!$A$6:$A$15,0))),"",ROUND($G20*(1+Paramètres!$B$10)^(10-$D20),0))</f>
        <v/>
      </c>
      <c r="R20" s="14" t="str">
        <f aca="false">IF(OR(11&lt;$D20,11&gt;INDEX(Bâtiments!$E$6:$E$15,MATCH($A20,Bâtiments!$A$6:$A$15,0))),"",ROUND($G20*(1+Paramètres!$B$10)^(11-$D20),0))</f>
        <v/>
      </c>
      <c r="S20" s="14" t="str">
        <f aca="false">IF(OR(12&lt;$D20,12&gt;INDEX(Bâtiments!$E$6:$E$15,MATCH($A20,Bâtiments!$A$6:$A$15,0))),"",ROUND($G20*(1+Paramètres!$B$10)^(12-$D20),0))</f>
        <v/>
      </c>
      <c r="T20" s="14" t="str">
        <f aca="false">IF(OR(13&lt;$D20,13&gt;INDEX(Bâtiments!$E$6:$E$15,MATCH($A20,Bâtiments!$A$6:$A$15,0))),"",ROUND($G20*(1+Paramètres!$B$10)^(13-$D20),0))</f>
        <v/>
      </c>
      <c r="U20" s="14" t="str">
        <f aca="false">IF(OR(14&lt;$D20,14&gt;INDEX(Bâtiments!$E$6:$E$15,MATCH($A20,Bâtiments!$A$6:$A$15,0))),"",ROUND($G20*(1+Paramètres!$B$10)^(14-$D20),0))</f>
        <v/>
      </c>
      <c r="V20" s="14" t="str">
        <f aca="false">IF(OR(15&lt;$D20,15&gt;INDEX(Bâtiments!$E$6:$E$15,MATCH($A20,Bâtiments!$A$6:$A$15,0))),"",ROUND($G20*(1+Paramètres!$B$10)^(15-$D20),0))</f>
        <v/>
      </c>
      <c r="W20" s="14" t="n">
        <f aca="false">IF(OR(16&lt;$D20,16&gt;INDEX(Bâtiments!$E$6:$E$15,MATCH($A20,Bâtiments!$A$6:$A$15,0))),"",ROUND($G20*(1+Paramètres!$B$10)^(16-$D20),0))</f>
        <v>300</v>
      </c>
      <c r="X20" s="14" t="n">
        <f aca="false">IF(OR(17&lt;$D20,17&gt;INDEX(Bâtiments!$E$6:$E$15,MATCH($A20,Bâtiments!$A$6:$A$15,0))),"",ROUND($G20*(1+Paramètres!$B$10)^(17-$D20),0))</f>
        <v>336</v>
      </c>
      <c r="Y20" s="14" t="n">
        <f aca="false">IF(OR(18&lt;$D20,18&gt;INDEX(Bâtiments!$E$6:$E$15,MATCH($A20,Bâtiments!$A$6:$A$15,0))),"",ROUND($G20*(1+Paramètres!$B$10)^(18-$D20),0))</f>
        <v>376</v>
      </c>
      <c r="Z20" s="14" t="n">
        <f aca="false">IF(OR(19&lt;$D20,19&gt;INDEX(Bâtiments!$E$6:$E$15,MATCH($A20,Bâtiments!$A$6:$A$15,0))),"",ROUND($G20*(1+Paramètres!$B$10)^(19-$D20),0))</f>
        <v>421</v>
      </c>
      <c r="AA20" s="14" t="n">
        <f aca="false">IF(OR(20&lt;$D20,20&gt;INDEX(Bâtiments!$E$6:$E$15,MATCH($A20,Bâtiments!$A$6:$A$15,0))),"",ROUND($G20*(1+Paramètres!$B$10)^(20-$D20),0))</f>
        <v>472</v>
      </c>
      <c r="AB20" s="14" t="str">
        <f aca="false">IF(OR(21&lt;$D20,21&gt;INDEX(Bâtiments!$E$6:$E$15,MATCH($A20,Bâtiments!$A$6:$A$15,0))),"",ROUND($G20*(1+Paramètres!$B$10)^(21-$D20),0))</f>
        <v/>
      </c>
      <c r="AC20" s="14" t="str">
        <f aca="false">IF(OR(22&lt;$D20,22&gt;INDEX(Bâtiments!$E$6:$E$15,MATCH($A20,Bâtiments!$A$6:$A$15,0))),"",ROUND($G20*(1+Paramètres!$B$10)^(22-$D20),0))</f>
        <v/>
      </c>
      <c r="AD20" s="14" t="str">
        <f aca="false">IF(OR(23&lt;$D20,23&gt;INDEX(Bâtiments!$E$6:$E$15,MATCH($A20,Bâtiments!$A$6:$A$15,0))),"",ROUND($G20*(1+Paramètres!$B$10)^(23-$D20),0))</f>
        <v/>
      </c>
      <c r="AE20" s="14" t="str">
        <f aca="false">IF(OR(24&lt;$D20,24&gt;INDEX(Bâtiments!$E$6:$E$15,MATCH($A20,Bâtiments!$A$6:$A$15,0))),"",ROUND($G20*(1+Paramètres!$B$10)^(24-$D20),0))</f>
        <v/>
      </c>
      <c r="AF20" s="14" t="str">
        <f aca="false">IF(OR(25&lt;$D20,25&gt;INDEX(Bâtiments!$E$6:$E$15,MATCH($A20,Bâtiments!$A$6:$A$15,0))),"",ROUND($G20*(1+Paramètres!$B$10)^(25-$D20),0))</f>
        <v/>
      </c>
      <c r="AG20" s="15" t="n">
        <f aca="false">INDEX(Bâtiments!$E$6:$E$15,MATCH($A20,Bâtiments!$A$6:$A$15,0))</f>
        <v>20</v>
      </c>
      <c r="AH20" s="16" t="n">
        <f aca="false">ROUND($G20*(1+Paramètres!$B$10)^(AG20-$D20),0)</f>
        <v>472</v>
      </c>
      <c r="AI20" s="14" t="n">
        <f aca="false">AH20*Paramètres!$B$11</f>
        <v>3776</v>
      </c>
    </row>
    <row r="21" customFormat="false" ht="15" hidden="false" customHeight="false" outlineLevel="0" collapsed="false">
      <c r="A21" s="8" t="s">
        <v>64</v>
      </c>
      <c r="B21" s="7" t="s">
        <v>147</v>
      </c>
      <c r="C21" s="9" t="n">
        <v>2</v>
      </c>
      <c r="D21" s="9" t="n">
        <v>1</v>
      </c>
      <c r="E21" s="9" t="n">
        <v>15</v>
      </c>
      <c r="F21" s="13" t="s">
        <v>148</v>
      </c>
      <c r="G21" s="14" t="n">
        <f aca="false">INDEX(Paramètres!$B$5:$B$9,$C21)</f>
        <v>90</v>
      </c>
      <c r="H21" s="14" t="n">
        <f aca="false">IF(OR(1&lt;$D21,1&gt;INDEX(Bâtiments!$E$6:$E$15,MATCH($A21,Bâtiments!$A$6:$A$15,0))),"",ROUND($G21*(1+Paramètres!$B$10)^(1-$D21),0))</f>
        <v>90</v>
      </c>
      <c r="I21" s="14" t="n">
        <f aca="false">IF(OR(2&lt;$D21,2&gt;INDEX(Bâtiments!$E$6:$E$15,MATCH($A21,Bâtiments!$A$6:$A$15,0))),"",ROUND($G21*(1+Paramètres!$B$10)^(2-$D21),0))</f>
        <v>101</v>
      </c>
      <c r="J21" s="14" t="n">
        <f aca="false">IF(OR(3&lt;$D21,3&gt;INDEX(Bâtiments!$E$6:$E$15,MATCH($A21,Bâtiments!$A$6:$A$15,0))),"",ROUND($G21*(1+Paramètres!$B$10)^(3-$D21),0))</f>
        <v>113</v>
      </c>
      <c r="K21" s="14" t="n">
        <f aca="false">IF(OR(4&lt;$D21,4&gt;INDEX(Bâtiments!$E$6:$E$15,MATCH($A21,Bâtiments!$A$6:$A$15,0))),"",ROUND($G21*(1+Paramètres!$B$10)^(4-$D21),0))</f>
        <v>126</v>
      </c>
      <c r="L21" s="14" t="n">
        <f aca="false">IF(OR(5&lt;$D21,5&gt;INDEX(Bâtiments!$E$6:$E$15,MATCH($A21,Bâtiments!$A$6:$A$15,0))),"",ROUND($G21*(1+Paramètres!$B$10)^(5-$D21),0))</f>
        <v>142</v>
      </c>
      <c r="M21" s="14" t="n">
        <f aca="false">IF(OR(6&lt;$D21,6&gt;INDEX(Bâtiments!$E$6:$E$15,MATCH($A21,Bâtiments!$A$6:$A$15,0))),"",ROUND($G21*(1+Paramètres!$B$10)^(6-$D21),0))</f>
        <v>159</v>
      </c>
      <c r="N21" s="14" t="n">
        <f aca="false">IF(OR(7&lt;$D21,7&gt;INDEX(Bâtiments!$E$6:$E$15,MATCH($A21,Bâtiments!$A$6:$A$15,0))),"",ROUND($G21*(1+Paramètres!$B$10)^(7-$D21),0))</f>
        <v>178</v>
      </c>
      <c r="O21" s="14" t="n">
        <f aca="false">IF(OR(8&lt;$D21,8&gt;INDEX(Bâtiments!$E$6:$E$15,MATCH($A21,Bâtiments!$A$6:$A$15,0))),"",ROUND($G21*(1+Paramètres!$B$10)^(8-$D21),0))</f>
        <v>199</v>
      </c>
      <c r="P21" s="14" t="n">
        <f aca="false">IF(OR(9&lt;$D21,9&gt;INDEX(Bâtiments!$E$6:$E$15,MATCH($A21,Bâtiments!$A$6:$A$15,0))),"",ROUND($G21*(1+Paramètres!$B$10)^(9-$D21),0))</f>
        <v>223</v>
      </c>
      <c r="Q21" s="14" t="n">
        <f aca="false">IF(OR(10&lt;$D21,10&gt;INDEX(Bâtiments!$E$6:$E$15,MATCH($A21,Bâtiments!$A$6:$A$15,0))),"",ROUND($G21*(1+Paramètres!$B$10)^(10-$D21),0))</f>
        <v>250</v>
      </c>
      <c r="R21" s="14" t="n">
        <f aca="false">IF(OR(11&lt;$D21,11&gt;INDEX(Bâtiments!$E$6:$E$15,MATCH($A21,Bâtiments!$A$6:$A$15,0))),"",ROUND($G21*(1+Paramètres!$B$10)^(11-$D21),0))</f>
        <v>280</v>
      </c>
      <c r="S21" s="14" t="n">
        <f aca="false">IF(OR(12&lt;$D21,12&gt;INDEX(Bâtiments!$E$6:$E$15,MATCH($A21,Bâtiments!$A$6:$A$15,0))),"",ROUND($G21*(1+Paramètres!$B$10)^(12-$D21),0))</f>
        <v>313</v>
      </c>
      <c r="T21" s="14" t="n">
        <f aca="false">IF(OR(13&lt;$D21,13&gt;INDEX(Bâtiments!$E$6:$E$15,MATCH($A21,Bâtiments!$A$6:$A$15,0))),"",ROUND($G21*(1+Paramètres!$B$10)^(13-$D21),0))</f>
        <v>351</v>
      </c>
      <c r="U21" s="14" t="n">
        <f aca="false">IF(OR(14&lt;$D21,14&gt;INDEX(Bâtiments!$E$6:$E$15,MATCH($A21,Bâtiments!$A$6:$A$15,0))),"",ROUND($G21*(1+Paramètres!$B$10)^(14-$D21),0))</f>
        <v>393</v>
      </c>
      <c r="V21" s="14" t="n">
        <f aca="false">IF(OR(15&lt;$D21,15&gt;INDEX(Bâtiments!$E$6:$E$15,MATCH($A21,Bâtiments!$A$6:$A$15,0))),"",ROUND($G21*(1+Paramètres!$B$10)^(15-$D21),0))</f>
        <v>440</v>
      </c>
      <c r="W21" s="14" t="n">
        <f aca="false">IF(OR(16&lt;$D21,16&gt;INDEX(Bâtiments!$E$6:$E$15,MATCH($A21,Bâtiments!$A$6:$A$15,0))),"",ROUND($G21*(1+Paramètres!$B$10)^(16-$D21),0))</f>
        <v>493</v>
      </c>
      <c r="X21" s="14" t="n">
        <f aca="false">IF(OR(17&lt;$D21,17&gt;INDEX(Bâtiments!$E$6:$E$15,MATCH($A21,Bâtiments!$A$6:$A$15,0))),"",ROUND($G21*(1+Paramètres!$B$10)^(17-$D21),0))</f>
        <v>552</v>
      </c>
      <c r="Y21" s="14" t="n">
        <f aca="false">IF(OR(18&lt;$D21,18&gt;INDEX(Bâtiments!$E$6:$E$15,MATCH($A21,Bâtiments!$A$6:$A$15,0))),"",ROUND($G21*(1+Paramètres!$B$10)^(18-$D21),0))</f>
        <v>618</v>
      </c>
      <c r="Z21" s="14" t="n">
        <f aca="false">IF(OR(19&lt;$D21,19&gt;INDEX(Bâtiments!$E$6:$E$15,MATCH($A21,Bâtiments!$A$6:$A$15,0))),"",ROUND($G21*(1+Paramètres!$B$10)^(19-$D21),0))</f>
        <v>692</v>
      </c>
      <c r="AA21" s="14" t="n">
        <f aca="false">IF(OR(20&lt;$D21,20&gt;INDEX(Bâtiments!$E$6:$E$15,MATCH($A21,Bâtiments!$A$6:$A$15,0))),"",ROUND($G21*(1+Paramètres!$B$10)^(20-$D21),0))</f>
        <v>775</v>
      </c>
      <c r="AB21" s="14" t="str">
        <f aca="false">IF(OR(21&lt;$D21,21&gt;INDEX(Bâtiments!$E$6:$E$15,MATCH($A21,Bâtiments!$A$6:$A$15,0))),"",ROUND($G21*(1+Paramètres!$B$10)^(21-$D21),0))</f>
        <v/>
      </c>
      <c r="AC21" s="14" t="str">
        <f aca="false">IF(OR(22&lt;$D21,22&gt;INDEX(Bâtiments!$E$6:$E$15,MATCH($A21,Bâtiments!$A$6:$A$15,0))),"",ROUND($G21*(1+Paramètres!$B$10)^(22-$D21),0))</f>
        <v/>
      </c>
      <c r="AD21" s="14" t="str">
        <f aca="false">IF(OR(23&lt;$D21,23&gt;INDEX(Bâtiments!$E$6:$E$15,MATCH($A21,Bâtiments!$A$6:$A$15,0))),"",ROUND($G21*(1+Paramètres!$B$10)^(23-$D21),0))</f>
        <v/>
      </c>
      <c r="AE21" s="14" t="str">
        <f aca="false">IF(OR(24&lt;$D21,24&gt;INDEX(Bâtiments!$E$6:$E$15,MATCH($A21,Bâtiments!$A$6:$A$15,0))),"",ROUND($G21*(1+Paramètres!$B$10)^(24-$D21),0))</f>
        <v/>
      </c>
      <c r="AF21" s="14" t="str">
        <f aca="false">IF(OR(25&lt;$D21,25&gt;INDEX(Bâtiments!$E$6:$E$15,MATCH($A21,Bâtiments!$A$6:$A$15,0))),"",ROUND($G21*(1+Paramètres!$B$10)^(25-$D21),0))</f>
        <v/>
      </c>
      <c r="AG21" s="15" t="n">
        <f aca="false">INDEX(Bâtiments!$E$6:$E$15,MATCH($A21,Bâtiments!$A$6:$A$15,0))</f>
        <v>20</v>
      </c>
      <c r="AH21" s="16" t="n">
        <f aca="false">ROUND($G21*(1+Paramètres!$B$10)^(AG21-$D21),0)</f>
        <v>775</v>
      </c>
      <c r="AI21" s="14" t="n">
        <f aca="false">AH21*Paramètres!$B$11</f>
        <v>6200</v>
      </c>
    </row>
    <row r="22" customFormat="false" ht="15" hidden="false" customHeight="false" outlineLevel="0" collapsed="false">
      <c r="A22" s="8" t="s">
        <v>64</v>
      </c>
      <c r="B22" s="7" t="s">
        <v>149</v>
      </c>
      <c r="C22" s="9" t="n">
        <v>2</v>
      </c>
      <c r="D22" s="9" t="n">
        <v>1</v>
      </c>
      <c r="E22" s="9" t="n">
        <v>15</v>
      </c>
      <c r="F22" s="13" t="s">
        <v>150</v>
      </c>
      <c r="G22" s="14" t="n">
        <f aca="false">INDEX(Paramètres!$B$5:$B$9,$C22)</f>
        <v>90</v>
      </c>
      <c r="H22" s="14" t="n">
        <f aca="false">IF(OR(1&lt;$D22,1&gt;INDEX(Bâtiments!$E$6:$E$15,MATCH($A22,Bâtiments!$A$6:$A$15,0))),"",ROUND($G22*(1+Paramètres!$B$10)^(1-$D22),0))</f>
        <v>90</v>
      </c>
      <c r="I22" s="14" t="n">
        <f aca="false">IF(OR(2&lt;$D22,2&gt;INDEX(Bâtiments!$E$6:$E$15,MATCH($A22,Bâtiments!$A$6:$A$15,0))),"",ROUND($G22*(1+Paramètres!$B$10)^(2-$D22),0))</f>
        <v>101</v>
      </c>
      <c r="J22" s="14" t="n">
        <f aca="false">IF(OR(3&lt;$D22,3&gt;INDEX(Bâtiments!$E$6:$E$15,MATCH($A22,Bâtiments!$A$6:$A$15,0))),"",ROUND($G22*(1+Paramètres!$B$10)^(3-$D22),0))</f>
        <v>113</v>
      </c>
      <c r="K22" s="14" t="n">
        <f aca="false">IF(OR(4&lt;$D22,4&gt;INDEX(Bâtiments!$E$6:$E$15,MATCH($A22,Bâtiments!$A$6:$A$15,0))),"",ROUND($G22*(1+Paramètres!$B$10)^(4-$D22),0))</f>
        <v>126</v>
      </c>
      <c r="L22" s="14" t="n">
        <f aca="false">IF(OR(5&lt;$D22,5&gt;INDEX(Bâtiments!$E$6:$E$15,MATCH($A22,Bâtiments!$A$6:$A$15,0))),"",ROUND($G22*(1+Paramètres!$B$10)^(5-$D22),0))</f>
        <v>142</v>
      </c>
      <c r="M22" s="14" t="n">
        <f aca="false">IF(OR(6&lt;$D22,6&gt;INDEX(Bâtiments!$E$6:$E$15,MATCH($A22,Bâtiments!$A$6:$A$15,0))),"",ROUND($G22*(1+Paramètres!$B$10)^(6-$D22),0))</f>
        <v>159</v>
      </c>
      <c r="N22" s="14" t="n">
        <f aca="false">IF(OR(7&lt;$D22,7&gt;INDEX(Bâtiments!$E$6:$E$15,MATCH($A22,Bâtiments!$A$6:$A$15,0))),"",ROUND($G22*(1+Paramètres!$B$10)^(7-$D22),0))</f>
        <v>178</v>
      </c>
      <c r="O22" s="14" t="n">
        <f aca="false">IF(OR(8&lt;$D22,8&gt;INDEX(Bâtiments!$E$6:$E$15,MATCH($A22,Bâtiments!$A$6:$A$15,0))),"",ROUND($G22*(1+Paramètres!$B$10)^(8-$D22),0))</f>
        <v>199</v>
      </c>
      <c r="P22" s="14" t="n">
        <f aca="false">IF(OR(9&lt;$D22,9&gt;INDEX(Bâtiments!$E$6:$E$15,MATCH($A22,Bâtiments!$A$6:$A$15,0))),"",ROUND($G22*(1+Paramètres!$B$10)^(9-$D22),0))</f>
        <v>223</v>
      </c>
      <c r="Q22" s="14" t="n">
        <f aca="false">IF(OR(10&lt;$D22,10&gt;INDEX(Bâtiments!$E$6:$E$15,MATCH($A22,Bâtiments!$A$6:$A$15,0))),"",ROUND($G22*(1+Paramètres!$B$10)^(10-$D22),0))</f>
        <v>250</v>
      </c>
      <c r="R22" s="14" t="n">
        <f aca="false">IF(OR(11&lt;$D22,11&gt;INDEX(Bâtiments!$E$6:$E$15,MATCH($A22,Bâtiments!$A$6:$A$15,0))),"",ROUND($G22*(1+Paramètres!$B$10)^(11-$D22),0))</f>
        <v>280</v>
      </c>
      <c r="S22" s="14" t="n">
        <f aca="false">IF(OR(12&lt;$D22,12&gt;INDEX(Bâtiments!$E$6:$E$15,MATCH($A22,Bâtiments!$A$6:$A$15,0))),"",ROUND($G22*(1+Paramètres!$B$10)^(12-$D22),0))</f>
        <v>313</v>
      </c>
      <c r="T22" s="14" t="n">
        <f aca="false">IF(OR(13&lt;$D22,13&gt;INDEX(Bâtiments!$E$6:$E$15,MATCH($A22,Bâtiments!$A$6:$A$15,0))),"",ROUND($G22*(1+Paramètres!$B$10)^(13-$D22),0))</f>
        <v>351</v>
      </c>
      <c r="U22" s="14" t="n">
        <f aca="false">IF(OR(14&lt;$D22,14&gt;INDEX(Bâtiments!$E$6:$E$15,MATCH($A22,Bâtiments!$A$6:$A$15,0))),"",ROUND($G22*(1+Paramètres!$B$10)^(14-$D22),0))</f>
        <v>393</v>
      </c>
      <c r="V22" s="14" t="n">
        <f aca="false">IF(OR(15&lt;$D22,15&gt;INDEX(Bâtiments!$E$6:$E$15,MATCH($A22,Bâtiments!$A$6:$A$15,0))),"",ROUND($G22*(1+Paramètres!$B$10)^(15-$D22),0))</f>
        <v>440</v>
      </c>
      <c r="W22" s="14" t="n">
        <f aca="false">IF(OR(16&lt;$D22,16&gt;INDEX(Bâtiments!$E$6:$E$15,MATCH($A22,Bâtiments!$A$6:$A$15,0))),"",ROUND($G22*(1+Paramètres!$B$10)^(16-$D22),0))</f>
        <v>493</v>
      </c>
      <c r="X22" s="14" t="n">
        <f aca="false">IF(OR(17&lt;$D22,17&gt;INDEX(Bâtiments!$E$6:$E$15,MATCH($A22,Bâtiments!$A$6:$A$15,0))),"",ROUND($G22*(1+Paramètres!$B$10)^(17-$D22),0))</f>
        <v>552</v>
      </c>
      <c r="Y22" s="14" t="n">
        <f aca="false">IF(OR(18&lt;$D22,18&gt;INDEX(Bâtiments!$E$6:$E$15,MATCH($A22,Bâtiments!$A$6:$A$15,0))),"",ROUND($G22*(1+Paramètres!$B$10)^(18-$D22),0))</f>
        <v>618</v>
      </c>
      <c r="Z22" s="14" t="n">
        <f aca="false">IF(OR(19&lt;$D22,19&gt;INDEX(Bâtiments!$E$6:$E$15,MATCH($A22,Bâtiments!$A$6:$A$15,0))),"",ROUND($G22*(1+Paramètres!$B$10)^(19-$D22),0))</f>
        <v>692</v>
      </c>
      <c r="AA22" s="14" t="n">
        <f aca="false">IF(OR(20&lt;$D22,20&gt;INDEX(Bâtiments!$E$6:$E$15,MATCH($A22,Bâtiments!$A$6:$A$15,0))),"",ROUND($G22*(1+Paramètres!$B$10)^(20-$D22),0))</f>
        <v>775</v>
      </c>
      <c r="AB22" s="14" t="str">
        <f aca="false">IF(OR(21&lt;$D22,21&gt;INDEX(Bâtiments!$E$6:$E$15,MATCH($A22,Bâtiments!$A$6:$A$15,0))),"",ROUND($G22*(1+Paramètres!$B$10)^(21-$D22),0))</f>
        <v/>
      </c>
      <c r="AC22" s="14" t="str">
        <f aca="false">IF(OR(22&lt;$D22,22&gt;INDEX(Bâtiments!$E$6:$E$15,MATCH($A22,Bâtiments!$A$6:$A$15,0))),"",ROUND($G22*(1+Paramètres!$B$10)^(22-$D22),0))</f>
        <v/>
      </c>
      <c r="AD22" s="14" t="str">
        <f aca="false">IF(OR(23&lt;$D22,23&gt;INDEX(Bâtiments!$E$6:$E$15,MATCH($A22,Bâtiments!$A$6:$A$15,0))),"",ROUND($G22*(1+Paramètres!$B$10)^(23-$D22),0))</f>
        <v/>
      </c>
      <c r="AE22" s="14" t="str">
        <f aca="false">IF(OR(24&lt;$D22,24&gt;INDEX(Bâtiments!$E$6:$E$15,MATCH($A22,Bâtiments!$A$6:$A$15,0))),"",ROUND($G22*(1+Paramètres!$B$10)^(24-$D22),0))</f>
        <v/>
      </c>
      <c r="AF22" s="14" t="str">
        <f aca="false">IF(OR(25&lt;$D22,25&gt;INDEX(Bâtiments!$E$6:$E$15,MATCH($A22,Bâtiments!$A$6:$A$15,0))),"",ROUND($G22*(1+Paramètres!$B$10)^(25-$D22),0))</f>
        <v/>
      </c>
      <c r="AG22" s="15" t="n">
        <f aca="false">INDEX(Bâtiments!$E$6:$E$15,MATCH($A22,Bâtiments!$A$6:$A$15,0))</f>
        <v>20</v>
      </c>
      <c r="AH22" s="16" t="n">
        <f aca="false">ROUND($G22*(1+Paramètres!$B$10)^(AG22-$D22),0)</f>
        <v>775</v>
      </c>
      <c r="AI22" s="14" t="n">
        <f aca="false">AH22*Paramètres!$B$11</f>
        <v>6200</v>
      </c>
    </row>
    <row r="23" customFormat="false" ht="15" hidden="false" customHeight="false" outlineLevel="0" collapsed="false">
      <c r="A23" s="8" t="s">
        <v>64</v>
      </c>
      <c r="B23" s="7" t="s">
        <v>151</v>
      </c>
      <c r="C23" s="9" t="n">
        <v>2</v>
      </c>
      <c r="D23" s="9" t="n">
        <v>1</v>
      </c>
      <c r="E23" s="9" t="n">
        <v>15</v>
      </c>
      <c r="F23" s="13" t="s">
        <v>152</v>
      </c>
      <c r="G23" s="14" t="n">
        <f aca="false">INDEX(Paramètres!$B$5:$B$9,$C23)</f>
        <v>90</v>
      </c>
      <c r="H23" s="14" t="n">
        <f aca="false">IF(OR(1&lt;$D23,1&gt;INDEX(Bâtiments!$E$6:$E$15,MATCH($A23,Bâtiments!$A$6:$A$15,0))),"",ROUND($G23*(1+Paramètres!$B$10)^(1-$D23),0))</f>
        <v>90</v>
      </c>
      <c r="I23" s="14" t="n">
        <f aca="false">IF(OR(2&lt;$D23,2&gt;INDEX(Bâtiments!$E$6:$E$15,MATCH($A23,Bâtiments!$A$6:$A$15,0))),"",ROUND($G23*(1+Paramètres!$B$10)^(2-$D23),0))</f>
        <v>101</v>
      </c>
      <c r="J23" s="14" t="n">
        <f aca="false">IF(OR(3&lt;$D23,3&gt;INDEX(Bâtiments!$E$6:$E$15,MATCH($A23,Bâtiments!$A$6:$A$15,0))),"",ROUND($G23*(1+Paramètres!$B$10)^(3-$D23),0))</f>
        <v>113</v>
      </c>
      <c r="K23" s="14" t="n">
        <f aca="false">IF(OR(4&lt;$D23,4&gt;INDEX(Bâtiments!$E$6:$E$15,MATCH($A23,Bâtiments!$A$6:$A$15,0))),"",ROUND($G23*(1+Paramètres!$B$10)^(4-$D23),0))</f>
        <v>126</v>
      </c>
      <c r="L23" s="14" t="n">
        <f aca="false">IF(OR(5&lt;$D23,5&gt;INDEX(Bâtiments!$E$6:$E$15,MATCH($A23,Bâtiments!$A$6:$A$15,0))),"",ROUND($G23*(1+Paramètres!$B$10)^(5-$D23),0))</f>
        <v>142</v>
      </c>
      <c r="M23" s="14" t="n">
        <f aca="false">IF(OR(6&lt;$D23,6&gt;INDEX(Bâtiments!$E$6:$E$15,MATCH($A23,Bâtiments!$A$6:$A$15,0))),"",ROUND($G23*(1+Paramètres!$B$10)^(6-$D23),0))</f>
        <v>159</v>
      </c>
      <c r="N23" s="14" t="n">
        <f aca="false">IF(OR(7&lt;$D23,7&gt;INDEX(Bâtiments!$E$6:$E$15,MATCH($A23,Bâtiments!$A$6:$A$15,0))),"",ROUND($G23*(1+Paramètres!$B$10)^(7-$D23),0))</f>
        <v>178</v>
      </c>
      <c r="O23" s="14" t="n">
        <f aca="false">IF(OR(8&lt;$D23,8&gt;INDEX(Bâtiments!$E$6:$E$15,MATCH($A23,Bâtiments!$A$6:$A$15,0))),"",ROUND($G23*(1+Paramètres!$B$10)^(8-$D23),0))</f>
        <v>199</v>
      </c>
      <c r="P23" s="14" t="n">
        <f aca="false">IF(OR(9&lt;$D23,9&gt;INDEX(Bâtiments!$E$6:$E$15,MATCH($A23,Bâtiments!$A$6:$A$15,0))),"",ROUND($G23*(1+Paramètres!$B$10)^(9-$D23),0))</f>
        <v>223</v>
      </c>
      <c r="Q23" s="14" t="n">
        <f aca="false">IF(OR(10&lt;$D23,10&gt;INDEX(Bâtiments!$E$6:$E$15,MATCH($A23,Bâtiments!$A$6:$A$15,0))),"",ROUND($G23*(1+Paramètres!$B$10)^(10-$D23),0))</f>
        <v>250</v>
      </c>
      <c r="R23" s="14" t="n">
        <f aca="false">IF(OR(11&lt;$D23,11&gt;INDEX(Bâtiments!$E$6:$E$15,MATCH($A23,Bâtiments!$A$6:$A$15,0))),"",ROUND($G23*(1+Paramètres!$B$10)^(11-$D23),0))</f>
        <v>280</v>
      </c>
      <c r="S23" s="14" t="n">
        <f aca="false">IF(OR(12&lt;$D23,12&gt;INDEX(Bâtiments!$E$6:$E$15,MATCH($A23,Bâtiments!$A$6:$A$15,0))),"",ROUND($G23*(1+Paramètres!$B$10)^(12-$D23),0))</f>
        <v>313</v>
      </c>
      <c r="T23" s="14" t="n">
        <f aca="false">IF(OR(13&lt;$D23,13&gt;INDEX(Bâtiments!$E$6:$E$15,MATCH($A23,Bâtiments!$A$6:$A$15,0))),"",ROUND($G23*(1+Paramètres!$B$10)^(13-$D23),0))</f>
        <v>351</v>
      </c>
      <c r="U23" s="14" t="n">
        <f aca="false">IF(OR(14&lt;$D23,14&gt;INDEX(Bâtiments!$E$6:$E$15,MATCH($A23,Bâtiments!$A$6:$A$15,0))),"",ROUND($G23*(1+Paramètres!$B$10)^(14-$D23),0))</f>
        <v>393</v>
      </c>
      <c r="V23" s="14" t="n">
        <f aca="false">IF(OR(15&lt;$D23,15&gt;INDEX(Bâtiments!$E$6:$E$15,MATCH($A23,Bâtiments!$A$6:$A$15,0))),"",ROUND($G23*(1+Paramètres!$B$10)^(15-$D23),0))</f>
        <v>440</v>
      </c>
      <c r="W23" s="14" t="n">
        <f aca="false">IF(OR(16&lt;$D23,16&gt;INDEX(Bâtiments!$E$6:$E$15,MATCH($A23,Bâtiments!$A$6:$A$15,0))),"",ROUND($G23*(1+Paramètres!$B$10)^(16-$D23),0))</f>
        <v>493</v>
      </c>
      <c r="X23" s="14" t="n">
        <f aca="false">IF(OR(17&lt;$D23,17&gt;INDEX(Bâtiments!$E$6:$E$15,MATCH($A23,Bâtiments!$A$6:$A$15,0))),"",ROUND($G23*(1+Paramètres!$B$10)^(17-$D23),0))</f>
        <v>552</v>
      </c>
      <c r="Y23" s="14" t="n">
        <f aca="false">IF(OR(18&lt;$D23,18&gt;INDEX(Bâtiments!$E$6:$E$15,MATCH($A23,Bâtiments!$A$6:$A$15,0))),"",ROUND($G23*(1+Paramètres!$B$10)^(18-$D23),0))</f>
        <v>618</v>
      </c>
      <c r="Z23" s="14" t="n">
        <f aca="false">IF(OR(19&lt;$D23,19&gt;INDEX(Bâtiments!$E$6:$E$15,MATCH($A23,Bâtiments!$A$6:$A$15,0))),"",ROUND($G23*(1+Paramètres!$B$10)^(19-$D23),0))</f>
        <v>692</v>
      </c>
      <c r="AA23" s="14" t="n">
        <f aca="false">IF(OR(20&lt;$D23,20&gt;INDEX(Bâtiments!$E$6:$E$15,MATCH($A23,Bâtiments!$A$6:$A$15,0))),"",ROUND($G23*(1+Paramètres!$B$10)^(20-$D23),0))</f>
        <v>775</v>
      </c>
      <c r="AB23" s="14" t="str">
        <f aca="false">IF(OR(21&lt;$D23,21&gt;INDEX(Bâtiments!$E$6:$E$15,MATCH($A23,Bâtiments!$A$6:$A$15,0))),"",ROUND($G23*(1+Paramètres!$B$10)^(21-$D23),0))</f>
        <v/>
      </c>
      <c r="AC23" s="14" t="str">
        <f aca="false">IF(OR(22&lt;$D23,22&gt;INDEX(Bâtiments!$E$6:$E$15,MATCH($A23,Bâtiments!$A$6:$A$15,0))),"",ROUND($G23*(1+Paramètres!$B$10)^(22-$D23),0))</f>
        <v/>
      </c>
      <c r="AD23" s="14" t="str">
        <f aca="false">IF(OR(23&lt;$D23,23&gt;INDEX(Bâtiments!$E$6:$E$15,MATCH($A23,Bâtiments!$A$6:$A$15,0))),"",ROUND($G23*(1+Paramètres!$B$10)^(23-$D23),0))</f>
        <v/>
      </c>
      <c r="AE23" s="14" t="str">
        <f aca="false">IF(OR(24&lt;$D23,24&gt;INDEX(Bâtiments!$E$6:$E$15,MATCH($A23,Bâtiments!$A$6:$A$15,0))),"",ROUND($G23*(1+Paramètres!$B$10)^(24-$D23),0))</f>
        <v/>
      </c>
      <c r="AF23" s="14" t="str">
        <f aca="false">IF(OR(25&lt;$D23,25&gt;INDEX(Bâtiments!$E$6:$E$15,MATCH($A23,Bâtiments!$A$6:$A$15,0))),"",ROUND($G23*(1+Paramètres!$B$10)^(25-$D23),0))</f>
        <v/>
      </c>
      <c r="AG23" s="15" t="n">
        <f aca="false">INDEX(Bâtiments!$E$6:$E$15,MATCH($A23,Bâtiments!$A$6:$A$15,0))</f>
        <v>20</v>
      </c>
      <c r="AH23" s="16" t="n">
        <f aca="false">ROUND($G23*(1+Paramètres!$B$10)^(AG23-$D23),0)</f>
        <v>775</v>
      </c>
      <c r="AI23" s="14" t="n">
        <f aca="false">AH23*Paramètres!$B$11</f>
        <v>6200</v>
      </c>
    </row>
    <row r="24" customFormat="false" ht="15" hidden="false" customHeight="false" outlineLevel="0" collapsed="false">
      <c r="A24" s="8" t="s">
        <v>64</v>
      </c>
      <c r="B24" s="7" t="s">
        <v>153</v>
      </c>
      <c r="C24" s="9" t="n">
        <v>2</v>
      </c>
      <c r="D24" s="9" t="n">
        <v>1</v>
      </c>
      <c r="E24" s="9" t="n">
        <v>15</v>
      </c>
      <c r="F24" s="13" t="s">
        <v>154</v>
      </c>
      <c r="G24" s="14" t="n">
        <f aca="false">INDEX(Paramètres!$B$5:$B$9,$C24)</f>
        <v>90</v>
      </c>
      <c r="H24" s="14" t="n">
        <f aca="false">IF(OR(1&lt;$D24,1&gt;INDEX(Bâtiments!$E$6:$E$15,MATCH($A24,Bâtiments!$A$6:$A$15,0))),"",ROUND($G24*(1+Paramètres!$B$10)^(1-$D24),0))</f>
        <v>90</v>
      </c>
      <c r="I24" s="14" t="n">
        <f aca="false">IF(OR(2&lt;$D24,2&gt;INDEX(Bâtiments!$E$6:$E$15,MATCH($A24,Bâtiments!$A$6:$A$15,0))),"",ROUND($G24*(1+Paramètres!$B$10)^(2-$D24),0))</f>
        <v>101</v>
      </c>
      <c r="J24" s="14" t="n">
        <f aca="false">IF(OR(3&lt;$D24,3&gt;INDEX(Bâtiments!$E$6:$E$15,MATCH($A24,Bâtiments!$A$6:$A$15,0))),"",ROUND($G24*(1+Paramètres!$B$10)^(3-$D24),0))</f>
        <v>113</v>
      </c>
      <c r="K24" s="14" t="n">
        <f aca="false">IF(OR(4&lt;$D24,4&gt;INDEX(Bâtiments!$E$6:$E$15,MATCH($A24,Bâtiments!$A$6:$A$15,0))),"",ROUND($G24*(1+Paramètres!$B$10)^(4-$D24),0))</f>
        <v>126</v>
      </c>
      <c r="L24" s="14" t="n">
        <f aca="false">IF(OR(5&lt;$D24,5&gt;INDEX(Bâtiments!$E$6:$E$15,MATCH($A24,Bâtiments!$A$6:$A$15,0))),"",ROUND($G24*(1+Paramètres!$B$10)^(5-$D24),0))</f>
        <v>142</v>
      </c>
      <c r="M24" s="14" t="n">
        <f aca="false">IF(OR(6&lt;$D24,6&gt;INDEX(Bâtiments!$E$6:$E$15,MATCH($A24,Bâtiments!$A$6:$A$15,0))),"",ROUND($G24*(1+Paramètres!$B$10)^(6-$D24),0))</f>
        <v>159</v>
      </c>
      <c r="N24" s="14" t="n">
        <f aca="false">IF(OR(7&lt;$D24,7&gt;INDEX(Bâtiments!$E$6:$E$15,MATCH($A24,Bâtiments!$A$6:$A$15,0))),"",ROUND($G24*(1+Paramètres!$B$10)^(7-$D24),0))</f>
        <v>178</v>
      </c>
      <c r="O24" s="14" t="n">
        <f aca="false">IF(OR(8&lt;$D24,8&gt;INDEX(Bâtiments!$E$6:$E$15,MATCH($A24,Bâtiments!$A$6:$A$15,0))),"",ROUND($G24*(1+Paramètres!$B$10)^(8-$D24),0))</f>
        <v>199</v>
      </c>
      <c r="P24" s="14" t="n">
        <f aca="false">IF(OR(9&lt;$D24,9&gt;INDEX(Bâtiments!$E$6:$E$15,MATCH($A24,Bâtiments!$A$6:$A$15,0))),"",ROUND($G24*(1+Paramètres!$B$10)^(9-$D24),0))</f>
        <v>223</v>
      </c>
      <c r="Q24" s="14" t="n">
        <f aca="false">IF(OR(10&lt;$D24,10&gt;INDEX(Bâtiments!$E$6:$E$15,MATCH($A24,Bâtiments!$A$6:$A$15,0))),"",ROUND($G24*(1+Paramètres!$B$10)^(10-$D24),0))</f>
        <v>250</v>
      </c>
      <c r="R24" s="14" t="n">
        <f aca="false">IF(OR(11&lt;$D24,11&gt;INDEX(Bâtiments!$E$6:$E$15,MATCH($A24,Bâtiments!$A$6:$A$15,0))),"",ROUND($G24*(1+Paramètres!$B$10)^(11-$D24),0))</f>
        <v>280</v>
      </c>
      <c r="S24" s="14" t="n">
        <f aca="false">IF(OR(12&lt;$D24,12&gt;INDEX(Bâtiments!$E$6:$E$15,MATCH($A24,Bâtiments!$A$6:$A$15,0))),"",ROUND($G24*(1+Paramètres!$B$10)^(12-$D24),0))</f>
        <v>313</v>
      </c>
      <c r="T24" s="14" t="n">
        <f aca="false">IF(OR(13&lt;$D24,13&gt;INDEX(Bâtiments!$E$6:$E$15,MATCH($A24,Bâtiments!$A$6:$A$15,0))),"",ROUND($G24*(1+Paramètres!$B$10)^(13-$D24),0))</f>
        <v>351</v>
      </c>
      <c r="U24" s="14" t="n">
        <f aca="false">IF(OR(14&lt;$D24,14&gt;INDEX(Bâtiments!$E$6:$E$15,MATCH($A24,Bâtiments!$A$6:$A$15,0))),"",ROUND($G24*(1+Paramètres!$B$10)^(14-$D24),0))</f>
        <v>393</v>
      </c>
      <c r="V24" s="14" t="n">
        <f aca="false">IF(OR(15&lt;$D24,15&gt;INDEX(Bâtiments!$E$6:$E$15,MATCH($A24,Bâtiments!$A$6:$A$15,0))),"",ROUND($G24*(1+Paramètres!$B$10)^(15-$D24),0))</f>
        <v>440</v>
      </c>
      <c r="W24" s="14" t="n">
        <f aca="false">IF(OR(16&lt;$D24,16&gt;INDEX(Bâtiments!$E$6:$E$15,MATCH($A24,Bâtiments!$A$6:$A$15,0))),"",ROUND($G24*(1+Paramètres!$B$10)^(16-$D24),0))</f>
        <v>493</v>
      </c>
      <c r="X24" s="14" t="n">
        <f aca="false">IF(OR(17&lt;$D24,17&gt;INDEX(Bâtiments!$E$6:$E$15,MATCH($A24,Bâtiments!$A$6:$A$15,0))),"",ROUND($G24*(1+Paramètres!$B$10)^(17-$D24),0))</f>
        <v>552</v>
      </c>
      <c r="Y24" s="14" t="n">
        <f aca="false">IF(OR(18&lt;$D24,18&gt;INDEX(Bâtiments!$E$6:$E$15,MATCH($A24,Bâtiments!$A$6:$A$15,0))),"",ROUND($G24*(1+Paramètres!$B$10)^(18-$D24),0))</f>
        <v>618</v>
      </c>
      <c r="Z24" s="14" t="n">
        <f aca="false">IF(OR(19&lt;$D24,19&gt;INDEX(Bâtiments!$E$6:$E$15,MATCH($A24,Bâtiments!$A$6:$A$15,0))),"",ROUND($G24*(1+Paramètres!$B$10)^(19-$D24),0))</f>
        <v>692</v>
      </c>
      <c r="AA24" s="14" t="n">
        <f aca="false">IF(OR(20&lt;$D24,20&gt;INDEX(Bâtiments!$E$6:$E$15,MATCH($A24,Bâtiments!$A$6:$A$15,0))),"",ROUND($G24*(1+Paramètres!$B$10)^(20-$D24),0))</f>
        <v>775</v>
      </c>
      <c r="AB24" s="14" t="str">
        <f aca="false">IF(OR(21&lt;$D24,21&gt;INDEX(Bâtiments!$E$6:$E$15,MATCH($A24,Bâtiments!$A$6:$A$15,0))),"",ROUND($G24*(1+Paramètres!$B$10)^(21-$D24),0))</f>
        <v/>
      </c>
      <c r="AC24" s="14" t="str">
        <f aca="false">IF(OR(22&lt;$D24,22&gt;INDEX(Bâtiments!$E$6:$E$15,MATCH($A24,Bâtiments!$A$6:$A$15,0))),"",ROUND($G24*(1+Paramètres!$B$10)^(22-$D24),0))</f>
        <v/>
      </c>
      <c r="AD24" s="14" t="str">
        <f aca="false">IF(OR(23&lt;$D24,23&gt;INDEX(Bâtiments!$E$6:$E$15,MATCH($A24,Bâtiments!$A$6:$A$15,0))),"",ROUND($G24*(1+Paramètres!$B$10)^(23-$D24),0))</f>
        <v/>
      </c>
      <c r="AE24" s="14" t="str">
        <f aca="false">IF(OR(24&lt;$D24,24&gt;INDEX(Bâtiments!$E$6:$E$15,MATCH($A24,Bâtiments!$A$6:$A$15,0))),"",ROUND($G24*(1+Paramètres!$B$10)^(24-$D24),0))</f>
        <v/>
      </c>
      <c r="AF24" s="14" t="str">
        <f aca="false">IF(OR(25&lt;$D24,25&gt;INDEX(Bâtiments!$E$6:$E$15,MATCH($A24,Bâtiments!$A$6:$A$15,0))),"",ROUND($G24*(1+Paramètres!$B$10)^(25-$D24),0))</f>
        <v/>
      </c>
      <c r="AG24" s="15" t="n">
        <f aca="false">INDEX(Bâtiments!$E$6:$E$15,MATCH($A24,Bâtiments!$A$6:$A$15,0))</f>
        <v>20</v>
      </c>
      <c r="AH24" s="16" t="n">
        <f aca="false">ROUND($G24*(1+Paramètres!$B$10)^(AG24-$D24),0)</f>
        <v>775</v>
      </c>
      <c r="AI24" s="14" t="n">
        <f aca="false">AH24*Paramètres!$B$11</f>
        <v>6200</v>
      </c>
    </row>
    <row r="25" customFormat="false" ht="15" hidden="false" customHeight="false" outlineLevel="0" collapsed="false">
      <c r="A25" s="8" t="s">
        <v>64</v>
      </c>
      <c r="B25" s="7" t="s">
        <v>155</v>
      </c>
      <c r="C25" s="9" t="n">
        <v>3</v>
      </c>
      <c r="D25" s="9" t="n">
        <v>6</v>
      </c>
      <c r="E25" s="9" t="n">
        <v>30</v>
      </c>
      <c r="F25" s="13" t="s">
        <v>156</v>
      </c>
      <c r="G25" s="14" t="n">
        <f aca="false">INDEX(Paramètres!$B$5:$B$9,$C25)</f>
        <v>135</v>
      </c>
      <c r="H25" s="14" t="str">
        <f aca="false">IF(OR(1&lt;$D25,1&gt;INDEX(Bâtiments!$E$6:$E$15,MATCH($A25,Bâtiments!$A$6:$A$15,0))),"",ROUND($G25*(1+Paramètres!$B$10)^(1-$D25),0))</f>
        <v/>
      </c>
      <c r="I25" s="14" t="str">
        <f aca="false">IF(OR(2&lt;$D25,2&gt;INDEX(Bâtiments!$E$6:$E$15,MATCH($A25,Bâtiments!$A$6:$A$15,0))),"",ROUND($G25*(1+Paramètres!$B$10)^(2-$D25),0))</f>
        <v/>
      </c>
      <c r="J25" s="14" t="str">
        <f aca="false">IF(OR(3&lt;$D25,3&gt;INDEX(Bâtiments!$E$6:$E$15,MATCH($A25,Bâtiments!$A$6:$A$15,0))),"",ROUND($G25*(1+Paramètres!$B$10)^(3-$D25),0))</f>
        <v/>
      </c>
      <c r="K25" s="14" t="str">
        <f aca="false">IF(OR(4&lt;$D25,4&gt;INDEX(Bâtiments!$E$6:$E$15,MATCH($A25,Bâtiments!$A$6:$A$15,0))),"",ROUND($G25*(1+Paramètres!$B$10)^(4-$D25),0))</f>
        <v/>
      </c>
      <c r="L25" s="14" t="str">
        <f aca="false">IF(OR(5&lt;$D25,5&gt;INDEX(Bâtiments!$E$6:$E$15,MATCH($A25,Bâtiments!$A$6:$A$15,0))),"",ROUND($G25*(1+Paramètres!$B$10)^(5-$D25),0))</f>
        <v/>
      </c>
      <c r="M25" s="14" t="n">
        <f aca="false">IF(OR(6&lt;$D25,6&gt;INDEX(Bâtiments!$E$6:$E$15,MATCH($A25,Bâtiments!$A$6:$A$15,0))),"",ROUND($G25*(1+Paramètres!$B$10)^(6-$D25),0))</f>
        <v>135</v>
      </c>
      <c r="N25" s="14" t="n">
        <f aca="false">IF(OR(7&lt;$D25,7&gt;INDEX(Bâtiments!$E$6:$E$15,MATCH($A25,Bâtiments!$A$6:$A$15,0))),"",ROUND($G25*(1+Paramètres!$B$10)^(7-$D25),0))</f>
        <v>151</v>
      </c>
      <c r="O25" s="14" t="n">
        <f aca="false">IF(OR(8&lt;$D25,8&gt;INDEX(Bâtiments!$E$6:$E$15,MATCH($A25,Bâtiments!$A$6:$A$15,0))),"",ROUND($G25*(1+Paramètres!$B$10)^(8-$D25),0))</f>
        <v>169</v>
      </c>
      <c r="P25" s="14" t="n">
        <f aca="false">IF(OR(9&lt;$D25,9&gt;INDEX(Bâtiments!$E$6:$E$15,MATCH($A25,Bâtiments!$A$6:$A$15,0))),"",ROUND($G25*(1+Paramètres!$B$10)^(9-$D25),0))</f>
        <v>190</v>
      </c>
      <c r="Q25" s="14" t="n">
        <f aca="false">IF(OR(10&lt;$D25,10&gt;INDEX(Bâtiments!$E$6:$E$15,MATCH($A25,Bâtiments!$A$6:$A$15,0))),"",ROUND($G25*(1+Paramètres!$B$10)^(10-$D25),0))</f>
        <v>212</v>
      </c>
      <c r="R25" s="14" t="n">
        <f aca="false">IF(OR(11&lt;$D25,11&gt;INDEX(Bâtiments!$E$6:$E$15,MATCH($A25,Bâtiments!$A$6:$A$15,0))),"",ROUND($G25*(1+Paramètres!$B$10)^(11-$D25),0))</f>
        <v>238</v>
      </c>
      <c r="S25" s="14" t="n">
        <f aca="false">IF(OR(12&lt;$D25,12&gt;INDEX(Bâtiments!$E$6:$E$15,MATCH($A25,Bâtiments!$A$6:$A$15,0))),"",ROUND($G25*(1+Paramètres!$B$10)^(12-$D25),0))</f>
        <v>266</v>
      </c>
      <c r="T25" s="14" t="n">
        <f aca="false">IF(OR(13&lt;$D25,13&gt;INDEX(Bâtiments!$E$6:$E$15,MATCH($A25,Bâtiments!$A$6:$A$15,0))),"",ROUND($G25*(1+Paramètres!$B$10)^(13-$D25),0))</f>
        <v>298</v>
      </c>
      <c r="U25" s="14" t="n">
        <f aca="false">IF(OR(14&lt;$D25,14&gt;INDEX(Bâtiments!$E$6:$E$15,MATCH($A25,Bâtiments!$A$6:$A$15,0))),"",ROUND($G25*(1+Paramètres!$B$10)^(14-$D25),0))</f>
        <v>334</v>
      </c>
      <c r="V25" s="14" t="n">
        <f aca="false">IF(OR(15&lt;$D25,15&gt;INDEX(Bâtiments!$E$6:$E$15,MATCH($A25,Bâtiments!$A$6:$A$15,0))),"",ROUND($G25*(1+Paramètres!$B$10)^(15-$D25),0))</f>
        <v>374</v>
      </c>
      <c r="W25" s="14" t="n">
        <f aca="false">IF(OR(16&lt;$D25,16&gt;INDEX(Bâtiments!$E$6:$E$15,MATCH($A25,Bâtiments!$A$6:$A$15,0))),"",ROUND($G25*(1+Paramètres!$B$10)^(16-$D25),0))</f>
        <v>419</v>
      </c>
      <c r="X25" s="14" t="n">
        <f aca="false">IF(OR(17&lt;$D25,17&gt;INDEX(Bâtiments!$E$6:$E$15,MATCH($A25,Bâtiments!$A$6:$A$15,0))),"",ROUND($G25*(1+Paramètres!$B$10)^(17-$D25),0))</f>
        <v>470</v>
      </c>
      <c r="Y25" s="14" t="n">
        <f aca="false">IF(OR(18&lt;$D25,18&gt;INDEX(Bâtiments!$E$6:$E$15,MATCH($A25,Bâtiments!$A$6:$A$15,0))),"",ROUND($G25*(1+Paramètres!$B$10)^(18-$D25),0))</f>
        <v>526</v>
      </c>
      <c r="Z25" s="14" t="n">
        <f aca="false">IF(OR(19&lt;$D25,19&gt;INDEX(Bâtiments!$E$6:$E$15,MATCH($A25,Bâtiments!$A$6:$A$15,0))),"",ROUND($G25*(1+Paramètres!$B$10)^(19-$D25),0))</f>
        <v>589</v>
      </c>
      <c r="AA25" s="14" t="n">
        <f aca="false">IF(OR(20&lt;$D25,20&gt;INDEX(Bâtiments!$E$6:$E$15,MATCH($A25,Bâtiments!$A$6:$A$15,0))),"",ROUND($G25*(1+Paramètres!$B$10)^(20-$D25),0))</f>
        <v>660</v>
      </c>
      <c r="AB25" s="14" t="str">
        <f aca="false">IF(OR(21&lt;$D25,21&gt;INDEX(Bâtiments!$E$6:$E$15,MATCH($A25,Bâtiments!$A$6:$A$15,0))),"",ROUND($G25*(1+Paramètres!$B$10)^(21-$D25),0))</f>
        <v/>
      </c>
      <c r="AC25" s="14" t="str">
        <f aca="false">IF(OR(22&lt;$D25,22&gt;INDEX(Bâtiments!$E$6:$E$15,MATCH($A25,Bâtiments!$A$6:$A$15,0))),"",ROUND($G25*(1+Paramètres!$B$10)^(22-$D25),0))</f>
        <v/>
      </c>
      <c r="AD25" s="14" t="str">
        <f aca="false">IF(OR(23&lt;$D25,23&gt;INDEX(Bâtiments!$E$6:$E$15,MATCH($A25,Bâtiments!$A$6:$A$15,0))),"",ROUND($G25*(1+Paramètres!$B$10)^(23-$D25),0))</f>
        <v/>
      </c>
      <c r="AE25" s="14" t="str">
        <f aca="false">IF(OR(24&lt;$D25,24&gt;INDEX(Bâtiments!$E$6:$E$15,MATCH($A25,Bâtiments!$A$6:$A$15,0))),"",ROUND($G25*(1+Paramètres!$B$10)^(24-$D25),0))</f>
        <v/>
      </c>
      <c r="AF25" s="14" t="str">
        <f aca="false">IF(OR(25&lt;$D25,25&gt;INDEX(Bâtiments!$E$6:$E$15,MATCH($A25,Bâtiments!$A$6:$A$15,0))),"",ROUND($G25*(1+Paramètres!$B$10)^(25-$D25),0))</f>
        <v/>
      </c>
      <c r="AG25" s="15" t="n">
        <f aca="false">INDEX(Bâtiments!$E$6:$E$15,MATCH($A25,Bâtiments!$A$6:$A$15,0))</f>
        <v>20</v>
      </c>
      <c r="AH25" s="16" t="n">
        <f aca="false">ROUND($G25*(1+Paramètres!$B$10)^(AG25-$D25),0)</f>
        <v>660</v>
      </c>
      <c r="AI25" s="14" t="n">
        <f aca="false">AH25*Paramètres!$B$11</f>
        <v>5280</v>
      </c>
    </row>
    <row r="26" customFormat="false" ht="15" hidden="false" customHeight="false" outlineLevel="0" collapsed="false">
      <c r="A26" s="8" t="s">
        <v>64</v>
      </c>
      <c r="B26" s="7" t="s">
        <v>157</v>
      </c>
      <c r="C26" s="9" t="n">
        <v>3</v>
      </c>
      <c r="D26" s="9" t="n">
        <v>6</v>
      </c>
      <c r="E26" s="9" t="n">
        <v>30</v>
      </c>
      <c r="F26" s="13" t="s">
        <v>158</v>
      </c>
      <c r="G26" s="14" t="n">
        <f aca="false">INDEX(Paramètres!$B$5:$B$9,$C26)</f>
        <v>135</v>
      </c>
      <c r="H26" s="14" t="str">
        <f aca="false">IF(OR(1&lt;$D26,1&gt;INDEX(Bâtiments!$E$6:$E$15,MATCH($A26,Bâtiments!$A$6:$A$15,0))),"",ROUND($G26*(1+Paramètres!$B$10)^(1-$D26),0))</f>
        <v/>
      </c>
      <c r="I26" s="14" t="str">
        <f aca="false">IF(OR(2&lt;$D26,2&gt;INDEX(Bâtiments!$E$6:$E$15,MATCH($A26,Bâtiments!$A$6:$A$15,0))),"",ROUND($G26*(1+Paramètres!$B$10)^(2-$D26),0))</f>
        <v/>
      </c>
      <c r="J26" s="14" t="str">
        <f aca="false">IF(OR(3&lt;$D26,3&gt;INDEX(Bâtiments!$E$6:$E$15,MATCH($A26,Bâtiments!$A$6:$A$15,0))),"",ROUND($G26*(1+Paramètres!$B$10)^(3-$D26),0))</f>
        <v/>
      </c>
      <c r="K26" s="14" t="str">
        <f aca="false">IF(OR(4&lt;$D26,4&gt;INDEX(Bâtiments!$E$6:$E$15,MATCH($A26,Bâtiments!$A$6:$A$15,0))),"",ROUND($G26*(1+Paramètres!$B$10)^(4-$D26),0))</f>
        <v/>
      </c>
      <c r="L26" s="14" t="str">
        <f aca="false">IF(OR(5&lt;$D26,5&gt;INDEX(Bâtiments!$E$6:$E$15,MATCH($A26,Bâtiments!$A$6:$A$15,0))),"",ROUND($G26*(1+Paramètres!$B$10)^(5-$D26),0))</f>
        <v/>
      </c>
      <c r="M26" s="14" t="n">
        <f aca="false">IF(OR(6&lt;$D26,6&gt;INDEX(Bâtiments!$E$6:$E$15,MATCH($A26,Bâtiments!$A$6:$A$15,0))),"",ROUND($G26*(1+Paramètres!$B$10)^(6-$D26),0))</f>
        <v>135</v>
      </c>
      <c r="N26" s="14" t="n">
        <f aca="false">IF(OR(7&lt;$D26,7&gt;INDEX(Bâtiments!$E$6:$E$15,MATCH($A26,Bâtiments!$A$6:$A$15,0))),"",ROUND($G26*(1+Paramètres!$B$10)^(7-$D26),0))</f>
        <v>151</v>
      </c>
      <c r="O26" s="14" t="n">
        <f aca="false">IF(OR(8&lt;$D26,8&gt;INDEX(Bâtiments!$E$6:$E$15,MATCH($A26,Bâtiments!$A$6:$A$15,0))),"",ROUND($G26*(1+Paramètres!$B$10)^(8-$D26),0))</f>
        <v>169</v>
      </c>
      <c r="P26" s="14" t="n">
        <f aca="false">IF(OR(9&lt;$D26,9&gt;INDEX(Bâtiments!$E$6:$E$15,MATCH($A26,Bâtiments!$A$6:$A$15,0))),"",ROUND($G26*(1+Paramètres!$B$10)^(9-$D26),0))</f>
        <v>190</v>
      </c>
      <c r="Q26" s="14" t="n">
        <f aca="false">IF(OR(10&lt;$D26,10&gt;INDEX(Bâtiments!$E$6:$E$15,MATCH($A26,Bâtiments!$A$6:$A$15,0))),"",ROUND($G26*(1+Paramètres!$B$10)^(10-$D26),0))</f>
        <v>212</v>
      </c>
      <c r="R26" s="14" t="n">
        <f aca="false">IF(OR(11&lt;$D26,11&gt;INDEX(Bâtiments!$E$6:$E$15,MATCH($A26,Bâtiments!$A$6:$A$15,0))),"",ROUND($G26*(1+Paramètres!$B$10)^(11-$D26),0))</f>
        <v>238</v>
      </c>
      <c r="S26" s="14" t="n">
        <f aca="false">IF(OR(12&lt;$D26,12&gt;INDEX(Bâtiments!$E$6:$E$15,MATCH($A26,Bâtiments!$A$6:$A$15,0))),"",ROUND($G26*(1+Paramètres!$B$10)^(12-$D26),0))</f>
        <v>266</v>
      </c>
      <c r="T26" s="14" t="n">
        <f aca="false">IF(OR(13&lt;$D26,13&gt;INDEX(Bâtiments!$E$6:$E$15,MATCH($A26,Bâtiments!$A$6:$A$15,0))),"",ROUND($G26*(1+Paramètres!$B$10)^(13-$D26),0))</f>
        <v>298</v>
      </c>
      <c r="U26" s="14" t="n">
        <f aca="false">IF(OR(14&lt;$D26,14&gt;INDEX(Bâtiments!$E$6:$E$15,MATCH($A26,Bâtiments!$A$6:$A$15,0))),"",ROUND($G26*(1+Paramètres!$B$10)^(14-$D26),0))</f>
        <v>334</v>
      </c>
      <c r="V26" s="14" t="n">
        <f aca="false">IF(OR(15&lt;$D26,15&gt;INDEX(Bâtiments!$E$6:$E$15,MATCH($A26,Bâtiments!$A$6:$A$15,0))),"",ROUND($G26*(1+Paramètres!$B$10)^(15-$D26),0))</f>
        <v>374</v>
      </c>
      <c r="W26" s="14" t="n">
        <f aca="false">IF(OR(16&lt;$D26,16&gt;INDEX(Bâtiments!$E$6:$E$15,MATCH($A26,Bâtiments!$A$6:$A$15,0))),"",ROUND($G26*(1+Paramètres!$B$10)^(16-$D26),0))</f>
        <v>419</v>
      </c>
      <c r="X26" s="14" t="n">
        <f aca="false">IF(OR(17&lt;$D26,17&gt;INDEX(Bâtiments!$E$6:$E$15,MATCH($A26,Bâtiments!$A$6:$A$15,0))),"",ROUND($G26*(1+Paramètres!$B$10)^(17-$D26),0))</f>
        <v>470</v>
      </c>
      <c r="Y26" s="14" t="n">
        <f aca="false">IF(OR(18&lt;$D26,18&gt;INDEX(Bâtiments!$E$6:$E$15,MATCH($A26,Bâtiments!$A$6:$A$15,0))),"",ROUND($G26*(1+Paramètres!$B$10)^(18-$D26),0))</f>
        <v>526</v>
      </c>
      <c r="Z26" s="14" t="n">
        <f aca="false">IF(OR(19&lt;$D26,19&gt;INDEX(Bâtiments!$E$6:$E$15,MATCH($A26,Bâtiments!$A$6:$A$15,0))),"",ROUND($G26*(1+Paramètres!$B$10)^(19-$D26),0))</f>
        <v>589</v>
      </c>
      <c r="AA26" s="14" t="n">
        <f aca="false">IF(OR(20&lt;$D26,20&gt;INDEX(Bâtiments!$E$6:$E$15,MATCH($A26,Bâtiments!$A$6:$A$15,0))),"",ROUND($G26*(1+Paramètres!$B$10)^(20-$D26),0))</f>
        <v>660</v>
      </c>
      <c r="AB26" s="14" t="str">
        <f aca="false">IF(OR(21&lt;$D26,21&gt;INDEX(Bâtiments!$E$6:$E$15,MATCH($A26,Bâtiments!$A$6:$A$15,0))),"",ROUND($G26*(1+Paramètres!$B$10)^(21-$D26),0))</f>
        <v/>
      </c>
      <c r="AC26" s="14" t="str">
        <f aca="false">IF(OR(22&lt;$D26,22&gt;INDEX(Bâtiments!$E$6:$E$15,MATCH($A26,Bâtiments!$A$6:$A$15,0))),"",ROUND($G26*(1+Paramètres!$B$10)^(22-$D26),0))</f>
        <v/>
      </c>
      <c r="AD26" s="14" t="str">
        <f aca="false">IF(OR(23&lt;$D26,23&gt;INDEX(Bâtiments!$E$6:$E$15,MATCH($A26,Bâtiments!$A$6:$A$15,0))),"",ROUND($G26*(1+Paramètres!$B$10)^(23-$D26),0))</f>
        <v/>
      </c>
      <c r="AE26" s="14" t="str">
        <f aca="false">IF(OR(24&lt;$D26,24&gt;INDEX(Bâtiments!$E$6:$E$15,MATCH($A26,Bâtiments!$A$6:$A$15,0))),"",ROUND($G26*(1+Paramètres!$B$10)^(24-$D26),0))</f>
        <v/>
      </c>
      <c r="AF26" s="14" t="str">
        <f aca="false">IF(OR(25&lt;$D26,25&gt;INDEX(Bâtiments!$E$6:$E$15,MATCH($A26,Bâtiments!$A$6:$A$15,0))),"",ROUND($G26*(1+Paramètres!$B$10)^(25-$D26),0))</f>
        <v/>
      </c>
      <c r="AG26" s="15" t="n">
        <f aca="false">INDEX(Bâtiments!$E$6:$E$15,MATCH($A26,Bâtiments!$A$6:$A$15,0))</f>
        <v>20</v>
      </c>
      <c r="AH26" s="16" t="n">
        <f aca="false">ROUND($G26*(1+Paramètres!$B$10)^(AG26-$D26),0)</f>
        <v>660</v>
      </c>
      <c r="AI26" s="14" t="n">
        <f aca="false">AH26*Paramètres!$B$11</f>
        <v>5280</v>
      </c>
    </row>
    <row r="27" customFormat="false" ht="15" hidden="false" customHeight="false" outlineLevel="0" collapsed="false">
      <c r="A27" s="8" t="s">
        <v>64</v>
      </c>
      <c r="B27" s="7" t="s">
        <v>159</v>
      </c>
      <c r="C27" s="9" t="n">
        <v>3</v>
      </c>
      <c r="D27" s="9" t="n">
        <v>6</v>
      </c>
      <c r="E27" s="9" t="n">
        <v>30</v>
      </c>
      <c r="F27" s="13" t="s">
        <v>160</v>
      </c>
      <c r="G27" s="14" t="n">
        <f aca="false">INDEX(Paramètres!$B$5:$B$9,$C27)</f>
        <v>135</v>
      </c>
      <c r="H27" s="14" t="str">
        <f aca="false">IF(OR(1&lt;$D27,1&gt;INDEX(Bâtiments!$E$6:$E$15,MATCH($A27,Bâtiments!$A$6:$A$15,0))),"",ROUND($G27*(1+Paramètres!$B$10)^(1-$D27),0))</f>
        <v/>
      </c>
      <c r="I27" s="14" t="str">
        <f aca="false">IF(OR(2&lt;$D27,2&gt;INDEX(Bâtiments!$E$6:$E$15,MATCH($A27,Bâtiments!$A$6:$A$15,0))),"",ROUND($G27*(1+Paramètres!$B$10)^(2-$D27),0))</f>
        <v/>
      </c>
      <c r="J27" s="14" t="str">
        <f aca="false">IF(OR(3&lt;$D27,3&gt;INDEX(Bâtiments!$E$6:$E$15,MATCH($A27,Bâtiments!$A$6:$A$15,0))),"",ROUND($G27*(1+Paramètres!$B$10)^(3-$D27),0))</f>
        <v/>
      </c>
      <c r="K27" s="14" t="str">
        <f aca="false">IF(OR(4&lt;$D27,4&gt;INDEX(Bâtiments!$E$6:$E$15,MATCH($A27,Bâtiments!$A$6:$A$15,0))),"",ROUND($G27*(1+Paramètres!$B$10)^(4-$D27),0))</f>
        <v/>
      </c>
      <c r="L27" s="14" t="str">
        <f aca="false">IF(OR(5&lt;$D27,5&gt;INDEX(Bâtiments!$E$6:$E$15,MATCH($A27,Bâtiments!$A$6:$A$15,0))),"",ROUND($G27*(1+Paramètres!$B$10)^(5-$D27),0))</f>
        <v/>
      </c>
      <c r="M27" s="14" t="n">
        <f aca="false">IF(OR(6&lt;$D27,6&gt;INDEX(Bâtiments!$E$6:$E$15,MATCH($A27,Bâtiments!$A$6:$A$15,0))),"",ROUND($G27*(1+Paramètres!$B$10)^(6-$D27),0))</f>
        <v>135</v>
      </c>
      <c r="N27" s="14" t="n">
        <f aca="false">IF(OR(7&lt;$D27,7&gt;INDEX(Bâtiments!$E$6:$E$15,MATCH($A27,Bâtiments!$A$6:$A$15,0))),"",ROUND($G27*(1+Paramètres!$B$10)^(7-$D27),0))</f>
        <v>151</v>
      </c>
      <c r="O27" s="14" t="n">
        <f aca="false">IF(OR(8&lt;$D27,8&gt;INDEX(Bâtiments!$E$6:$E$15,MATCH($A27,Bâtiments!$A$6:$A$15,0))),"",ROUND($G27*(1+Paramètres!$B$10)^(8-$D27),0))</f>
        <v>169</v>
      </c>
      <c r="P27" s="14" t="n">
        <f aca="false">IF(OR(9&lt;$D27,9&gt;INDEX(Bâtiments!$E$6:$E$15,MATCH($A27,Bâtiments!$A$6:$A$15,0))),"",ROUND($G27*(1+Paramètres!$B$10)^(9-$D27),0))</f>
        <v>190</v>
      </c>
      <c r="Q27" s="14" t="n">
        <f aca="false">IF(OR(10&lt;$D27,10&gt;INDEX(Bâtiments!$E$6:$E$15,MATCH($A27,Bâtiments!$A$6:$A$15,0))),"",ROUND($G27*(1+Paramètres!$B$10)^(10-$D27),0))</f>
        <v>212</v>
      </c>
      <c r="R27" s="14" t="n">
        <f aca="false">IF(OR(11&lt;$D27,11&gt;INDEX(Bâtiments!$E$6:$E$15,MATCH($A27,Bâtiments!$A$6:$A$15,0))),"",ROUND($G27*(1+Paramètres!$B$10)^(11-$D27),0))</f>
        <v>238</v>
      </c>
      <c r="S27" s="14" t="n">
        <f aca="false">IF(OR(12&lt;$D27,12&gt;INDEX(Bâtiments!$E$6:$E$15,MATCH($A27,Bâtiments!$A$6:$A$15,0))),"",ROUND($G27*(1+Paramètres!$B$10)^(12-$D27),0))</f>
        <v>266</v>
      </c>
      <c r="T27" s="14" t="n">
        <f aca="false">IF(OR(13&lt;$D27,13&gt;INDEX(Bâtiments!$E$6:$E$15,MATCH($A27,Bâtiments!$A$6:$A$15,0))),"",ROUND($G27*(1+Paramètres!$B$10)^(13-$D27),0))</f>
        <v>298</v>
      </c>
      <c r="U27" s="14" t="n">
        <f aca="false">IF(OR(14&lt;$D27,14&gt;INDEX(Bâtiments!$E$6:$E$15,MATCH($A27,Bâtiments!$A$6:$A$15,0))),"",ROUND($G27*(1+Paramètres!$B$10)^(14-$D27),0))</f>
        <v>334</v>
      </c>
      <c r="V27" s="14" t="n">
        <f aca="false">IF(OR(15&lt;$D27,15&gt;INDEX(Bâtiments!$E$6:$E$15,MATCH($A27,Bâtiments!$A$6:$A$15,0))),"",ROUND($G27*(1+Paramètres!$B$10)^(15-$D27),0))</f>
        <v>374</v>
      </c>
      <c r="W27" s="14" t="n">
        <f aca="false">IF(OR(16&lt;$D27,16&gt;INDEX(Bâtiments!$E$6:$E$15,MATCH($A27,Bâtiments!$A$6:$A$15,0))),"",ROUND($G27*(1+Paramètres!$B$10)^(16-$D27),0))</f>
        <v>419</v>
      </c>
      <c r="X27" s="14" t="n">
        <f aca="false">IF(OR(17&lt;$D27,17&gt;INDEX(Bâtiments!$E$6:$E$15,MATCH($A27,Bâtiments!$A$6:$A$15,0))),"",ROUND($G27*(1+Paramètres!$B$10)^(17-$D27),0))</f>
        <v>470</v>
      </c>
      <c r="Y27" s="14" t="n">
        <f aca="false">IF(OR(18&lt;$D27,18&gt;INDEX(Bâtiments!$E$6:$E$15,MATCH($A27,Bâtiments!$A$6:$A$15,0))),"",ROUND($G27*(1+Paramètres!$B$10)^(18-$D27),0))</f>
        <v>526</v>
      </c>
      <c r="Z27" s="14" t="n">
        <f aca="false">IF(OR(19&lt;$D27,19&gt;INDEX(Bâtiments!$E$6:$E$15,MATCH($A27,Bâtiments!$A$6:$A$15,0))),"",ROUND($G27*(1+Paramètres!$B$10)^(19-$D27),0))</f>
        <v>589</v>
      </c>
      <c r="AA27" s="14" t="n">
        <f aca="false">IF(OR(20&lt;$D27,20&gt;INDEX(Bâtiments!$E$6:$E$15,MATCH($A27,Bâtiments!$A$6:$A$15,0))),"",ROUND($G27*(1+Paramètres!$B$10)^(20-$D27),0))</f>
        <v>660</v>
      </c>
      <c r="AB27" s="14" t="str">
        <f aca="false">IF(OR(21&lt;$D27,21&gt;INDEX(Bâtiments!$E$6:$E$15,MATCH($A27,Bâtiments!$A$6:$A$15,0))),"",ROUND($G27*(1+Paramètres!$B$10)^(21-$D27),0))</f>
        <v/>
      </c>
      <c r="AC27" s="14" t="str">
        <f aca="false">IF(OR(22&lt;$D27,22&gt;INDEX(Bâtiments!$E$6:$E$15,MATCH($A27,Bâtiments!$A$6:$A$15,0))),"",ROUND($G27*(1+Paramètres!$B$10)^(22-$D27),0))</f>
        <v/>
      </c>
      <c r="AD27" s="14" t="str">
        <f aca="false">IF(OR(23&lt;$D27,23&gt;INDEX(Bâtiments!$E$6:$E$15,MATCH($A27,Bâtiments!$A$6:$A$15,0))),"",ROUND($G27*(1+Paramètres!$B$10)^(23-$D27),0))</f>
        <v/>
      </c>
      <c r="AE27" s="14" t="str">
        <f aca="false">IF(OR(24&lt;$D27,24&gt;INDEX(Bâtiments!$E$6:$E$15,MATCH($A27,Bâtiments!$A$6:$A$15,0))),"",ROUND($G27*(1+Paramètres!$B$10)^(24-$D27),0))</f>
        <v/>
      </c>
      <c r="AF27" s="14" t="str">
        <f aca="false">IF(OR(25&lt;$D27,25&gt;INDEX(Bâtiments!$E$6:$E$15,MATCH($A27,Bâtiments!$A$6:$A$15,0))),"",ROUND($G27*(1+Paramètres!$B$10)^(25-$D27),0))</f>
        <v/>
      </c>
      <c r="AG27" s="15" t="n">
        <f aca="false">INDEX(Bâtiments!$E$6:$E$15,MATCH($A27,Bâtiments!$A$6:$A$15,0))</f>
        <v>20</v>
      </c>
      <c r="AH27" s="16" t="n">
        <f aca="false">ROUND($G27*(1+Paramètres!$B$10)^(AG27-$D27),0)</f>
        <v>660</v>
      </c>
      <c r="AI27" s="14" t="n">
        <f aca="false">AH27*Paramètres!$B$11</f>
        <v>5280</v>
      </c>
    </row>
    <row r="28" customFormat="false" ht="15" hidden="false" customHeight="false" outlineLevel="0" collapsed="false">
      <c r="A28" s="8" t="s">
        <v>64</v>
      </c>
      <c r="B28" s="7" t="s">
        <v>161</v>
      </c>
      <c r="C28" s="9" t="n">
        <v>4</v>
      </c>
      <c r="D28" s="9" t="n">
        <v>11</v>
      </c>
      <c r="E28" s="9" t="n">
        <v>50</v>
      </c>
      <c r="F28" s="13" t="s">
        <v>162</v>
      </c>
      <c r="G28" s="14" t="n">
        <f aca="false">INDEX(Paramètres!$B$5:$B$9,$C28)</f>
        <v>200</v>
      </c>
      <c r="H28" s="14" t="str">
        <f aca="false">IF(OR(1&lt;$D28,1&gt;INDEX(Bâtiments!$E$6:$E$15,MATCH($A28,Bâtiments!$A$6:$A$15,0))),"",ROUND($G28*(1+Paramètres!$B$10)^(1-$D28),0))</f>
        <v/>
      </c>
      <c r="I28" s="14" t="str">
        <f aca="false">IF(OR(2&lt;$D28,2&gt;INDEX(Bâtiments!$E$6:$E$15,MATCH($A28,Bâtiments!$A$6:$A$15,0))),"",ROUND($G28*(1+Paramètres!$B$10)^(2-$D28),0))</f>
        <v/>
      </c>
      <c r="J28" s="14" t="str">
        <f aca="false">IF(OR(3&lt;$D28,3&gt;INDEX(Bâtiments!$E$6:$E$15,MATCH($A28,Bâtiments!$A$6:$A$15,0))),"",ROUND($G28*(1+Paramètres!$B$10)^(3-$D28),0))</f>
        <v/>
      </c>
      <c r="K28" s="14" t="str">
        <f aca="false">IF(OR(4&lt;$D28,4&gt;INDEX(Bâtiments!$E$6:$E$15,MATCH($A28,Bâtiments!$A$6:$A$15,0))),"",ROUND($G28*(1+Paramètres!$B$10)^(4-$D28),0))</f>
        <v/>
      </c>
      <c r="L28" s="14" t="str">
        <f aca="false">IF(OR(5&lt;$D28,5&gt;INDEX(Bâtiments!$E$6:$E$15,MATCH($A28,Bâtiments!$A$6:$A$15,0))),"",ROUND($G28*(1+Paramètres!$B$10)^(5-$D28),0))</f>
        <v/>
      </c>
      <c r="M28" s="14" t="str">
        <f aca="false">IF(OR(6&lt;$D28,6&gt;INDEX(Bâtiments!$E$6:$E$15,MATCH($A28,Bâtiments!$A$6:$A$15,0))),"",ROUND($G28*(1+Paramètres!$B$10)^(6-$D28),0))</f>
        <v/>
      </c>
      <c r="N28" s="14" t="str">
        <f aca="false">IF(OR(7&lt;$D28,7&gt;INDEX(Bâtiments!$E$6:$E$15,MATCH($A28,Bâtiments!$A$6:$A$15,0))),"",ROUND($G28*(1+Paramètres!$B$10)^(7-$D28),0))</f>
        <v/>
      </c>
      <c r="O28" s="14" t="str">
        <f aca="false">IF(OR(8&lt;$D28,8&gt;INDEX(Bâtiments!$E$6:$E$15,MATCH($A28,Bâtiments!$A$6:$A$15,0))),"",ROUND($G28*(1+Paramètres!$B$10)^(8-$D28),0))</f>
        <v/>
      </c>
      <c r="P28" s="14" t="str">
        <f aca="false">IF(OR(9&lt;$D28,9&gt;INDEX(Bâtiments!$E$6:$E$15,MATCH($A28,Bâtiments!$A$6:$A$15,0))),"",ROUND($G28*(1+Paramètres!$B$10)^(9-$D28),0))</f>
        <v/>
      </c>
      <c r="Q28" s="14" t="str">
        <f aca="false">IF(OR(10&lt;$D28,10&gt;INDEX(Bâtiments!$E$6:$E$15,MATCH($A28,Bâtiments!$A$6:$A$15,0))),"",ROUND($G28*(1+Paramètres!$B$10)^(10-$D28),0))</f>
        <v/>
      </c>
      <c r="R28" s="14" t="n">
        <f aca="false">IF(OR(11&lt;$D28,11&gt;INDEX(Bâtiments!$E$6:$E$15,MATCH($A28,Bâtiments!$A$6:$A$15,0))),"",ROUND($G28*(1+Paramètres!$B$10)^(11-$D28),0))</f>
        <v>200</v>
      </c>
      <c r="S28" s="14" t="n">
        <f aca="false">IF(OR(12&lt;$D28,12&gt;INDEX(Bâtiments!$E$6:$E$15,MATCH($A28,Bâtiments!$A$6:$A$15,0))),"",ROUND($G28*(1+Paramètres!$B$10)^(12-$D28),0))</f>
        <v>224</v>
      </c>
      <c r="T28" s="14" t="n">
        <f aca="false">IF(OR(13&lt;$D28,13&gt;INDEX(Bâtiments!$E$6:$E$15,MATCH($A28,Bâtiments!$A$6:$A$15,0))),"",ROUND($G28*(1+Paramètres!$B$10)^(13-$D28),0))</f>
        <v>251</v>
      </c>
      <c r="U28" s="14" t="n">
        <f aca="false">IF(OR(14&lt;$D28,14&gt;INDEX(Bâtiments!$E$6:$E$15,MATCH($A28,Bâtiments!$A$6:$A$15,0))),"",ROUND($G28*(1+Paramètres!$B$10)^(14-$D28),0))</f>
        <v>281</v>
      </c>
      <c r="V28" s="14" t="n">
        <f aca="false">IF(OR(15&lt;$D28,15&gt;INDEX(Bâtiments!$E$6:$E$15,MATCH($A28,Bâtiments!$A$6:$A$15,0))),"",ROUND($G28*(1+Paramètres!$B$10)^(15-$D28),0))</f>
        <v>315</v>
      </c>
      <c r="W28" s="14" t="n">
        <f aca="false">IF(OR(16&lt;$D28,16&gt;INDEX(Bâtiments!$E$6:$E$15,MATCH($A28,Bâtiments!$A$6:$A$15,0))),"",ROUND($G28*(1+Paramètres!$B$10)^(16-$D28),0))</f>
        <v>352</v>
      </c>
      <c r="X28" s="14" t="n">
        <f aca="false">IF(OR(17&lt;$D28,17&gt;INDEX(Bâtiments!$E$6:$E$15,MATCH($A28,Bâtiments!$A$6:$A$15,0))),"",ROUND($G28*(1+Paramètres!$B$10)^(17-$D28),0))</f>
        <v>395</v>
      </c>
      <c r="Y28" s="14" t="n">
        <f aca="false">IF(OR(18&lt;$D28,18&gt;INDEX(Bâtiments!$E$6:$E$15,MATCH($A28,Bâtiments!$A$6:$A$15,0))),"",ROUND($G28*(1+Paramètres!$B$10)^(18-$D28),0))</f>
        <v>442</v>
      </c>
      <c r="Z28" s="14" t="n">
        <f aca="false">IF(OR(19&lt;$D28,19&gt;INDEX(Bâtiments!$E$6:$E$15,MATCH($A28,Bâtiments!$A$6:$A$15,0))),"",ROUND($G28*(1+Paramètres!$B$10)^(19-$D28),0))</f>
        <v>495</v>
      </c>
      <c r="AA28" s="14" t="n">
        <f aca="false">IF(OR(20&lt;$D28,20&gt;INDEX(Bâtiments!$E$6:$E$15,MATCH($A28,Bâtiments!$A$6:$A$15,0))),"",ROUND($G28*(1+Paramètres!$B$10)^(20-$D28),0))</f>
        <v>555</v>
      </c>
      <c r="AB28" s="14" t="str">
        <f aca="false">IF(OR(21&lt;$D28,21&gt;INDEX(Bâtiments!$E$6:$E$15,MATCH($A28,Bâtiments!$A$6:$A$15,0))),"",ROUND($G28*(1+Paramètres!$B$10)^(21-$D28),0))</f>
        <v/>
      </c>
      <c r="AC28" s="14" t="str">
        <f aca="false">IF(OR(22&lt;$D28,22&gt;INDEX(Bâtiments!$E$6:$E$15,MATCH($A28,Bâtiments!$A$6:$A$15,0))),"",ROUND($G28*(1+Paramètres!$B$10)^(22-$D28),0))</f>
        <v/>
      </c>
      <c r="AD28" s="14" t="str">
        <f aca="false">IF(OR(23&lt;$D28,23&gt;INDEX(Bâtiments!$E$6:$E$15,MATCH($A28,Bâtiments!$A$6:$A$15,0))),"",ROUND($G28*(1+Paramètres!$B$10)^(23-$D28),0))</f>
        <v/>
      </c>
      <c r="AE28" s="14" t="str">
        <f aca="false">IF(OR(24&lt;$D28,24&gt;INDEX(Bâtiments!$E$6:$E$15,MATCH($A28,Bâtiments!$A$6:$A$15,0))),"",ROUND($G28*(1+Paramètres!$B$10)^(24-$D28),0))</f>
        <v/>
      </c>
      <c r="AF28" s="14" t="str">
        <f aca="false">IF(OR(25&lt;$D28,25&gt;INDEX(Bâtiments!$E$6:$E$15,MATCH($A28,Bâtiments!$A$6:$A$15,0))),"",ROUND($G28*(1+Paramètres!$B$10)^(25-$D28),0))</f>
        <v/>
      </c>
      <c r="AG28" s="15" t="n">
        <f aca="false">INDEX(Bâtiments!$E$6:$E$15,MATCH($A28,Bâtiments!$A$6:$A$15,0))</f>
        <v>20</v>
      </c>
      <c r="AH28" s="16" t="n">
        <f aca="false">ROUND($G28*(1+Paramètres!$B$10)^(AG28-$D28),0)</f>
        <v>555</v>
      </c>
      <c r="AI28" s="14" t="n">
        <f aca="false">AH28*Paramètres!$B$11</f>
        <v>4440</v>
      </c>
    </row>
    <row r="29" customFormat="false" ht="15" hidden="false" customHeight="false" outlineLevel="0" collapsed="false">
      <c r="A29" s="8" t="s">
        <v>64</v>
      </c>
      <c r="B29" s="7" t="s">
        <v>163</v>
      </c>
      <c r="C29" s="9" t="n">
        <v>4</v>
      </c>
      <c r="D29" s="9" t="n">
        <v>11</v>
      </c>
      <c r="E29" s="9" t="n">
        <v>50</v>
      </c>
      <c r="F29" s="13" t="s">
        <v>164</v>
      </c>
      <c r="G29" s="14" t="n">
        <f aca="false">INDEX(Paramètres!$B$5:$B$9,$C29)</f>
        <v>200</v>
      </c>
      <c r="H29" s="14" t="str">
        <f aca="false">IF(OR(1&lt;$D29,1&gt;INDEX(Bâtiments!$E$6:$E$15,MATCH($A29,Bâtiments!$A$6:$A$15,0))),"",ROUND($G29*(1+Paramètres!$B$10)^(1-$D29),0))</f>
        <v/>
      </c>
      <c r="I29" s="14" t="str">
        <f aca="false">IF(OR(2&lt;$D29,2&gt;INDEX(Bâtiments!$E$6:$E$15,MATCH($A29,Bâtiments!$A$6:$A$15,0))),"",ROUND($G29*(1+Paramètres!$B$10)^(2-$D29),0))</f>
        <v/>
      </c>
      <c r="J29" s="14" t="str">
        <f aca="false">IF(OR(3&lt;$D29,3&gt;INDEX(Bâtiments!$E$6:$E$15,MATCH($A29,Bâtiments!$A$6:$A$15,0))),"",ROUND($G29*(1+Paramètres!$B$10)^(3-$D29),0))</f>
        <v/>
      </c>
      <c r="K29" s="14" t="str">
        <f aca="false">IF(OR(4&lt;$D29,4&gt;INDEX(Bâtiments!$E$6:$E$15,MATCH($A29,Bâtiments!$A$6:$A$15,0))),"",ROUND($G29*(1+Paramètres!$B$10)^(4-$D29),0))</f>
        <v/>
      </c>
      <c r="L29" s="14" t="str">
        <f aca="false">IF(OR(5&lt;$D29,5&gt;INDEX(Bâtiments!$E$6:$E$15,MATCH($A29,Bâtiments!$A$6:$A$15,0))),"",ROUND($G29*(1+Paramètres!$B$10)^(5-$D29),0))</f>
        <v/>
      </c>
      <c r="M29" s="14" t="str">
        <f aca="false">IF(OR(6&lt;$D29,6&gt;INDEX(Bâtiments!$E$6:$E$15,MATCH($A29,Bâtiments!$A$6:$A$15,0))),"",ROUND($G29*(1+Paramètres!$B$10)^(6-$D29),0))</f>
        <v/>
      </c>
      <c r="N29" s="14" t="str">
        <f aca="false">IF(OR(7&lt;$D29,7&gt;INDEX(Bâtiments!$E$6:$E$15,MATCH($A29,Bâtiments!$A$6:$A$15,0))),"",ROUND($G29*(1+Paramètres!$B$10)^(7-$D29),0))</f>
        <v/>
      </c>
      <c r="O29" s="14" t="str">
        <f aca="false">IF(OR(8&lt;$D29,8&gt;INDEX(Bâtiments!$E$6:$E$15,MATCH($A29,Bâtiments!$A$6:$A$15,0))),"",ROUND($G29*(1+Paramètres!$B$10)^(8-$D29),0))</f>
        <v/>
      </c>
      <c r="P29" s="14" t="str">
        <f aca="false">IF(OR(9&lt;$D29,9&gt;INDEX(Bâtiments!$E$6:$E$15,MATCH($A29,Bâtiments!$A$6:$A$15,0))),"",ROUND($G29*(1+Paramètres!$B$10)^(9-$D29),0))</f>
        <v/>
      </c>
      <c r="Q29" s="14" t="str">
        <f aca="false">IF(OR(10&lt;$D29,10&gt;INDEX(Bâtiments!$E$6:$E$15,MATCH($A29,Bâtiments!$A$6:$A$15,0))),"",ROUND($G29*(1+Paramètres!$B$10)^(10-$D29),0))</f>
        <v/>
      </c>
      <c r="R29" s="14" t="n">
        <f aca="false">IF(OR(11&lt;$D29,11&gt;INDEX(Bâtiments!$E$6:$E$15,MATCH($A29,Bâtiments!$A$6:$A$15,0))),"",ROUND($G29*(1+Paramètres!$B$10)^(11-$D29),0))</f>
        <v>200</v>
      </c>
      <c r="S29" s="14" t="n">
        <f aca="false">IF(OR(12&lt;$D29,12&gt;INDEX(Bâtiments!$E$6:$E$15,MATCH($A29,Bâtiments!$A$6:$A$15,0))),"",ROUND($G29*(1+Paramètres!$B$10)^(12-$D29),0))</f>
        <v>224</v>
      </c>
      <c r="T29" s="14" t="n">
        <f aca="false">IF(OR(13&lt;$D29,13&gt;INDEX(Bâtiments!$E$6:$E$15,MATCH($A29,Bâtiments!$A$6:$A$15,0))),"",ROUND($G29*(1+Paramètres!$B$10)^(13-$D29),0))</f>
        <v>251</v>
      </c>
      <c r="U29" s="14" t="n">
        <f aca="false">IF(OR(14&lt;$D29,14&gt;INDEX(Bâtiments!$E$6:$E$15,MATCH($A29,Bâtiments!$A$6:$A$15,0))),"",ROUND($G29*(1+Paramètres!$B$10)^(14-$D29),0))</f>
        <v>281</v>
      </c>
      <c r="V29" s="14" t="n">
        <f aca="false">IF(OR(15&lt;$D29,15&gt;INDEX(Bâtiments!$E$6:$E$15,MATCH($A29,Bâtiments!$A$6:$A$15,0))),"",ROUND($G29*(1+Paramètres!$B$10)^(15-$D29),0))</f>
        <v>315</v>
      </c>
      <c r="W29" s="14" t="n">
        <f aca="false">IF(OR(16&lt;$D29,16&gt;INDEX(Bâtiments!$E$6:$E$15,MATCH($A29,Bâtiments!$A$6:$A$15,0))),"",ROUND($G29*(1+Paramètres!$B$10)^(16-$D29),0))</f>
        <v>352</v>
      </c>
      <c r="X29" s="14" t="n">
        <f aca="false">IF(OR(17&lt;$D29,17&gt;INDEX(Bâtiments!$E$6:$E$15,MATCH($A29,Bâtiments!$A$6:$A$15,0))),"",ROUND($G29*(1+Paramètres!$B$10)^(17-$D29),0))</f>
        <v>395</v>
      </c>
      <c r="Y29" s="14" t="n">
        <f aca="false">IF(OR(18&lt;$D29,18&gt;INDEX(Bâtiments!$E$6:$E$15,MATCH($A29,Bâtiments!$A$6:$A$15,0))),"",ROUND($G29*(1+Paramètres!$B$10)^(18-$D29),0))</f>
        <v>442</v>
      </c>
      <c r="Z29" s="14" t="n">
        <f aca="false">IF(OR(19&lt;$D29,19&gt;INDEX(Bâtiments!$E$6:$E$15,MATCH($A29,Bâtiments!$A$6:$A$15,0))),"",ROUND($G29*(1+Paramètres!$B$10)^(19-$D29),0))</f>
        <v>495</v>
      </c>
      <c r="AA29" s="14" t="n">
        <f aca="false">IF(OR(20&lt;$D29,20&gt;INDEX(Bâtiments!$E$6:$E$15,MATCH($A29,Bâtiments!$A$6:$A$15,0))),"",ROUND($G29*(1+Paramètres!$B$10)^(20-$D29),0))</f>
        <v>555</v>
      </c>
      <c r="AB29" s="14" t="str">
        <f aca="false">IF(OR(21&lt;$D29,21&gt;INDEX(Bâtiments!$E$6:$E$15,MATCH($A29,Bâtiments!$A$6:$A$15,0))),"",ROUND($G29*(1+Paramètres!$B$10)^(21-$D29),0))</f>
        <v/>
      </c>
      <c r="AC29" s="14" t="str">
        <f aca="false">IF(OR(22&lt;$D29,22&gt;INDEX(Bâtiments!$E$6:$E$15,MATCH($A29,Bâtiments!$A$6:$A$15,0))),"",ROUND($G29*(1+Paramètres!$B$10)^(22-$D29),0))</f>
        <v/>
      </c>
      <c r="AD29" s="14" t="str">
        <f aca="false">IF(OR(23&lt;$D29,23&gt;INDEX(Bâtiments!$E$6:$E$15,MATCH($A29,Bâtiments!$A$6:$A$15,0))),"",ROUND($G29*(1+Paramètres!$B$10)^(23-$D29),0))</f>
        <v/>
      </c>
      <c r="AE29" s="14" t="str">
        <f aca="false">IF(OR(24&lt;$D29,24&gt;INDEX(Bâtiments!$E$6:$E$15,MATCH($A29,Bâtiments!$A$6:$A$15,0))),"",ROUND($G29*(1+Paramètres!$B$10)^(24-$D29),0))</f>
        <v/>
      </c>
      <c r="AF29" s="14" t="str">
        <f aca="false">IF(OR(25&lt;$D29,25&gt;INDEX(Bâtiments!$E$6:$E$15,MATCH($A29,Bâtiments!$A$6:$A$15,0))),"",ROUND($G29*(1+Paramètres!$B$10)^(25-$D29),0))</f>
        <v/>
      </c>
      <c r="AG29" s="15" t="n">
        <f aca="false">INDEX(Bâtiments!$E$6:$E$15,MATCH($A29,Bâtiments!$A$6:$A$15,0))</f>
        <v>20</v>
      </c>
      <c r="AH29" s="16" t="n">
        <f aca="false">ROUND($G29*(1+Paramètres!$B$10)^(AG29-$D29),0)</f>
        <v>555</v>
      </c>
      <c r="AI29" s="14" t="n">
        <f aca="false">AH29*Paramètres!$B$11</f>
        <v>4440</v>
      </c>
    </row>
    <row r="30" customFormat="false" ht="15" hidden="false" customHeight="false" outlineLevel="0" collapsed="false">
      <c r="A30" s="8" t="s">
        <v>64</v>
      </c>
      <c r="B30" s="7" t="s">
        <v>165</v>
      </c>
      <c r="C30" s="9" t="n">
        <v>4</v>
      </c>
      <c r="D30" s="9" t="n">
        <v>11</v>
      </c>
      <c r="E30" s="9" t="n">
        <v>50</v>
      </c>
      <c r="F30" s="13" t="s">
        <v>166</v>
      </c>
      <c r="G30" s="14" t="n">
        <f aca="false">INDEX(Paramètres!$B$5:$B$9,$C30)</f>
        <v>200</v>
      </c>
      <c r="H30" s="14" t="str">
        <f aca="false">IF(OR(1&lt;$D30,1&gt;INDEX(Bâtiments!$E$6:$E$15,MATCH($A30,Bâtiments!$A$6:$A$15,0))),"",ROUND($G30*(1+Paramètres!$B$10)^(1-$D30),0))</f>
        <v/>
      </c>
      <c r="I30" s="14" t="str">
        <f aca="false">IF(OR(2&lt;$D30,2&gt;INDEX(Bâtiments!$E$6:$E$15,MATCH($A30,Bâtiments!$A$6:$A$15,0))),"",ROUND($G30*(1+Paramètres!$B$10)^(2-$D30),0))</f>
        <v/>
      </c>
      <c r="J30" s="14" t="str">
        <f aca="false">IF(OR(3&lt;$D30,3&gt;INDEX(Bâtiments!$E$6:$E$15,MATCH($A30,Bâtiments!$A$6:$A$15,0))),"",ROUND($G30*(1+Paramètres!$B$10)^(3-$D30),0))</f>
        <v/>
      </c>
      <c r="K30" s="14" t="str">
        <f aca="false">IF(OR(4&lt;$D30,4&gt;INDEX(Bâtiments!$E$6:$E$15,MATCH($A30,Bâtiments!$A$6:$A$15,0))),"",ROUND($G30*(1+Paramètres!$B$10)^(4-$D30),0))</f>
        <v/>
      </c>
      <c r="L30" s="14" t="str">
        <f aca="false">IF(OR(5&lt;$D30,5&gt;INDEX(Bâtiments!$E$6:$E$15,MATCH($A30,Bâtiments!$A$6:$A$15,0))),"",ROUND($G30*(1+Paramètres!$B$10)^(5-$D30),0))</f>
        <v/>
      </c>
      <c r="M30" s="14" t="str">
        <f aca="false">IF(OR(6&lt;$D30,6&gt;INDEX(Bâtiments!$E$6:$E$15,MATCH($A30,Bâtiments!$A$6:$A$15,0))),"",ROUND($G30*(1+Paramètres!$B$10)^(6-$D30),0))</f>
        <v/>
      </c>
      <c r="N30" s="14" t="str">
        <f aca="false">IF(OR(7&lt;$D30,7&gt;INDEX(Bâtiments!$E$6:$E$15,MATCH($A30,Bâtiments!$A$6:$A$15,0))),"",ROUND($G30*(1+Paramètres!$B$10)^(7-$D30),0))</f>
        <v/>
      </c>
      <c r="O30" s="14" t="str">
        <f aca="false">IF(OR(8&lt;$D30,8&gt;INDEX(Bâtiments!$E$6:$E$15,MATCH($A30,Bâtiments!$A$6:$A$15,0))),"",ROUND($G30*(1+Paramètres!$B$10)^(8-$D30),0))</f>
        <v/>
      </c>
      <c r="P30" s="14" t="str">
        <f aca="false">IF(OR(9&lt;$D30,9&gt;INDEX(Bâtiments!$E$6:$E$15,MATCH($A30,Bâtiments!$A$6:$A$15,0))),"",ROUND($G30*(1+Paramètres!$B$10)^(9-$D30),0))</f>
        <v/>
      </c>
      <c r="Q30" s="14" t="str">
        <f aca="false">IF(OR(10&lt;$D30,10&gt;INDEX(Bâtiments!$E$6:$E$15,MATCH($A30,Bâtiments!$A$6:$A$15,0))),"",ROUND($G30*(1+Paramètres!$B$10)^(10-$D30),0))</f>
        <v/>
      </c>
      <c r="R30" s="14" t="n">
        <f aca="false">IF(OR(11&lt;$D30,11&gt;INDEX(Bâtiments!$E$6:$E$15,MATCH($A30,Bâtiments!$A$6:$A$15,0))),"",ROUND($G30*(1+Paramètres!$B$10)^(11-$D30),0))</f>
        <v>200</v>
      </c>
      <c r="S30" s="14" t="n">
        <f aca="false">IF(OR(12&lt;$D30,12&gt;INDEX(Bâtiments!$E$6:$E$15,MATCH($A30,Bâtiments!$A$6:$A$15,0))),"",ROUND($G30*(1+Paramètres!$B$10)^(12-$D30),0))</f>
        <v>224</v>
      </c>
      <c r="T30" s="14" t="n">
        <f aca="false">IF(OR(13&lt;$D30,13&gt;INDEX(Bâtiments!$E$6:$E$15,MATCH($A30,Bâtiments!$A$6:$A$15,0))),"",ROUND($G30*(1+Paramètres!$B$10)^(13-$D30),0))</f>
        <v>251</v>
      </c>
      <c r="U30" s="14" t="n">
        <f aca="false">IF(OR(14&lt;$D30,14&gt;INDEX(Bâtiments!$E$6:$E$15,MATCH($A30,Bâtiments!$A$6:$A$15,0))),"",ROUND($G30*(1+Paramètres!$B$10)^(14-$D30),0))</f>
        <v>281</v>
      </c>
      <c r="V30" s="14" t="n">
        <f aca="false">IF(OR(15&lt;$D30,15&gt;INDEX(Bâtiments!$E$6:$E$15,MATCH($A30,Bâtiments!$A$6:$A$15,0))),"",ROUND($G30*(1+Paramètres!$B$10)^(15-$D30),0))</f>
        <v>315</v>
      </c>
      <c r="W30" s="14" t="n">
        <f aca="false">IF(OR(16&lt;$D30,16&gt;INDEX(Bâtiments!$E$6:$E$15,MATCH($A30,Bâtiments!$A$6:$A$15,0))),"",ROUND($G30*(1+Paramètres!$B$10)^(16-$D30),0))</f>
        <v>352</v>
      </c>
      <c r="X30" s="14" t="n">
        <f aca="false">IF(OR(17&lt;$D30,17&gt;INDEX(Bâtiments!$E$6:$E$15,MATCH($A30,Bâtiments!$A$6:$A$15,0))),"",ROUND($G30*(1+Paramètres!$B$10)^(17-$D30),0))</f>
        <v>395</v>
      </c>
      <c r="Y30" s="14" t="n">
        <f aca="false">IF(OR(18&lt;$D30,18&gt;INDEX(Bâtiments!$E$6:$E$15,MATCH($A30,Bâtiments!$A$6:$A$15,0))),"",ROUND($G30*(1+Paramètres!$B$10)^(18-$D30),0))</f>
        <v>442</v>
      </c>
      <c r="Z30" s="14" t="n">
        <f aca="false">IF(OR(19&lt;$D30,19&gt;INDEX(Bâtiments!$E$6:$E$15,MATCH($A30,Bâtiments!$A$6:$A$15,0))),"",ROUND($G30*(1+Paramètres!$B$10)^(19-$D30),0))</f>
        <v>495</v>
      </c>
      <c r="AA30" s="14" t="n">
        <f aca="false">IF(OR(20&lt;$D30,20&gt;INDEX(Bâtiments!$E$6:$E$15,MATCH($A30,Bâtiments!$A$6:$A$15,0))),"",ROUND($G30*(1+Paramètres!$B$10)^(20-$D30),0))</f>
        <v>555</v>
      </c>
      <c r="AB30" s="14" t="str">
        <f aca="false">IF(OR(21&lt;$D30,21&gt;INDEX(Bâtiments!$E$6:$E$15,MATCH($A30,Bâtiments!$A$6:$A$15,0))),"",ROUND($G30*(1+Paramètres!$B$10)^(21-$D30),0))</f>
        <v/>
      </c>
      <c r="AC30" s="14" t="str">
        <f aca="false">IF(OR(22&lt;$D30,22&gt;INDEX(Bâtiments!$E$6:$E$15,MATCH($A30,Bâtiments!$A$6:$A$15,0))),"",ROUND($G30*(1+Paramètres!$B$10)^(22-$D30),0))</f>
        <v/>
      </c>
      <c r="AD30" s="14" t="str">
        <f aca="false">IF(OR(23&lt;$D30,23&gt;INDEX(Bâtiments!$E$6:$E$15,MATCH($A30,Bâtiments!$A$6:$A$15,0))),"",ROUND($G30*(1+Paramètres!$B$10)^(23-$D30),0))</f>
        <v/>
      </c>
      <c r="AE30" s="14" t="str">
        <f aca="false">IF(OR(24&lt;$D30,24&gt;INDEX(Bâtiments!$E$6:$E$15,MATCH($A30,Bâtiments!$A$6:$A$15,0))),"",ROUND($G30*(1+Paramètres!$B$10)^(24-$D30),0))</f>
        <v/>
      </c>
      <c r="AF30" s="14" t="str">
        <f aca="false">IF(OR(25&lt;$D30,25&gt;INDEX(Bâtiments!$E$6:$E$15,MATCH($A30,Bâtiments!$A$6:$A$15,0))),"",ROUND($G30*(1+Paramètres!$B$10)^(25-$D30),0))</f>
        <v/>
      </c>
      <c r="AG30" s="15" t="n">
        <f aca="false">INDEX(Bâtiments!$E$6:$E$15,MATCH($A30,Bâtiments!$A$6:$A$15,0))</f>
        <v>20</v>
      </c>
      <c r="AH30" s="16" t="n">
        <f aca="false">ROUND($G30*(1+Paramètres!$B$10)^(AG30-$D30),0)</f>
        <v>555</v>
      </c>
      <c r="AI30" s="14" t="n">
        <f aca="false">AH30*Paramètres!$B$11</f>
        <v>4440</v>
      </c>
    </row>
    <row r="31" customFormat="false" ht="15" hidden="false" customHeight="false" outlineLevel="0" collapsed="false">
      <c r="A31" s="8" t="s">
        <v>64</v>
      </c>
      <c r="B31" s="7" t="s">
        <v>167</v>
      </c>
      <c r="C31" s="9" t="n">
        <v>4</v>
      </c>
      <c r="D31" s="9" t="n">
        <v>11</v>
      </c>
      <c r="E31" s="9" t="n">
        <v>50</v>
      </c>
      <c r="F31" s="13" t="s">
        <v>168</v>
      </c>
      <c r="G31" s="14" t="n">
        <f aca="false">INDEX(Paramètres!$B$5:$B$9,$C31)</f>
        <v>200</v>
      </c>
      <c r="H31" s="14" t="str">
        <f aca="false">IF(OR(1&lt;$D31,1&gt;INDEX(Bâtiments!$E$6:$E$15,MATCH($A31,Bâtiments!$A$6:$A$15,0))),"",ROUND($G31*(1+Paramètres!$B$10)^(1-$D31),0))</f>
        <v/>
      </c>
      <c r="I31" s="14" t="str">
        <f aca="false">IF(OR(2&lt;$D31,2&gt;INDEX(Bâtiments!$E$6:$E$15,MATCH($A31,Bâtiments!$A$6:$A$15,0))),"",ROUND($G31*(1+Paramètres!$B$10)^(2-$D31),0))</f>
        <v/>
      </c>
      <c r="J31" s="14" t="str">
        <f aca="false">IF(OR(3&lt;$D31,3&gt;INDEX(Bâtiments!$E$6:$E$15,MATCH($A31,Bâtiments!$A$6:$A$15,0))),"",ROUND($G31*(1+Paramètres!$B$10)^(3-$D31),0))</f>
        <v/>
      </c>
      <c r="K31" s="14" t="str">
        <f aca="false">IF(OR(4&lt;$D31,4&gt;INDEX(Bâtiments!$E$6:$E$15,MATCH($A31,Bâtiments!$A$6:$A$15,0))),"",ROUND($G31*(1+Paramètres!$B$10)^(4-$D31),0))</f>
        <v/>
      </c>
      <c r="L31" s="14" t="str">
        <f aca="false">IF(OR(5&lt;$D31,5&gt;INDEX(Bâtiments!$E$6:$E$15,MATCH($A31,Bâtiments!$A$6:$A$15,0))),"",ROUND($G31*(1+Paramètres!$B$10)^(5-$D31),0))</f>
        <v/>
      </c>
      <c r="M31" s="14" t="str">
        <f aca="false">IF(OR(6&lt;$D31,6&gt;INDEX(Bâtiments!$E$6:$E$15,MATCH($A31,Bâtiments!$A$6:$A$15,0))),"",ROUND($G31*(1+Paramètres!$B$10)^(6-$D31),0))</f>
        <v/>
      </c>
      <c r="N31" s="14" t="str">
        <f aca="false">IF(OR(7&lt;$D31,7&gt;INDEX(Bâtiments!$E$6:$E$15,MATCH($A31,Bâtiments!$A$6:$A$15,0))),"",ROUND($G31*(1+Paramètres!$B$10)^(7-$D31),0))</f>
        <v/>
      </c>
      <c r="O31" s="14" t="str">
        <f aca="false">IF(OR(8&lt;$D31,8&gt;INDEX(Bâtiments!$E$6:$E$15,MATCH($A31,Bâtiments!$A$6:$A$15,0))),"",ROUND($G31*(1+Paramètres!$B$10)^(8-$D31),0))</f>
        <v/>
      </c>
      <c r="P31" s="14" t="str">
        <f aca="false">IF(OR(9&lt;$D31,9&gt;INDEX(Bâtiments!$E$6:$E$15,MATCH($A31,Bâtiments!$A$6:$A$15,0))),"",ROUND($G31*(1+Paramètres!$B$10)^(9-$D31),0))</f>
        <v/>
      </c>
      <c r="Q31" s="14" t="str">
        <f aca="false">IF(OR(10&lt;$D31,10&gt;INDEX(Bâtiments!$E$6:$E$15,MATCH($A31,Bâtiments!$A$6:$A$15,0))),"",ROUND($G31*(1+Paramètres!$B$10)^(10-$D31),0))</f>
        <v/>
      </c>
      <c r="R31" s="14" t="n">
        <f aca="false">IF(OR(11&lt;$D31,11&gt;INDEX(Bâtiments!$E$6:$E$15,MATCH($A31,Bâtiments!$A$6:$A$15,0))),"",ROUND($G31*(1+Paramètres!$B$10)^(11-$D31),0))</f>
        <v>200</v>
      </c>
      <c r="S31" s="14" t="n">
        <f aca="false">IF(OR(12&lt;$D31,12&gt;INDEX(Bâtiments!$E$6:$E$15,MATCH($A31,Bâtiments!$A$6:$A$15,0))),"",ROUND($G31*(1+Paramètres!$B$10)^(12-$D31),0))</f>
        <v>224</v>
      </c>
      <c r="T31" s="14" t="n">
        <f aca="false">IF(OR(13&lt;$D31,13&gt;INDEX(Bâtiments!$E$6:$E$15,MATCH($A31,Bâtiments!$A$6:$A$15,0))),"",ROUND($G31*(1+Paramètres!$B$10)^(13-$D31),0))</f>
        <v>251</v>
      </c>
      <c r="U31" s="14" t="n">
        <f aca="false">IF(OR(14&lt;$D31,14&gt;INDEX(Bâtiments!$E$6:$E$15,MATCH($A31,Bâtiments!$A$6:$A$15,0))),"",ROUND($G31*(1+Paramètres!$B$10)^(14-$D31),0))</f>
        <v>281</v>
      </c>
      <c r="V31" s="14" t="n">
        <f aca="false">IF(OR(15&lt;$D31,15&gt;INDEX(Bâtiments!$E$6:$E$15,MATCH($A31,Bâtiments!$A$6:$A$15,0))),"",ROUND($G31*(1+Paramètres!$B$10)^(15-$D31),0))</f>
        <v>315</v>
      </c>
      <c r="W31" s="14" t="n">
        <f aca="false">IF(OR(16&lt;$D31,16&gt;INDEX(Bâtiments!$E$6:$E$15,MATCH($A31,Bâtiments!$A$6:$A$15,0))),"",ROUND($G31*(1+Paramètres!$B$10)^(16-$D31),0))</f>
        <v>352</v>
      </c>
      <c r="X31" s="14" t="n">
        <f aca="false">IF(OR(17&lt;$D31,17&gt;INDEX(Bâtiments!$E$6:$E$15,MATCH($A31,Bâtiments!$A$6:$A$15,0))),"",ROUND($G31*(1+Paramètres!$B$10)^(17-$D31),0))</f>
        <v>395</v>
      </c>
      <c r="Y31" s="14" t="n">
        <f aca="false">IF(OR(18&lt;$D31,18&gt;INDEX(Bâtiments!$E$6:$E$15,MATCH($A31,Bâtiments!$A$6:$A$15,0))),"",ROUND($G31*(1+Paramètres!$B$10)^(18-$D31),0))</f>
        <v>442</v>
      </c>
      <c r="Z31" s="14" t="n">
        <f aca="false">IF(OR(19&lt;$D31,19&gt;INDEX(Bâtiments!$E$6:$E$15,MATCH($A31,Bâtiments!$A$6:$A$15,0))),"",ROUND($G31*(1+Paramètres!$B$10)^(19-$D31),0))</f>
        <v>495</v>
      </c>
      <c r="AA31" s="14" t="n">
        <f aca="false">IF(OR(20&lt;$D31,20&gt;INDEX(Bâtiments!$E$6:$E$15,MATCH($A31,Bâtiments!$A$6:$A$15,0))),"",ROUND($G31*(1+Paramètres!$B$10)^(20-$D31),0))</f>
        <v>555</v>
      </c>
      <c r="AB31" s="14" t="str">
        <f aca="false">IF(OR(21&lt;$D31,21&gt;INDEX(Bâtiments!$E$6:$E$15,MATCH($A31,Bâtiments!$A$6:$A$15,0))),"",ROUND($G31*(1+Paramètres!$B$10)^(21-$D31),0))</f>
        <v/>
      </c>
      <c r="AC31" s="14" t="str">
        <f aca="false">IF(OR(22&lt;$D31,22&gt;INDEX(Bâtiments!$E$6:$E$15,MATCH($A31,Bâtiments!$A$6:$A$15,0))),"",ROUND($G31*(1+Paramètres!$B$10)^(22-$D31),0))</f>
        <v/>
      </c>
      <c r="AD31" s="14" t="str">
        <f aca="false">IF(OR(23&lt;$D31,23&gt;INDEX(Bâtiments!$E$6:$E$15,MATCH($A31,Bâtiments!$A$6:$A$15,0))),"",ROUND($G31*(1+Paramètres!$B$10)^(23-$D31),0))</f>
        <v/>
      </c>
      <c r="AE31" s="14" t="str">
        <f aca="false">IF(OR(24&lt;$D31,24&gt;INDEX(Bâtiments!$E$6:$E$15,MATCH($A31,Bâtiments!$A$6:$A$15,0))),"",ROUND($G31*(1+Paramètres!$B$10)^(24-$D31),0))</f>
        <v/>
      </c>
      <c r="AF31" s="14" t="str">
        <f aca="false">IF(OR(25&lt;$D31,25&gt;INDEX(Bâtiments!$E$6:$E$15,MATCH($A31,Bâtiments!$A$6:$A$15,0))),"",ROUND($G31*(1+Paramètres!$B$10)^(25-$D31),0))</f>
        <v/>
      </c>
      <c r="AG31" s="15" t="n">
        <f aca="false">INDEX(Bâtiments!$E$6:$E$15,MATCH($A31,Bâtiments!$A$6:$A$15,0))</f>
        <v>20</v>
      </c>
      <c r="AH31" s="16" t="n">
        <f aca="false">ROUND($G31*(1+Paramètres!$B$10)^(AG31-$D31),0)</f>
        <v>555</v>
      </c>
      <c r="AI31" s="14" t="n">
        <f aca="false">AH31*Paramètres!$B$11</f>
        <v>4440</v>
      </c>
    </row>
    <row r="32" customFormat="false" ht="15" hidden="false" customHeight="false" outlineLevel="0" collapsed="false">
      <c r="A32" s="8" t="s">
        <v>64</v>
      </c>
      <c r="B32" s="7" t="s">
        <v>169</v>
      </c>
      <c r="C32" s="9" t="n">
        <v>5</v>
      </c>
      <c r="D32" s="9" t="n">
        <v>16</v>
      </c>
      <c r="E32" s="9" t="n">
        <v>70</v>
      </c>
      <c r="F32" s="13" t="s">
        <v>170</v>
      </c>
      <c r="G32" s="14" t="n">
        <f aca="false">INDEX(Paramètres!$B$5:$B$9,$C32)</f>
        <v>300</v>
      </c>
      <c r="H32" s="14" t="str">
        <f aca="false">IF(OR(1&lt;$D32,1&gt;INDEX(Bâtiments!$E$6:$E$15,MATCH($A32,Bâtiments!$A$6:$A$15,0))),"",ROUND($G32*(1+Paramètres!$B$10)^(1-$D32),0))</f>
        <v/>
      </c>
      <c r="I32" s="14" t="str">
        <f aca="false">IF(OR(2&lt;$D32,2&gt;INDEX(Bâtiments!$E$6:$E$15,MATCH($A32,Bâtiments!$A$6:$A$15,0))),"",ROUND($G32*(1+Paramètres!$B$10)^(2-$D32),0))</f>
        <v/>
      </c>
      <c r="J32" s="14" t="str">
        <f aca="false">IF(OR(3&lt;$D32,3&gt;INDEX(Bâtiments!$E$6:$E$15,MATCH($A32,Bâtiments!$A$6:$A$15,0))),"",ROUND($G32*(1+Paramètres!$B$10)^(3-$D32),0))</f>
        <v/>
      </c>
      <c r="K32" s="14" t="str">
        <f aca="false">IF(OR(4&lt;$D32,4&gt;INDEX(Bâtiments!$E$6:$E$15,MATCH($A32,Bâtiments!$A$6:$A$15,0))),"",ROUND($G32*(1+Paramètres!$B$10)^(4-$D32),0))</f>
        <v/>
      </c>
      <c r="L32" s="14" t="str">
        <f aca="false">IF(OR(5&lt;$D32,5&gt;INDEX(Bâtiments!$E$6:$E$15,MATCH($A32,Bâtiments!$A$6:$A$15,0))),"",ROUND($G32*(1+Paramètres!$B$10)^(5-$D32),0))</f>
        <v/>
      </c>
      <c r="M32" s="14" t="str">
        <f aca="false">IF(OR(6&lt;$D32,6&gt;INDEX(Bâtiments!$E$6:$E$15,MATCH($A32,Bâtiments!$A$6:$A$15,0))),"",ROUND($G32*(1+Paramètres!$B$10)^(6-$D32),0))</f>
        <v/>
      </c>
      <c r="N32" s="14" t="str">
        <f aca="false">IF(OR(7&lt;$D32,7&gt;INDEX(Bâtiments!$E$6:$E$15,MATCH($A32,Bâtiments!$A$6:$A$15,0))),"",ROUND($G32*(1+Paramètres!$B$10)^(7-$D32),0))</f>
        <v/>
      </c>
      <c r="O32" s="14" t="str">
        <f aca="false">IF(OR(8&lt;$D32,8&gt;INDEX(Bâtiments!$E$6:$E$15,MATCH($A32,Bâtiments!$A$6:$A$15,0))),"",ROUND($G32*(1+Paramètres!$B$10)^(8-$D32),0))</f>
        <v/>
      </c>
      <c r="P32" s="14" t="str">
        <f aca="false">IF(OR(9&lt;$D32,9&gt;INDEX(Bâtiments!$E$6:$E$15,MATCH($A32,Bâtiments!$A$6:$A$15,0))),"",ROUND($G32*(1+Paramètres!$B$10)^(9-$D32),0))</f>
        <v/>
      </c>
      <c r="Q32" s="14" t="str">
        <f aca="false">IF(OR(10&lt;$D32,10&gt;INDEX(Bâtiments!$E$6:$E$15,MATCH($A32,Bâtiments!$A$6:$A$15,0))),"",ROUND($G32*(1+Paramètres!$B$10)^(10-$D32),0))</f>
        <v/>
      </c>
      <c r="R32" s="14" t="str">
        <f aca="false">IF(OR(11&lt;$D32,11&gt;INDEX(Bâtiments!$E$6:$E$15,MATCH($A32,Bâtiments!$A$6:$A$15,0))),"",ROUND($G32*(1+Paramètres!$B$10)^(11-$D32),0))</f>
        <v/>
      </c>
      <c r="S32" s="14" t="str">
        <f aca="false">IF(OR(12&lt;$D32,12&gt;INDEX(Bâtiments!$E$6:$E$15,MATCH($A32,Bâtiments!$A$6:$A$15,0))),"",ROUND($G32*(1+Paramètres!$B$10)^(12-$D32),0))</f>
        <v/>
      </c>
      <c r="T32" s="14" t="str">
        <f aca="false">IF(OR(13&lt;$D32,13&gt;INDEX(Bâtiments!$E$6:$E$15,MATCH($A32,Bâtiments!$A$6:$A$15,0))),"",ROUND($G32*(1+Paramètres!$B$10)^(13-$D32),0))</f>
        <v/>
      </c>
      <c r="U32" s="14" t="str">
        <f aca="false">IF(OR(14&lt;$D32,14&gt;INDEX(Bâtiments!$E$6:$E$15,MATCH($A32,Bâtiments!$A$6:$A$15,0))),"",ROUND($G32*(1+Paramètres!$B$10)^(14-$D32),0))</f>
        <v/>
      </c>
      <c r="V32" s="14" t="str">
        <f aca="false">IF(OR(15&lt;$D32,15&gt;INDEX(Bâtiments!$E$6:$E$15,MATCH($A32,Bâtiments!$A$6:$A$15,0))),"",ROUND($G32*(1+Paramètres!$B$10)^(15-$D32),0))</f>
        <v/>
      </c>
      <c r="W32" s="14" t="n">
        <f aca="false">IF(OR(16&lt;$D32,16&gt;INDEX(Bâtiments!$E$6:$E$15,MATCH($A32,Bâtiments!$A$6:$A$15,0))),"",ROUND($G32*(1+Paramètres!$B$10)^(16-$D32),0))</f>
        <v>300</v>
      </c>
      <c r="X32" s="14" t="n">
        <f aca="false">IF(OR(17&lt;$D32,17&gt;INDEX(Bâtiments!$E$6:$E$15,MATCH($A32,Bâtiments!$A$6:$A$15,0))),"",ROUND($G32*(1+Paramètres!$B$10)^(17-$D32),0))</f>
        <v>336</v>
      </c>
      <c r="Y32" s="14" t="n">
        <f aca="false">IF(OR(18&lt;$D32,18&gt;INDEX(Bâtiments!$E$6:$E$15,MATCH($A32,Bâtiments!$A$6:$A$15,0))),"",ROUND($G32*(1+Paramètres!$B$10)^(18-$D32),0))</f>
        <v>376</v>
      </c>
      <c r="Z32" s="14" t="n">
        <f aca="false">IF(OR(19&lt;$D32,19&gt;INDEX(Bâtiments!$E$6:$E$15,MATCH($A32,Bâtiments!$A$6:$A$15,0))),"",ROUND($G32*(1+Paramètres!$B$10)^(19-$D32),0))</f>
        <v>421</v>
      </c>
      <c r="AA32" s="14" t="n">
        <f aca="false">IF(OR(20&lt;$D32,20&gt;INDEX(Bâtiments!$E$6:$E$15,MATCH($A32,Bâtiments!$A$6:$A$15,0))),"",ROUND($G32*(1+Paramètres!$B$10)^(20-$D32),0))</f>
        <v>472</v>
      </c>
      <c r="AB32" s="14" t="str">
        <f aca="false">IF(OR(21&lt;$D32,21&gt;INDEX(Bâtiments!$E$6:$E$15,MATCH($A32,Bâtiments!$A$6:$A$15,0))),"",ROUND($G32*(1+Paramètres!$B$10)^(21-$D32),0))</f>
        <v/>
      </c>
      <c r="AC32" s="14" t="str">
        <f aca="false">IF(OR(22&lt;$D32,22&gt;INDEX(Bâtiments!$E$6:$E$15,MATCH($A32,Bâtiments!$A$6:$A$15,0))),"",ROUND($G32*(1+Paramètres!$B$10)^(22-$D32),0))</f>
        <v/>
      </c>
      <c r="AD32" s="14" t="str">
        <f aca="false">IF(OR(23&lt;$D32,23&gt;INDEX(Bâtiments!$E$6:$E$15,MATCH($A32,Bâtiments!$A$6:$A$15,0))),"",ROUND($G32*(1+Paramètres!$B$10)^(23-$D32),0))</f>
        <v/>
      </c>
      <c r="AE32" s="14" t="str">
        <f aca="false">IF(OR(24&lt;$D32,24&gt;INDEX(Bâtiments!$E$6:$E$15,MATCH($A32,Bâtiments!$A$6:$A$15,0))),"",ROUND($G32*(1+Paramètres!$B$10)^(24-$D32),0))</f>
        <v/>
      </c>
      <c r="AF32" s="14" t="str">
        <f aca="false">IF(OR(25&lt;$D32,25&gt;INDEX(Bâtiments!$E$6:$E$15,MATCH($A32,Bâtiments!$A$6:$A$15,0))),"",ROUND($G32*(1+Paramètres!$B$10)^(25-$D32),0))</f>
        <v/>
      </c>
      <c r="AG32" s="15" t="n">
        <f aca="false">INDEX(Bâtiments!$E$6:$E$15,MATCH($A32,Bâtiments!$A$6:$A$15,0))</f>
        <v>20</v>
      </c>
      <c r="AH32" s="16" t="n">
        <f aca="false">ROUND($G32*(1+Paramètres!$B$10)^(AG32-$D32),0)</f>
        <v>472</v>
      </c>
      <c r="AI32" s="14" t="n">
        <f aca="false">AH32*Paramètres!$B$11</f>
        <v>3776</v>
      </c>
    </row>
    <row r="33" customFormat="false" ht="15" hidden="false" customHeight="false" outlineLevel="0" collapsed="false">
      <c r="A33" s="8" t="s">
        <v>64</v>
      </c>
      <c r="B33" s="7" t="s">
        <v>171</v>
      </c>
      <c r="C33" s="9" t="n">
        <v>5</v>
      </c>
      <c r="D33" s="9" t="n">
        <v>16</v>
      </c>
      <c r="E33" s="9" t="n">
        <v>70</v>
      </c>
      <c r="F33" s="13" t="s">
        <v>172</v>
      </c>
      <c r="G33" s="14" t="n">
        <f aca="false">INDEX(Paramètres!$B$5:$B$9,$C33)</f>
        <v>300</v>
      </c>
      <c r="H33" s="14" t="str">
        <f aca="false">IF(OR(1&lt;$D33,1&gt;INDEX(Bâtiments!$E$6:$E$15,MATCH($A33,Bâtiments!$A$6:$A$15,0))),"",ROUND($G33*(1+Paramètres!$B$10)^(1-$D33),0))</f>
        <v/>
      </c>
      <c r="I33" s="14" t="str">
        <f aca="false">IF(OR(2&lt;$D33,2&gt;INDEX(Bâtiments!$E$6:$E$15,MATCH($A33,Bâtiments!$A$6:$A$15,0))),"",ROUND($G33*(1+Paramètres!$B$10)^(2-$D33),0))</f>
        <v/>
      </c>
      <c r="J33" s="14" t="str">
        <f aca="false">IF(OR(3&lt;$D33,3&gt;INDEX(Bâtiments!$E$6:$E$15,MATCH($A33,Bâtiments!$A$6:$A$15,0))),"",ROUND($G33*(1+Paramètres!$B$10)^(3-$D33),0))</f>
        <v/>
      </c>
      <c r="K33" s="14" t="str">
        <f aca="false">IF(OR(4&lt;$D33,4&gt;INDEX(Bâtiments!$E$6:$E$15,MATCH($A33,Bâtiments!$A$6:$A$15,0))),"",ROUND($G33*(1+Paramètres!$B$10)^(4-$D33),0))</f>
        <v/>
      </c>
      <c r="L33" s="14" t="str">
        <f aca="false">IF(OR(5&lt;$D33,5&gt;INDEX(Bâtiments!$E$6:$E$15,MATCH($A33,Bâtiments!$A$6:$A$15,0))),"",ROUND($G33*(1+Paramètres!$B$10)^(5-$D33),0))</f>
        <v/>
      </c>
      <c r="M33" s="14" t="str">
        <f aca="false">IF(OR(6&lt;$D33,6&gt;INDEX(Bâtiments!$E$6:$E$15,MATCH($A33,Bâtiments!$A$6:$A$15,0))),"",ROUND($G33*(1+Paramètres!$B$10)^(6-$D33),0))</f>
        <v/>
      </c>
      <c r="N33" s="14" t="str">
        <f aca="false">IF(OR(7&lt;$D33,7&gt;INDEX(Bâtiments!$E$6:$E$15,MATCH($A33,Bâtiments!$A$6:$A$15,0))),"",ROUND($G33*(1+Paramètres!$B$10)^(7-$D33),0))</f>
        <v/>
      </c>
      <c r="O33" s="14" t="str">
        <f aca="false">IF(OR(8&lt;$D33,8&gt;INDEX(Bâtiments!$E$6:$E$15,MATCH($A33,Bâtiments!$A$6:$A$15,0))),"",ROUND($G33*(1+Paramètres!$B$10)^(8-$D33),0))</f>
        <v/>
      </c>
      <c r="P33" s="14" t="str">
        <f aca="false">IF(OR(9&lt;$D33,9&gt;INDEX(Bâtiments!$E$6:$E$15,MATCH($A33,Bâtiments!$A$6:$A$15,0))),"",ROUND($G33*(1+Paramètres!$B$10)^(9-$D33),0))</f>
        <v/>
      </c>
      <c r="Q33" s="14" t="str">
        <f aca="false">IF(OR(10&lt;$D33,10&gt;INDEX(Bâtiments!$E$6:$E$15,MATCH($A33,Bâtiments!$A$6:$A$15,0))),"",ROUND($G33*(1+Paramètres!$B$10)^(10-$D33),0))</f>
        <v/>
      </c>
      <c r="R33" s="14" t="str">
        <f aca="false">IF(OR(11&lt;$D33,11&gt;INDEX(Bâtiments!$E$6:$E$15,MATCH($A33,Bâtiments!$A$6:$A$15,0))),"",ROUND($G33*(1+Paramètres!$B$10)^(11-$D33),0))</f>
        <v/>
      </c>
      <c r="S33" s="14" t="str">
        <f aca="false">IF(OR(12&lt;$D33,12&gt;INDEX(Bâtiments!$E$6:$E$15,MATCH($A33,Bâtiments!$A$6:$A$15,0))),"",ROUND($G33*(1+Paramètres!$B$10)^(12-$D33),0))</f>
        <v/>
      </c>
      <c r="T33" s="14" t="str">
        <f aca="false">IF(OR(13&lt;$D33,13&gt;INDEX(Bâtiments!$E$6:$E$15,MATCH($A33,Bâtiments!$A$6:$A$15,0))),"",ROUND($G33*(1+Paramètres!$B$10)^(13-$D33),0))</f>
        <v/>
      </c>
      <c r="U33" s="14" t="str">
        <f aca="false">IF(OR(14&lt;$D33,14&gt;INDEX(Bâtiments!$E$6:$E$15,MATCH($A33,Bâtiments!$A$6:$A$15,0))),"",ROUND($G33*(1+Paramètres!$B$10)^(14-$D33),0))</f>
        <v/>
      </c>
      <c r="V33" s="14" t="str">
        <f aca="false">IF(OR(15&lt;$D33,15&gt;INDEX(Bâtiments!$E$6:$E$15,MATCH($A33,Bâtiments!$A$6:$A$15,0))),"",ROUND($G33*(1+Paramètres!$B$10)^(15-$D33),0))</f>
        <v/>
      </c>
      <c r="W33" s="14" t="n">
        <f aca="false">IF(OR(16&lt;$D33,16&gt;INDEX(Bâtiments!$E$6:$E$15,MATCH($A33,Bâtiments!$A$6:$A$15,0))),"",ROUND($G33*(1+Paramètres!$B$10)^(16-$D33),0))</f>
        <v>300</v>
      </c>
      <c r="X33" s="14" t="n">
        <f aca="false">IF(OR(17&lt;$D33,17&gt;INDEX(Bâtiments!$E$6:$E$15,MATCH($A33,Bâtiments!$A$6:$A$15,0))),"",ROUND($G33*(1+Paramètres!$B$10)^(17-$D33),0))</f>
        <v>336</v>
      </c>
      <c r="Y33" s="14" t="n">
        <f aca="false">IF(OR(18&lt;$D33,18&gt;INDEX(Bâtiments!$E$6:$E$15,MATCH($A33,Bâtiments!$A$6:$A$15,0))),"",ROUND($G33*(1+Paramètres!$B$10)^(18-$D33),0))</f>
        <v>376</v>
      </c>
      <c r="Z33" s="14" t="n">
        <f aca="false">IF(OR(19&lt;$D33,19&gt;INDEX(Bâtiments!$E$6:$E$15,MATCH($A33,Bâtiments!$A$6:$A$15,0))),"",ROUND($G33*(1+Paramètres!$B$10)^(19-$D33),0))</f>
        <v>421</v>
      </c>
      <c r="AA33" s="14" t="n">
        <f aca="false">IF(OR(20&lt;$D33,20&gt;INDEX(Bâtiments!$E$6:$E$15,MATCH($A33,Bâtiments!$A$6:$A$15,0))),"",ROUND($G33*(1+Paramètres!$B$10)^(20-$D33),0))</f>
        <v>472</v>
      </c>
      <c r="AB33" s="14" t="str">
        <f aca="false">IF(OR(21&lt;$D33,21&gt;INDEX(Bâtiments!$E$6:$E$15,MATCH($A33,Bâtiments!$A$6:$A$15,0))),"",ROUND($G33*(1+Paramètres!$B$10)^(21-$D33),0))</f>
        <v/>
      </c>
      <c r="AC33" s="14" t="str">
        <f aca="false">IF(OR(22&lt;$D33,22&gt;INDEX(Bâtiments!$E$6:$E$15,MATCH($A33,Bâtiments!$A$6:$A$15,0))),"",ROUND($G33*(1+Paramètres!$B$10)^(22-$D33),0))</f>
        <v/>
      </c>
      <c r="AD33" s="14" t="str">
        <f aca="false">IF(OR(23&lt;$D33,23&gt;INDEX(Bâtiments!$E$6:$E$15,MATCH($A33,Bâtiments!$A$6:$A$15,0))),"",ROUND($G33*(1+Paramètres!$B$10)^(23-$D33),0))</f>
        <v/>
      </c>
      <c r="AE33" s="14" t="str">
        <f aca="false">IF(OR(24&lt;$D33,24&gt;INDEX(Bâtiments!$E$6:$E$15,MATCH($A33,Bâtiments!$A$6:$A$15,0))),"",ROUND($G33*(1+Paramètres!$B$10)^(24-$D33),0))</f>
        <v/>
      </c>
      <c r="AF33" s="14" t="str">
        <f aca="false">IF(OR(25&lt;$D33,25&gt;INDEX(Bâtiments!$E$6:$E$15,MATCH($A33,Bâtiments!$A$6:$A$15,0))),"",ROUND($G33*(1+Paramètres!$B$10)^(25-$D33),0))</f>
        <v/>
      </c>
      <c r="AG33" s="15" t="n">
        <f aca="false">INDEX(Bâtiments!$E$6:$E$15,MATCH($A33,Bâtiments!$A$6:$A$15,0))</f>
        <v>20</v>
      </c>
      <c r="AH33" s="16" t="n">
        <f aca="false">ROUND($G33*(1+Paramètres!$B$10)^(AG33-$D33),0)</f>
        <v>472</v>
      </c>
      <c r="AI33" s="14" t="n">
        <f aca="false">AH33*Paramètres!$B$11</f>
        <v>3776</v>
      </c>
    </row>
    <row r="34" customFormat="false" ht="15" hidden="false" customHeight="false" outlineLevel="0" collapsed="false">
      <c r="A34" s="8" t="s">
        <v>64</v>
      </c>
      <c r="B34" s="7" t="s">
        <v>173</v>
      </c>
      <c r="C34" s="9" t="n">
        <v>5</v>
      </c>
      <c r="D34" s="9" t="n">
        <v>16</v>
      </c>
      <c r="E34" s="9" t="n">
        <v>70</v>
      </c>
      <c r="F34" s="13" t="s">
        <v>174</v>
      </c>
      <c r="G34" s="14" t="n">
        <f aca="false">INDEX(Paramètres!$B$5:$B$9,$C34)</f>
        <v>300</v>
      </c>
      <c r="H34" s="14" t="str">
        <f aca="false">IF(OR(1&lt;$D34,1&gt;INDEX(Bâtiments!$E$6:$E$15,MATCH($A34,Bâtiments!$A$6:$A$15,0))),"",ROUND($G34*(1+Paramètres!$B$10)^(1-$D34),0))</f>
        <v/>
      </c>
      <c r="I34" s="14" t="str">
        <f aca="false">IF(OR(2&lt;$D34,2&gt;INDEX(Bâtiments!$E$6:$E$15,MATCH($A34,Bâtiments!$A$6:$A$15,0))),"",ROUND($G34*(1+Paramètres!$B$10)^(2-$D34),0))</f>
        <v/>
      </c>
      <c r="J34" s="14" t="str">
        <f aca="false">IF(OR(3&lt;$D34,3&gt;INDEX(Bâtiments!$E$6:$E$15,MATCH($A34,Bâtiments!$A$6:$A$15,0))),"",ROUND($G34*(1+Paramètres!$B$10)^(3-$D34),0))</f>
        <v/>
      </c>
      <c r="K34" s="14" t="str">
        <f aca="false">IF(OR(4&lt;$D34,4&gt;INDEX(Bâtiments!$E$6:$E$15,MATCH($A34,Bâtiments!$A$6:$A$15,0))),"",ROUND($G34*(1+Paramètres!$B$10)^(4-$D34),0))</f>
        <v/>
      </c>
      <c r="L34" s="14" t="str">
        <f aca="false">IF(OR(5&lt;$D34,5&gt;INDEX(Bâtiments!$E$6:$E$15,MATCH($A34,Bâtiments!$A$6:$A$15,0))),"",ROUND($G34*(1+Paramètres!$B$10)^(5-$D34),0))</f>
        <v/>
      </c>
      <c r="M34" s="14" t="str">
        <f aca="false">IF(OR(6&lt;$D34,6&gt;INDEX(Bâtiments!$E$6:$E$15,MATCH($A34,Bâtiments!$A$6:$A$15,0))),"",ROUND($G34*(1+Paramètres!$B$10)^(6-$D34),0))</f>
        <v/>
      </c>
      <c r="N34" s="14" t="str">
        <f aca="false">IF(OR(7&lt;$D34,7&gt;INDEX(Bâtiments!$E$6:$E$15,MATCH($A34,Bâtiments!$A$6:$A$15,0))),"",ROUND($G34*(1+Paramètres!$B$10)^(7-$D34),0))</f>
        <v/>
      </c>
      <c r="O34" s="14" t="str">
        <f aca="false">IF(OR(8&lt;$D34,8&gt;INDEX(Bâtiments!$E$6:$E$15,MATCH($A34,Bâtiments!$A$6:$A$15,0))),"",ROUND($G34*(1+Paramètres!$B$10)^(8-$D34),0))</f>
        <v/>
      </c>
      <c r="P34" s="14" t="str">
        <f aca="false">IF(OR(9&lt;$D34,9&gt;INDEX(Bâtiments!$E$6:$E$15,MATCH($A34,Bâtiments!$A$6:$A$15,0))),"",ROUND($G34*(1+Paramètres!$B$10)^(9-$D34),0))</f>
        <v/>
      </c>
      <c r="Q34" s="14" t="str">
        <f aca="false">IF(OR(10&lt;$D34,10&gt;INDEX(Bâtiments!$E$6:$E$15,MATCH($A34,Bâtiments!$A$6:$A$15,0))),"",ROUND($G34*(1+Paramètres!$B$10)^(10-$D34),0))</f>
        <v/>
      </c>
      <c r="R34" s="14" t="str">
        <f aca="false">IF(OR(11&lt;$D34,11&gt;INDEX(Bâtiments!$E$6:$E$15,MATCH($A34,Bâtiments!$A$6:$A$15,0))),"",ROUND($G34*(1+Paramètres!$B$10)^(11-$D34),0))</f>
        <v/>
      </c>
      <c r="S34" s="14" t="str">
        <f aca="false">IF(OR(12&lt;$D34,12&gt;INDEX(Bâtiments!$E$6:$E$15,MATCH($A34,Bâtiments!$A$6:$A$15,0))),"",ROUND($G34*(1+Paramètres!$B$10)^(12-$D34),0))</f>
        <v/>
      </c>
      <c r="T34" s="14" t="str">
        <f aca="false">IF(OR(13&lt;$D34,13&gt;INDEX(Bâtiments!$E$6:$E$15,MATCH($A34,Bâtiments!$A$6:$A$15,0))),"",ROUND($G34*(1+Paramètres!$B$10)^(13-$D34),0))</f>
        <v/>
      </c>
      <c r="U34" s="14" t="str">
        <f aca="false">IF(OR(14&lt;$D34,14&gt;INDEX(Bâtiments!$E$6:$E$15,MATCH($A34,Bâtiments!$A$6:$A$15,0))),"",ROUND($G34*(1+Paramètres!$B$10)^(14-$D34),0))</f>
        <v/>
      </c>
      <c r="V34" s="14" t="str">
        <f aca="false">IF(OR(15&lt;$D34,15&gt;INDEX(Bâtiments!$E$6:$E$15,MATCH($A34,Bâtiments!$A$6:$A$15,0))),"",ROUND($G34*(1+Paramètres!$B$10)^(15-$D34),0))</f>
        <v/>
      </c>
      <c r="W34" s="14" t="n">
        <f aca="false">IF(OR(16&lt;$D34,16&gt;INDEX(Bâtiments!$E$6:$E$15,MATCH($A34,Bâtiments!$A$6:$A$15,0))),"",ROUND($G34*(1+Paramètres!$B$10)^(16-$D34),0))</f>
        <v>300</v>
      </c>
      <c r="X34" s="14" t="n">
        <f aca="false">IF(OR(17&lt;$D34,17&gt;INDEX(Bâtiments!$E$6:$E$15,MATCH($A34,Bâtiments!$A$6:$A$15,0))),"",ROUND($G34*(1+Paramètres!$B$10)^(17-$D34),0))</f>
        <v>336</v>
      </c>
      <c r="Y34" s="14" t="n">
        <f aca="false">IF(OR(18&lt;$D34,18&gt;INDEX(Bâtiments!$E$6:$E$15,MATCH($A34,Bâtiments!$A$6:$A$15,0))),"",ROUND($G34*(1+Paramètres!$B$10)^(18-$D34),0))</f>
        <v>376</v>
      </c>
      <c r="Z34" s="14" t="n">
        <f aca="false">IF(OR(19&lt;$D34,19&gt;INDEX(Bâtiments!$E$6:$E$15,MATCH($A34,Bâtiments!$A$6:$A$15,0))),"",ROUND($G34*(1+Paramètres!$B$10)^(19-$D34),0))</f>
        <v>421</v>
      </c>
      <c r="AA34" s="14" t="n">
        <f aca="false">IF(OR(20&lt;$D34,20&gt;INDEX(Bâtiments!$E$6:$E$15,MATCH($A34,Bâtiments!$A$6:$A$15,0))),"",ROUND($G34*(1+Paramètres!$B$10)^(20-$D34),0))</f>
        <v>472</v>
      </c>
      <c r="AB34" s="14" t="str">
        <f aca="false">IF(OR(21&lt;$D34,21&gt;INDEX(Bâtiments!$E$6:$E$15,MATCH($A34,Bâtiments!$A$6:$A$15,0))),"",ROUND($G34*(1+Paramètres!$B$10)^(21-$D34),0))</f>
        <v/>
      </c>
      <c r="AC34" s="14" t="str">
        <f aca="false">IF(OR(22&lt;$D34,22&gt;INDEX(Bâtiments!$E$6:$E$15,MATCH($A34,Bâtiments!$A$6:$A$15,0))),"",ROUND($G34*(1+Paramètres!$B$10)^(22-$D34),0))</f>
        <v/>
      </c>
      <c r="AD34" s="14" t="str">
        <f aca="false">IF(OR(23&lt;$D34,23&gt;INDEX(Bâtiments!$E$6:$E$15,MATCH($A34,Bâtiments!$A$6:$A$15,0))),"",ROUND($G34*(1+Paramètres!$B$10)^(23-$D34),0))</f>
        <v/>
      </c>
      <c r="AE34" s="14" t="str">
        <f aca="false">IF(OR(24&lt;$D34,24&gt;INDEX(Bâtiments!$E$6:$E$15,MATCH($A34,Bâtiments!$A$6:$A$15,0))),"",ROUND($G34*(1+Paramètres!$B$10)^(24-$D34),0))</f>
        <v/>
      </c>
      <c r="AF34" s="14" t="str">
        <f aca="false">IF(OR(25&lt;$D34,25&gt;INDEX(Bâtiments!$E$6:$E$15,MATCH($A34,Bâtiments!$A$6:$A$15,0))),"",ROUND($G34*(1+Paramètres!$B$10)^(25-$D34),0))</f>
        <v/>
      </c>
      <c r="AG34" s="15" t="n">
        <f aca="false">INDEX(Bâtiments!$E$6:$E$15,MATCH($A34,Bâtiments!$A$6:$A$15,0))</f>
        <v>20</v>
      </c>
      <c r="AH34" s="16" t="n">
        <f aca="false">ROUND($G34*(1+Paramètres!$B$10)^(AG34-$D34),0)</f>
        <v>472</v>
      </c>
      <c r="AI34" s="14" t="n">
        <f aca="false">AH34*Paramètres!$B$11</f>
        <v>3776</v>
      </c>
    </row>
    <row r="35" customFormat="false" ht="15" hidden="false" customHeight="false" outlineLevel="0" collapsed="false">
      <c r="A35" s="8" t="s">
        <v>71</v>
      </c>
      <c r="B35" s="7" t="s">
        <v>175</v>
      </c>
      <c r="C35" s="9" t="n">
        <v>5</v>
      </c>
      <c r="D35" s="9" t="n">
        <v>1</v>
      </c>
      <c r="E35" s="9" t="n">
        <v>85</v>
      </c>
      <c r="F35" s="13" t="s">
        <v>176</v>
      </c>
      <c r="G35" s="14" t="n">
        <f aca="false">INDEX(Paramètres!$B$5:$B$9,$C35)</f>
        <v>300</v>
      </c>
      <c r="H35" s="14" t="n">
        <f aca="false">IF(OR(1&lt;$D35,1&gt;INDEX(Bâtiments!$E$6:$E$15,MATCH($A35,Bâtiments!$A$6:$A$15,0))),"",ROUND($G35*(1+Paramètres!$B$10)^(1-$D35),0))</f>
        <v>300</v>
      </c>
      <c r="I35" s="14" t="n">
        <f aca="false">IF(OR(2&lt;$D35,2&gt;INDEX(Bâtiments!$E$6:$E$15,MATCH($A35,Bâtiments!$A$6:$A$15,0))),"",ROUND($G35*(1+Paramètres!$B$10)^(2-$D35),0))</f>
        <v>336</v>
      </c>
      <c r="J35" s="14" t="n">
        <f aca="false">IF(OR(3&lt;$D35,3&gt;INDEX(Bâtiments!$E$6:$E$15,MATCH($A35,Bâtiments!$A$6:$A$15,0))),"",ROUND($G35*(1+Paramètres!$B$10)^(3-$D35),0))</f>
        <v>376</v>
      </c>
      <c r="K35" s="14" t="n">
        <f aca="false">IF(OR(4&lt;$D35,4&gt;INDEX(Bâtiments!$E$6:$E$15,MATCH($A35,Bâtiments!$A$6:$A$15,0))),"",ROUND($G35*(1+Paramètres!$B$10)^(4-$D35),0))</f>
        <v>421</v>
      </c>
      <c r="L35" s="14" t="n">
        <f aca="false">IF(OR(5&lt;$D35,5&gt;INDEX(Bâtiments!$E$6:$E$15,MATCH($A35,Bâtiments!$A$6:$A$15,0))),"",ROUND($G35*(1+Paramètres!$B$10)^(5-$D35),0))</f>
        <v>472</v>
      </c>
      <c r="M35" s="14" t="str">
        <f aca="false">IF(OR(6&lt;$D35,6&gt;INDEX(Bâtiments!$E$6:$E$15,MATCH($A35,Bâtiments!$A$6:$A$15,0))),"",ROUND($G35*(1+Paramètres!$B$10)^(6-$D35),0))</f>
        <v/>
      </c>
      <c r="N35" s="14" t="str">
        <f aca="false">IF(OR(7&lt;$D35,7&gt;INDEX(Bâtiments!$E$6:$E$15,MATCH($A35,Bâtiments!$A$6:$A$15,0))),"",ROUND($G35*(1+Paramètres!$B$10)^(7-$D35),0))</f>
        <v/>
      </c>
      <c r="O35" s="14" t="str">
        <f aca="false">IF(OR(8&lt;$D35,8&gt;INDEX(Bâtiments!$E$6:$E$15,MATCH($A35,Bâtiments!$A$6:$A$15,0))),"",ROUND($G35*(1+Paramètres!$B$10)^(8-$D35),0))</f>
        <v/>
      </c>
      <c r="P35" s="14" t="str">
        <f aca="false">IF(OR(9&lt;$D35,9&gt;INDEX(Bâtiments!$E$6:$E$15,MATCH($A35,Bâtiments!$A$6:$A$15,0))),"",ROUND($G35*(1+Paramètres!$B$10)^(9-$D35),0))</f>
        <v/>
      </c>
      <c r="Q35" s="14" t="str">
        <f aca="false">IF(OR(10&lt;$D35,10&gt;INDEX(Bâtiments!$E$6:$E$15,MATCH($A35,Bâtiments!$A$6:$A$15,0))),"",ROUND($G35*(1+Paramètres!$B$10)^(10-$D35),0))</f>
        <v/>
      </c>
      <c r="R35" s="14" t="str">
        <f aca="false">IF(OR(11&lt;$D35,11&gt;INDEX(Bâtiments!$E$6:$E$15,MATCH($A35,Bâtiments!$A$6:$A$15,0))),"",ROUND($G35*(1+Paramètres!$B$10)^(11-$D35),0))</f>
        <v/>
      </c>
      <c r="S35" s="14" t="str">
        <f aca="false">IF(OR(12&lt;$D35,12&gt;INDEX(Bâtiments!$E$6:$E$15,MATCH($A35,Bâtiments!$A$6:$A$15,0))),"",ROUND($G35*(1+Paramètres!$B$10)^(12-$D35),0))</f>
        <v/>
      </c>
      <c r="T35" s="14" t="str">
        <f aca="false">IF(OR(13&lt;$D35,13&gt;INDEX(Bâtiments!$E$6:$E$15,MATCH($A35,Bâtiments!$A$6:$A$15,0))),"",ROUND($G35*(1+Paramètres!$B$10)^(13-$D35),0))</f>
        <v/>
      </c>
      <c r="U35" s="14" t="str">
        <f aca="false">IF(OR(14&lt;$D35,14&gt;INDEX(Bâtiments!$E$6:$E$15,MATCH($A35,Bâtiments!$A$6:$A$15,0))),"",ROUND($G35*(1+Paramètres!$B$10)^(14-$D35),0))</f>
        <v/>
      </c>
      <c r="V35" s="14" t="str">
        <f aca="false">IF(OR(15&lt;$D35,15&gt;INDEX(Bâtiments!$E$6:$E$15,MATCH($A35,Bâtiments!$A$6:$A$15,0))),"",ROUND($G35*(1+Paramètres!$B$10)^(15-$D35),0))</f>
        <v/>
      </c>
      <c r="W35" s="14" t="str">
        <f aca="false">IF(OR(16&lt;$D35,16&gt;INDEX(Bâtiments!$E$6:$E$15,MATCH($A35,Bâtiments!$A$6:$A$15,0))),"",ROUND($G35*(1+Paramètres!$B$10)^(16-$D35),0))</f>
        <v/>
      </c>
      <c r="X35" s="14" t="str">
        <f aca="false">IF(OR(17&lt;$D35,17&gt;INDEX(Bâtiments!$E$6:$E$15,MATCH($A35,Bâtiments!$A$6:$A$15,0))),"",ROUND($G35*(1+Paramètres!$B$10)^(17-$D35),0))</f>
        <v/>
      </c>
      <c r="Y35" s="14" t="str">
        <f aca="false">IF(OR(18&lt;$D35,18&gt;INDEX(Bâtiments!$E$6:$E$15,MATCH($A35,Bâtiments!$A$6:$A$15,0))),"",ROUND($G35*(1+Paramètres!$B$10)^(18-$D35),0))</f>
        <v/>
      </c>
      <c r="Z35" s="14" t="str">
        <f aca="false">IF(OR(19&lt;$D35,19&gt;INDEX(Bâtiments!$E$6:$E$15,MATCH($A35,Bâtiments!$A$6:$A$15,0))),"",ROUND($G35*(1+Paramètres!$B$10)^(19-$D35),0))</f>
        <v/>
      </c>
      <c r="AA35" s="14" t="str">
        <f aca="false">IF(OR(20&lt;$D35,20&gt;INDEX(Bâtiments!$E$6:$E$15,MATCH($A35,Bâtiments!$A$6:$A$15,0))),"",ROUND($G35*(1+Paramètres!$B$10)^(20-$D35),0))</f>
        <v/>
      </c>
      <c r="AB35" s="14" t="str">
        <f aca="false">IF(OR(21&lt;$D35,21&gt;INDEX(Bâtiments!$E$6:$E$15,MATCH($A35,Bâtiments!$A$6:$A$15,0))),"",ROUND($G35*(1+Paramètres!$B$10)^(21-$D35),0))</f>
        <v/>
      </c>
      <c r="AC35" s="14" t="str">
        <f aca="false">IF(OR(22&lt;$D35,22&gt;INDEX(Bâtiments!$E$6:$E$15,MATCH($A35,Bâtiments!$A$6:$A$15,0))),"",ROUND($G35*(1+Paramètres!$B$10)^(22-$D35),0))</f>
        <v/>
      </c>
      <c r="AD35" s="14" t="str">
        <f aca="false">IF(OR(23&lt;$D35,23&gt;INDEX(Bâtiments!$E$6:$E$15,MATCH($A35,Bâtiments!$A$6:$A$15,0))),"",ROUND($G35*(1+Paramètres!$B$10)^(23-$D35),0))</f>
        <v/>
      </c>
      <c r="AE35" s="14" t="str">
        <f aca="false">IF(OR(24&lt;$D35,24&gt;INDEX(Bâtiments!$E$6:$E$15,MATCH($A35,Bâtiments!$A$6:$A$15,0))),"",ROUND($G35*(1+Paramètres!$B$10)^(24-$D35),0))</f>
        <v/>
      </c>
      <c r="AF35" s="14" t="str">
        <f aca="false">IF(OR(25&lt;$D35,25&gt;INDEX(Bâtiments!$E$6:$E$15,MATCH($A35,Bâtiments!$A$6:$A$15,0))),"",ROUND($G35*(1+Paramètres!$B$10)^(25-$D35),0))</f>
        <v/>
      </c>
      <c r="AG35" s="15" t="n">
        <f aca="false">INDEX(Bâtiments!$E$6:$E$15,MATCH($A35,Bâtiments!$A$6:$A$15,0))</f>
        <v>5</v>
      </c>
      <c r="AH35" s="16" t="n">
        <f aca="false">ROUND($G35*(1+Paramètres!$B$10)^(AG35-$D35),0)</f>
        <v>472</v>
      </c>
      <c r="AI35" s="14" t="n">
        <f aca="false">AH35*Paramètres!$B$11</f>
        <v>3776</v>
      </c>
    </row>
    <row r="38" customFormat="false" ht="15" hidden="false" customHeight="false" outlineLevel="0" collapsed="false">
      <c r="A38" s="17" t="s">
        <v>177</v>
      </c>
      <c r="B38" s="17"/>
      <c r="C38" s="17"/>
      <c r="D38" s="17"/>
      <c r="E38" s="17"/>
      <c r="F38" s="17"/>
      <c r="G38" s="17"/>
      <c r="H38" s="17"/>
      <c r="I38" s="17"/>
      <c r="J38" s="17"/>
      <c r="K38" s="17"/>
      <c r="L38" s="17"/>
    </row>
    <row r="39" customFormat="false" ht="30" hidden="false" customHeight="true" outlineLevel="0" collapsed="false">
      <c r="A39" s="6" t="s">
        <v>87</v>
      </c>
      <c r="B39" s="6" t="s">
        <v>178</v>
      </c>
      <c r="C39" s="6" t="s">
        <v>179</v>
      </c>
      <c r="D39" s="6" t="s">
        <v>180</v>
      </c>
      <c r="E39" s="6" t="s">
        <v>181</v>
      </c>
      <c r="F39" s="6" t="s">
        <v>182</v>
      </c>
      <c r="G39" s="6" t="s">
        <v>183</v>
      </c>
      <c r="H39" s="6" t="s">
        <v>184</v>
      </c>
      <c r="I39" s="6" t="s">
        <v>185</v>
      </c>
    </row>
    <row r="40" customFormat="false" ht="15" hidden="false" customHeight="false" outlineLevel="0" collapsed="false">
      <c r="A40" s="15" t="n">
        <v>1</v>
      </c>
      <c r="B40" s="9" t="n">
        <v>19</v>
      </c>
      <c r="C40" s="14" t="n">
        <f aca="true">SUMPRODUCT(ROUND(3*ROW(INDIRECT("1:"&amp;B40))^1.25,0))</f>
        <v>1064</v>
      </c>
      <c r="D40" s="14" t="n">
        <f aca="true">SUMPRODUCT(ROUND(3*ROW(INDIRECT("1:"&amp;B40))^1.25*1.75,0))</f>
        <v>1863</v>
      </c>
      <c r="E40" s="13" t="s">
        <v>186</v>
      </c>
      <c r="F40" s="9" t="n">
        <v>5</v>
      </c>
      <c r="G40" s="14" t="n">
        <f aca="false">INDEX($H$6:$AF$6,1,F40)</f>
        <v>94</v>
      </c>
      <c r="H40" s="18" t="n">
        <f aca="false">ROUND(C40/G40,1)</f>
        <v>11.3</v>
      </c>
      <c r="I40" s="18" t="n">
        <f aca="false">ROUND(D40/G40,1)</f>
        <v>19.8</v>
      </c>
    </row>
    <row r="41" customFormat="false" ht="15" hidden="false" customHeight="false" outlineLevel="0" collapsed="false">
      <c r="A41" s="15" t="n">
        <v>2</v>
      </c>
      <c r="B41" s="9" t="n">
        <v>20</v>
      </c>
      <c r="C41" s="14" t="n">
        <f aca="true">SUMPRODUCT(ROUND(3*ROW(INDIRECT("1:"&amp;B41))^1.25,0))</f>
        <v>1191</v>
      </c>
      <c r="D41" s="14" t="n">
        <f aca="true">SUMPRODUCT(ROUND(3*ROW(INDIRECT("1:"&amp;B41))^1.25*1.75,0))</f>
        <v>2085</v>
      </c>
      <c r="E41" s="13" t="s">
        <v>187</v>
      </c>
      <c r="F41" s="9" t="n">
        <v>5</v>
      </c>
      <c r="G41" s="14" t="n">
        <f aca="false">INDEX($H$22:$AF$22,1,F41)</f>
        <v>142</v>
      </c>
      <c r="H41" s="18" t="n">
        <f aca="false">ROUND(C41/G41,1)</f>
        <v>8.4</v>
      </c>
      <c r="I41" s="18" t="n">
        <f aca="false">ROUND(D41/G41,1)</f>
        <v>14.7</v>
      </c>
    </row>
    <row r="42" customFormat="false" ht="15" hidden="false" customHeight="false" outlineLevel="0" collapsed="false">
      <c r="A42" s="15" t="n">
        <v>3</v>
      </c>
      <c r="B42" s="9" t="n">
        <v>25</v>
      </c>
      <c r="C42" s="14" t="n">
        <f aca="true">SUMPRODUCT(ROUND(3*ROW(INDIRECT("1:"&amp;B42))^1.25,0))</f>
        <v>1947</v>
      </c>
      <c r="D42" s="14" t="n">
        <f aca="true">SUMPRODUCT(ROUND(3*ROW(INDIRECT("1:"&amp;B42))^1.25*1.75,0))</f>
        <v>3407</v>
      </c>
      <c r="E42" s="13" t="s">
        <v>188</v>
      </c>
      <c r="F42" s="9" t="n">
        <v>10</v>
      </c>
      <c r="G42" s="14" t="n">
        <f aca="false">INDEX($H$25:$AF$25,1,F42)</f>
        <v>212</v>
      </c>
      <c r="H42" s="18" t="n">
        <f aca="false">ROUND(C42/G42,1)</f>
        <v>9.2</v>
      </c>
      <c r="I42" s="18" t="n">
        <f aca="false">ROUND(D42/G42,1)</f>
        <v>16.1</v>
      </c>
    </row>
    <row r="43" customFormat="false" ht="15" hidden="false" customHeight="false" outlineLevel="0" collapsed="false">
      <c r="A43" s="15" t="n">
        <v>4</v>
      </c>
      <c r="B43" s="9" t="n">
        <v>25</v>
      </c>
      <c r="C43" s="14" t="n">
        <f aca="true">SUMPRODUCT(ROUND(3*ROW(INDIRECT("1:"&amp;B43))^1.25,0))</f>
        <v>1947</v>
      </c>
      <c r="D43" s="14" t="n">
        <f aca="true">SUMPRODUCT(ROUND(3*ROW(INDIRECT("1:"&amp;B43))^1.25*1.75,0))</f>
        <v>3407</v>
      </c>
      <c r="E43" s="13" t="s">
        <v>189</v>
      </c>
      <c r="F43" s="9" t="n">
        <v>15</v>
      </c>
      <c r="G43" s="14" t="n">
        <f aca="false">INDEX($H$28:$AF$28,1,F43)</f>
        <v>315</v>
      </c>
      <c r="H43" s="18" t="n">
        <f aca="false">ROUND(C43/G43,1)</f>
        <v>6.2</v>
      </c>
      <c r="I43" s="18" t="n">
        <f aca="false">ROUND(D43/G43,1)</f>
        <v>10.8</v>
      </c>
    </row>
    <row r="44" customFormat="false" ht="15" hidden="false" customHeight="false" outlineLevel="0" collapsed="false">
      <c r="A44" s="15" t="n">
        <v>5</v>
      </c>
      <c r="B44" s="9" t="n">
        <v>30</v>
      </c>
      <c r="C44" s="14" t="n">
        <f aca="true">SUMPRODUCT(ROUND(3*ROW(INDIRECT("1:"&amp;B44))^1.25,0))</f>
        <v>2914</v>
      </c>
      <c r="D44" s="14" t="n">
        <f aca="true">SUMPRODUCT(ROUND(3*ROW(INDIRECT("1:"&amp;B44))^1.25*1.75,0))</f>
        <v>5098</v>
      </c>
      <c r="E44" s="13" t="s">
        <v>190</v>
      </c>
      <c r="F44" s="9" t="n">
        <v>20</v>
      </c>
      <c r="G44" s="14" t="n">
        <f aca="false">INDEX($H$32:$AF$32,1,F44)</f>
        <v>472</v>
      </c>
      <c r="H44" s="18" t="n">
        <f aca="false">ROUND(C44/G44,1)</f>
        <v>6.2</v>
      </c>
      <c r="I44" s="18" t="n">
        <f aca="false">ROUND(D44/G44,1)</f>
        <v>10.8</v>
      </c>
    </row>
    <row r="46" customFormat="false" ht="15" hidden="false" customHeight="false" outlineLevel="0" collapsed="false">
      <c r="A46" s="12" t="s">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0"/>
    <col collapsed="false" customWidth="true" hidden="false" outlineLevel="0" max="4" min="4" style="0" width="12"/>
    <col collapsed="false" customWidth="true" hidden="false" outlineLevel="0" max="5" min="5" style="0" width="14"/>
    <col collapsed="false" customWidth="true" hidden="false" outlineLevel="0" max="7" min="6" style="0" width="10"/>
    <col collapsed="false" customWidth="true" hidden="false" outlineLevel="0" max="8" min="8" style="0" width="14"/>
    <col collapsed="false" customWidth="true" hidden="false" outlineLevel="0" max="9" min="9" style="0" width="80"/>
  </cols>
  <sheetData>
    <row r="1" customFormat="false" ht="17.35" hidden="false" customHeight="false" outlineLevel="0" collapsed="false">
      <c r="A1" s="1" t="s">
        <v>192</v>
      </c>
    </row>
    <row r="2" customFormat="false" ht="15" hidden="false" customHeight="false" outlineLevel="0" collapsed="false">
      <c r="A2" s="2" t="s">
        <v>193</v>
      </c>
    </row>
    <row r="5" customFormat="false" ht="30" hidden="false" customHeight="true" outlineLevel="0" collapsed="false">
      <c r="A5" s="6" t="s">
        <v>39</v>
      </c>
      <c r="B5" s="6" t="s">
        <v>194</v>
      </c>
      <c r="C5" s="6" t="s">
        <v>9</v>
      </c>
      <c r="D5" s="6" t="s">
        <v>195</v>
      </c>
      <c r="E5" s="6" t="s">
        <v>196</v>
      </c>
      <c r="F5" s="6" t="s">
        <v>197</v>
      </c>
      <c r="G5" s="6" t="s">
        <v>32</v>
      </c>
      <c r="H5" s="6" t="s">
        <v>198</v>
      </c>
      <c r="I5" s="6" t="s">
        <v>199</v>
      </c>
    </row>
    <row r="6" customFormat="false" ht="15" hidden="false" customHeight="false" outlineLevel="0" collapsed="false">
      <c r="A6" s="19" t="s">
        <v>47</v>
      </c>
      <c r="B6" s="20" t="n">
        <v>2</v>
      </c>
      <c r="C6" s="20" t="n">
        <f aca="false">MAX(INDEX(Bâtiments!$D$6:$D$15,MATCH($A6,Bâtiments!$A$6:$A$15,0)),INDEX(Paramètres!$E$22:$E$26,MATCH($B6,Paramètres!$B$22:$B$26,1)),_xlfn.MAXIFS(Production!$E$6:$E$35,Production!$A$6:$A$35,$A6,Production!$D$6:$D$35,"&lt;="&amp;$B6))</f>
        <v>0</v>
      </c>
      <c r="D6" s="21" t="n">
        <f aca="false">ROUND(INDEX(Bâtiments!$F$6:$F$15,MATCH($A6,Bâtiments!$A$6:$A$15,0))*($B6-1)^Paramètres!$B$14,-1)</f>
        <v>800</v>
      </c>
      <c r="E6" s="22" t="str">
        <f aca="false">INDEX(Paramètres!$D$22:$D$26,MATCH($C6,Paramètres!$E$22:$E$26,1))</f>
        <v>bois</v>
      </c>
      <c r="F6" s="21" t="n">
        <f aca="false">ROUND(Paramètres!$B$15*$B6^Paramètres!$B$16*INDEX(Bâtiments!$G$6:$G$15,MATCH($A6,Bâtiments!$A$6:$A$15,0)),0)</f>
        <v>37</v>
      </c>
      <c r="G6" s="21" t="n">
        <f aca="false">IF($C6&gt;=Paramètres!$E$23,ROUND($F6*Paramètres!$B$17,0),0)</f>
        <v>0</v>
      </c>
      <c r="H6" s="23" t="n">
        <f aca="false">ROUND($D6/INDEX(Paramètres!$B$38:$B$57,MATCH(MAX(5,$C6),Paramètres!$A$38:$A$57,1))*60,1)</f>
        <v>1.9</v>
      </c>
      <c r="I6" s="24" t="str">
        <f aca="false">"Objets proposés : "&amp;(Paramètres!$B$32+INT(($B6-1)/2))&amp;" · lots : "&amp;(Paramètres!$B$33+INT(($B6-1)/2))&amp;" · remise : "&amp;ROUND(($B6-1)*Paramètres!$B$34*100,0)&amp;" %"</f>
        <v>Objets proposés : 6 · lots : 4 · remise : 2 %</v>
      </c>
    </row>
    <row r="7" customFormat="false" ht="15" hidden="false" customHeight="false" outlineLevel="0" collapsed="false">
      <c r="A7" s="19" t="s">
        <v>47</v>
      </c>
      <c r="B7" s="20" t="n">
        <v>3</v>
      </c>
      <c r="C7" s="20" t="n">
        <f aca="false">MAX(INDEX(Bâtiments!$D$6:$D$15,MATCH($A7,Bâtiments!$A$6:$A$15,0)),INDEX(Paramètres!$E$22:$E$26,MATCH($B7,Paramètres!$B$22:$B$26,1)),_xlfn.MAXIFS(Production!$E$6:$E$35,Production!$A$6:$A$35,$A7,Production!$D$6:$D$35,"&lt;="&amp;$B7))</f>
        <v>0</v>
      </c>
      <c r="D7" s="21" t="n">
        <f aca="false">ROUND(INDEX(Bâtiments!$F$6:$F$15,MATCH($A7,Bâtiments!$A$6:$A$15,0))*($B7-1)^Paramètres!$B$14,-1)</f>
        <v>3200</v>
      </c>
      <c r="E7" s="22" t="str">
        <f aca="false">INDEX(Paramètres!$D$22:$D$26,MATCH($C7,Paramètres!$E$22:$E$26,1))</f>
        <v>bois</v>
      </c>
      <c r="F7" s="21" t="n">
        <f aca="false">ROUND(Paramètres!$B$15*$B7^Paramètres!$B$16*INDEX(Bâtiments!$G$6:$G$15,MATCH($A7,Bâtiments!$A$6:$A$15,0)),0)</f>
        <v>63</v>
      </c>
      <c r="G7" s="21" t="n">
        <f aca="false">IF($C7&gt;=Paramètres!$E$23,ROUND($F7*Paramètres!$B$17,0),0)</f>
        <v>0</v>
      </c>
      <c r="H7" s="23" t="n">
        <f aca="false">ROUND($D7/INDEX(Paramètres!$B$38:$B$57,MATCH(MAX(5,$C7),Paramètres!$A$38:$A$57,1))*60,1)</f>
        <v>7.6</v>
      </c>
      <c r="I7" s="24" t="str">
        <f aca="false">"Objets proposés : "&amp;(Paramètres!$B$32+INT(($B7-1)/2))&amp;" · lots : "&amp;(Paramètres!$B$33+INT(($B7-1)/2))&amp;" · remise : "&amp;ROUND(($B7-1)*Paramètres!$B$34*100,0)&amp;" %"</f>
        <v>Objets proposés : 7 · lots : 5 · remise : 4 %</v>
      </c>
    </row>
    <row r="8" customFormat="false" ht="15" hidden="false" customHeight="false" outlineLevel="0" collapsed="false">
      <c r="A8" s="19" t="s">
        <v>47</v>
      </c>
      <c r="B8" s="20" t="n">
        <v>4</v>
      </c>
      <c r="C8" s="20" t="n">
        <f aca="false">MAX(INDEX(Bâtiments!$D$6:$D$15,MATCH($A8,Bâtiments!$A$6:$A$15,0)),INDEX(Paramètres!$E$22:$E$26,MATCH($B8,Paramètres!$B$22:$B$26,1)),_xlfn.MAXIFS(Production!$E$6:$E$35,Production!$A$6:$A$35,$A8,Production!$D$6:$D$35,"&lt;="&amp;$B8))</f>
        <v>0</v>
      </c>
      <c r="D8" s="21" t="n">
        <f aca="false">ROUND(INDEX(Bâtiments!$F$6:$F$15,MATCH($A8,Bâtiments!$A$6:$A$15,0))*($B8-1)^Paramètres!$B$14,-1)</f>
        <v>7200</v>
      </c>
      <c r="E8" s="22" t="str">
        <f aca="false">INDEX(Paramètres!$D$22:$D$26,MATCH($C8,Paramètres!$E$22:$E$26,1))</f>
        <v>bois</v>
      </c>
      <c r="F8" s="21" t="n">
        <f aca="false">ROUND(Paramètres!$B$15*$B8^Paramètres!$B$16*INDEX(Bâtiments!$G$6:$G$15,MATCH($A8,Bâtiments!$A$6:$A$15,0)),0)</f>
        <v>91</v>
      </c>
      <c r="G8" s="21" t="n">
        <f aca="false">IF($C8&gt;=Paramètres!$E$23,ROUND($F8*Paramètres!$B$17,0),0)</f>
        <v>0</v>
      </c>
      <c r="H8" s="23" t="n">
        <f aca="false">ROUND($D8/INDEX(Paramètres!$B$38:$B$57,MATCH(MAX(5,$C8),Paramètres!$A$38:$A$57,1))*60,1)</f>
        <v>17.1</v>
      </c>
      <c r="I8" s="24" t="str">
        <f aca="false">"Objets proposés : "&amp;(Paramètres!$B$32+INT(($B8-1)/2))&amp;" · lots : "&amp;(Paramètres!$B$33+INT(($B8-1)/2))&amp;" · remise : "&amp;ROUND(($B8-1)*Paramètres!$B$34*100,0)&amp;" %"</f>
        <v>Objets proposés : 7 · lots : 5 · remise : 6 %</v>
      </c>
    </row>
    <row r="9" customFormat="false" ht="15" hidden="false" customHeight="false" outlineLevel="0" collapsed="false">
      <c r="A9" s="19" t="s">
        <v>47</v>
      </c>
      <c r="B9" s="20" t="n">
        <v>5</v>
      </c>
      <c r="C9" s="20" t="n">
        <f aca="false">MAX(INDEX(Bâtiments!$D$6:$D$15,MATCH($A9,Bâtiments!$A$6:$A$15,0)),INDEX(Paramètres!$E$22:$E$26,MATCH($B9,Paramètres!$B$22:$B$26,1)),_xlfn.MAXIFS(Production!$E$6:$E$35,Production!$A$6:$A$35,$A9,Production!$D$6:$D$35,"&lt;="&amp;$B9))</f>
        <v>0</v>
      </c>
      <c r="D9" s="21" t="n">
        <f aca="false">ROUND(INDEX(Bâtiments!$F$6:$F$15,MATCH($A9,Bâtiments!$A$6:$A$15,0))*($B9-1)^Paramètres!$B$14,-1)</f>
        <v>12800</v>
      </c>
      <c r="E9" s="22" t="str">
        <f aca="false">INDEX(Paramètres!$D$22:$D$26,MATCH($C9,Paramètres!$E$22:$E$26,1))</f>
        <v>bois</v>
      </c>
      <c r="F9" s="21" t="n">
        <f aca="false">ROUND(Paramètres!$B$15*$B9^Paramètres!$B$16*INDEX(Bâtiments!$G$6:$G$15,MATCH($A9,Bâtiments!$A$6:$A$15,0)),0)</f>
        <v>122</v>
      </c>
      <c r="G9" s="21" t="n">
        <f aca="false">IF($C9&gt;=Paramètres!$E$23,ROUND($F9*Paramètres!$B$17,0),0)</f>
        <v>0</v>
      </c>
      <c r="H9" s="23" t="n">
        <f aca="false">ROUND($D9/INDEX(Paramètres!$B$38:$B$57,MATCH(MAX(5,$C9),Paramètres!$A$38:$A$57,1))*60,1)</f>
        <v>30.4</v>
      </c>
      <c r="I9" s="24" t="str">
        <f aca="false">"Objets proposés : "&amp;(Paramètres!$B$32+INT(($B9-1)/2))&amp;" · lots : "&amp;(Paramètres!$B$33+INT(($B9-1)/2))&amp;" · remise : "&amp;ROUND(($B9-1)*Paramètres!$B$34*100,0)&amp;" %"</f>
        <v>Objets proposés : 8 · lots : 6 · remise : 8 %</v>
      </c>
    </row>
    <row r="10" customFormat="false" ht="15" hidden="false" customHeight="false" outlineLevel="0" collapsed="false">
      <c r="A10" s="19" t="s">
        <v>47</v>
      </c>
      <c r="B10" s="20" t="n">
        <v>6</v>
      </c>
      <c r="C10" s="20" t="n">
        <f aca="false">MAX(INDEX(Bâtiments!$D$6:$D$15,MATCH($A10,Bâtiments!$A$6:$A$15,0)),INDEX(Paramètres!$E$22:$E$26,MATCH($B10,Paramètres!$B$22:$B$26,1)),_xlfn.MAXIFS(Production!$E$6:$E$35,Production!$A$6:$A$35,$A10,Production!$D$6:$D$35,"&lt;="&amp;$B10))</f>
        <v>15</v>
      </c>
      <c r="D10" s="21" t="n">
        <f aca="false">ROUND(INDEX(Bâtiments!$F$6:$F$15,MATCH($A10,Bâtiments!$A$6:$A$15,0))*($B10-1)^Paramètres!$B$14,-1)</f>
        <v>20000</v>
      </c>
      <c r="E10" s="22" t="str">
        <f aca="false">INDEX(Paramètres!$D$22:$D$26,MATCH($C10,Paramètres!$E$22:$E$26,1))</f>
        <v>fer</v>
      </c>
      <c r="F10" s="21" t="n">
        <f aca="false">ROUND(Paramètres!$B$15*$B10^Paramètres!$B$16*INDEX(Bâtiments!$G$6:$G$15,MATCH($A10,Bâtiments!$A$6:$A$15,0)),0)</f>
        <v>154</v>
      </c>
      <c r="G10" s="21" t="n">
        <f aca="false">IF($C10&gt;=Paramètres!$E$23,ROUND($F10*Paramètres!$B$17,0),0)</f>
        <v>77</v>
      </c>
      <c r="H10" s="23" t="n">
        <f aca="false">ROUND($D10/INDEX(Paramètres!$B$38:$B$57,MATCH(MAX(5,$C10),Paramètres!$A$38:$A$57,1))*60,1)</f>
        <v>16.5</v>
      </c>
      <c r="I10" s="24" t="str">
        <f aca="false">"Objets proposés : "&amp;(Paramètres!$B$32+INT(($B10-1)/2))&amp;" · lots : "&amp;(Paramètres!$B$33+INT(($B10-1)/2))&amp;" · remise : "&amp;ROUND(($B10-1)*Paramètres!$B$34*100,0)&amp;" %"</f>
        <v>Objets proposés : 8 · lots : 6 · remise : 10 %</v>
      </c>
    </row>
    <row r="11" customFormat="false" ht="15" hidden="false" customHeight="false" outlineLevel="0" collapsed="false">
      <c r="A11" s="19" t="s">
        <v>47</v>
      </c>
      <c r="B11" s="20" t="n">
        <v>7</v>
      </c>
      <c r="C11" s="20" t="n">
        <f aca="false">MAX(INDEX(Bâtiments!$D$6:$D$15,MATCH($A11,Bâtiments!$A$6:$A$15,0)),INDEX(Paramètres!$E$22:$E$26,MATCH($B11,Paramètres!$B$22:$B$26,1)),_xlfn.MAXIFS(Production!$E$6:$E$35,Production!$A$6:$A$35,$A11,Production!$D$6:$D$35,"&lt;="&amp;$B11))</f>
        <v>15</v>
      </c>
      <c r="D11" s="21" t="n">
        <f aca="false">ROUND(INDEX(Bâtiments!$F$6:$F$15,MATCH($A11,Bâtiments!$A$6:$A$15,0))*($B11-1)^Paramètres!$B$14,-1)</f>
        <v>28800</v>
      </c>
      <c r="E11" s="22" t="str">
        <f aca="false">INDEX(Paramètres!$D$22:$D$26,MATCH($C11,Paramètres!$E$22:$E$26,1))</f>
        <v>fer</v>
      </c>
      <c r="F11" s="21" t="n">
        <f aca="false">ROUND(Paramètres!$B$15*$B11^Paramètres!$B$16*INDEX(Bâtiments!$G$6:$G$15,MATCH($A11,Bâtiments!$A$6:$A$15,0)),0)</f>
        <v>188</v>
      </c>
      <c r="G11" s="21" t="n">
        <f aca="false">IF($C11&gt;=Paramètres!$E$23,ROUND($F11*Paramètres!$B$17,0),0)</f>
        <v>94</v>
      </c>
      <c r="H11" s="23" t="n">
        <f aca="false">ROUND($D11/INDEX(Paramètres!$B$38:$B$57,MATCH(MAX(5,$C11),Paramètres!$A$38:$A$57,1))*60,1)</f>
        <v>23.8</v>
      </c>
      <c r="I11" s="24" t="str">
        <f aca="false">"Objets proposés : "&amp;(Paramètres!$B$32+INT(($B11-1)/2))&amp;" · lots : "&amp;(Paramètres!$B$33+INT(($B11-1)/2))&amp;" · remise : "&amp;ROUND(($B11-1)*Paramètres!$B$34*100,0)&amp;" %"</f>
        <v>Objets proposés : 9 · lots : 7 · remise : 12 %</v>
      </c>
    </row>
    <row r="12" customFormat="false" ht="15" hidden="false" customHeight="false" outlineLevel="0" collapsed="false">
      <c r="A12" s="19" t="s">
        <v>47</v>
      </c>
      <c r="B12" s="20" t="n">
        <v>8</v>
      </c>
      <c r="C12" s="20" t="n">
        <f aca="false">MAX(INDEX(Bâtiments!$D$6:$D$15,MATCH($A12,Bâtiments!$A$6:$A$15,0)),INDEX(Paramètres!$E$22:$E$26,MATCH($B12,Paramètres!$B$22:$B$26,1)),_xlfn.MAXIFS(Production!$E$6:$E$35,Production!$A$6:$A$35,$A12,Production!$D$6:$D$35,"&lt;="&amp;$B12))</f>
        <v>15</v>
      </c>
      <c r="D12" s="21" t="n">
        <f aca="false">ROUND(INDEX(Bâtiments!$F$6:$F$15,MATCH($A12,Bâtiments!$A$6:$A$15,0))*($B12-1)^Paramètres!$B$14,-1)</f>
        <v>39200</v>
      </c>
      <c r="E12" s="22" t="str">
        <f aca="false">INDEX(Paramètres!$D$22:$D$26,MATCH($C12,Paramètres!$E$22:$E$26,1))</f>
        <v>fer</v>
      </c>
      <c r="F12" s="21" t="n">
        <f aca="false">ROUND(Paramètres!$B$15*$B12^Paramètres!$B$16*INDEX(Bâtiments!$G$6:$G$15,MATCH($A12,Bâtiments!$A$6:$A$15,0)),0)</f>
        <v>224</v>
      </c>
      <c r="G12" s="21" t="n">
        <f aca="false">IF($C12&gt;=Paramètres!$E$23,ROUND($F12*Paramètres!$B$17,0),0)</f>
        <v>112</v>
      </c>
      <c r="H12" s="23" t="n">
        <f aca="false">ROUND($D12/INDEX(Paramètres!$B$38:$B$57,MATCH(MAX(5,$C12),Paramètres!$A$38:$A$57,1))*60,1)</f>
        <v>32.4</v>
      </c>
      <c r="I12" s="24" t="str">
        <f aca="false">"Objets proposés : "&amp;(Paramètres!$B$32+INT(($B12-1)/2))&amp;" · lots : "&amp;(Paramètres!$B$33+INT(($B12-1)/2))&amp;" · remise : "&amp;ROUND(($B12-1)*Paramètres!$B$34*100,0)&amp;" %"</f>
        <v>Objets proposés : 9 · lots : 7 · remise : 14 %</v>
      </c>
    </row>
    <row r="13" customFormat="false" ht="15" hidden="false" customHeight="false" outlineLevel="0" collapsed="false">
      <c r="A13" s="19" t="s">
        <v>47</v>
      </c>
      <c r="B13" s="20" t="n">
        <v>9</v>
      </c>
      <c r="C13" s="20" t="n">
        <f aca="false">MAX(INDEX(Bâtiments!$D$6:$D$15,MATCH($A13,Bâtiments!$A$6:$A$15,0)),INDEX(Paramètres!$E$22:$E$26,MATCH($B13,Paramètres!$B$22:$B$26,1)),_xlfn.MAXIFS(Production!$E$6:$E$35,Production!$A$6:$A$35,$A13,Production!$D$6:$D$35,"&lt;="&amp;$B13))</f>
        <v>15</v>
      </c>
      <c r="D13" s="21" t="n">
        <f aca="false">ROUND(INDEX(Bâtiments!$F$6:$F$15,MATCH($A13,Bâtiments!$A$6:$A$15,0))*($B13-1)^Paramètres!$B$14,-1)</f>
        <v>51200</v>
      </c>
      <c r="E13" s="22" t="str">
        <f aca="false">INDEX(Paramètres!$D$22:$D$26,MATCH($C13,Paramètres!$E$22:$E$26,1))</f>
        <v>fer</v>
      </c>
      <c r="F13" s="21" t="n">
        <f aca="false">ROUND(Paramètres!$B$15*$B13^Paramètres!$B$16*INDEX(Bâtiments!$G$6:$G$15,MATCH($A13,Bâtiments!$A$6:$A$15,0)),0)</f>
        <v>261</v>
      </c>
      <c r="G13" s="21" t="n">
        <f aca="false">IF($C13&gt;=Paramètres!$E$23,ROUND($F13*Paramètres!$B$17,0),0)</f>
        <v>131</v>
      </c>
      <c r="H13" s="23" t="n">
        <f aca="false">ROUND($D13/INDEX(Paramètres!$B$38:$B$57,MATCH(MAX(5,$C13),Paramètres!$A$38:$A$57,1))*60,1)</f>
        <v>42.3</v>
      </c>
      <c r="I13" s="24" t="str">
        <f aca="false">"Objets proposés : "&amp;(Paramètres!$B$32+INT(($B13-1)/2))&amp;" · lots : "&amp;(Paramètres!$B$33+INT(($B13-1)/2))&amp;" · remise : "&amp;ROUND(($B13-1)*Paramètres!$B$34*100,0)&amp;" %"</f>
        <v>Objets proposés : 10 · lots : 8 · remise : 16 %</v>
      </c>
    </row>
    <row r="14" customFormat="false" ht="15" hidden="false" customHeight="false" outlineLevel="0" collapsed="false">
      <c r="A14" s="19" t="s">
        <v>47</v>
      </c>
      <c r="B14" s="20" t="n">
        <v>10</v>
      </c>
      <c r="C14" s="20" t="n">
        <f aca="false">MAX(INDEX(Bâtiments!$D$6:$D$15,MATCH($A14,Bâtiments!$A$6:$A$15,0)),INDEX(Paramètres!$E$22:$E$26,MATCH($B14,Paramètres!$B$22:$B$26,1)),_xlfn.MAXIFS(Production!$E$6:$E$35,Production!$A$6:$A$35,$A14,Production!$D$6:$D$35,"&lt;="&amp;$B14))</f>
        <v>15</v>
      </c>
      <c r="D14" s="21" t="n">
        <f aca="false">ROUND(INDEX(Bâtiments!$F$6:$F$15,MATCH($A14,Bâtiments!$A$6:$A$15,0))*($B14-1)^Paramètres!$B$14,-1)</f>
        <v>64800</v>
      </c>
      <c r="E14" s="22" t="str">
        <f aca="false">INDEX(Paramètres!$D$22:$D$26,MATCH($C14,Paramètres!$E$22:$E$26,1))</f>
        <v>fer</v>
      </c>
      <c r="F14" s="21" t="n">
        <f aca="false">ROUND(Paramètres!$B$15*$B14^Paramètres!$B$16*INDEX(Bâtiments!$G$6:$G$15,MATCH($A14,Bâtiments!$A$6:$A$15,0)),0)</f>
        <v>299</v>
      </c>
      <c r="G14" s="21" t="n">
        <f aca="false">IF($C14&gt;=Paramètres!$E$23,ROUND($F14*Paramètres!$B$17,0),0)</f>
        <v>150</v>
      </c>
      <c r="H14" s="23" t="n">
        <f aca="false">ROUND($D14/INDEX(Paramètres!$B$38:$B$57,MATCH(MAX(5,$C14),Paramètres!$A$38:$A$57,1))*60,1)</f>
        <v>53.5</v>
      </c>
      <c r="I14" s="24" t="str">
        <f aca="false">"Objets proposés : "&amp;(Paramètres!$B$32+INT(($B14-1)/2))&amp;" · lots : "&amp;(Paramètres!$B$33+INT(($B14-1)/2))&amp;" · remise : "&amp;ROUND(($B14-1)*Paramètres!$B$34*100,0)&amp;" %"</f>
        <v>Objets proposés : 10 · lots : 8 · remise : 18 %</v>
      </c>
    </row>
    <row r="15" customFormat="false" ht="15" hidden="false" customHeight="false" outlineLevel="0" collapsed="false">
      <c r="A15" s="7" t="s">
        <v>51</v>
      </c>
      <c r="B15" s="15" t="n">
        <v>2</v>
      </c>
      <c r="C15" s="15" t="n">
        <f aca="false">MAX(INDEX(Bâtiments!$D$6:$D$15,MATCH($A15,Bâtiments!$A$6:$A$15,0)),INDEX(Paramètres!$E$22:$E$26,MATCH($B15,Paramètres!$B$22:$B$26,1)),_xlfn.MAXIFS(Production!$E$6:$E$35,Production!$A$6:$A$35,$A15,Production!$D$6:$D$35,"&lt;="&amp;$B15))</f>
        <v>0</v>
      </c>
      <c r="D15" s="14" t="n">
        <f aca="false">ROUND(INDEX(Bâtiments!$F$6:$F$15,MATCH($A15,Bâtiments!$A$6:$A$15,0))*($B15-1)^Paramètres!$B$14,-1)</f>
        <v>400</v>
      </c>
      <c r="E15" s="13" t="str">
        <f aca="false">INDEX(Paramètres!$D$22:$D$26,MATCH($C15,Paramètres!$E$22:$E$26,1))</f>
        <v>bois</v>
      </c>
      <c r="F15" s="14" t="n">
        <f aca="false">ROUND(Paramètres!$B$15*$B15^Paramètres!$B$16*INDEX(Bâtiments!$G$6:$G$15,MATCH($A15,Bâtiments!$A$6:$A$15,0)),0)</f>
        <v>37</v>
      </c>
      <c r="G15" s="14" t="n">
        <f aca="false">IF($C15&gt;=Paramètres!$E$23,ROUND($F15*Paramètres!$B$17,0),0)</f>
        <v>0</v>
      </c>
      <c r="H15" s="25" t="n">
        <f aca="false">ROUND($D15/INDEX(Paramètres!$B$38:$B$57,MATCH(MAX(5,$C15),Paramètres!$A$38:$A$57,1))*60,1)</f>
        <v>1</v>
      </c>
      <c r="I15" s="11" t="str">
        <f aca="false">"Capacité : "&amp;ROUND(Paramètres!$B$30*$B15^Paramètres!$B$31,-2)&amp;" par ressource"</f>
        <v>Capacité : 2800 par ressource</v>
      </c>
    </row>
    <row r="16" customFormat="false" ht="15" hidden="false" customHeight="false" outlineLevel="0" collapsed="false">
      <c r="A16" s="7" t="s">
        <v>51</v>
      </c>
      <c r="B16" s="15" t="n">
        <v>3</v>
      </c>
      <c r="C16" s="15" t="n">
        <f aca="false">MAX(INDEX(Bâtiments!$D$6:$D$15,MATCH($A16,Bâtiments!$A$6:$A$15,0)),INDEX(Paramètres!$E$22:$E$26,MATCH($B16,Paramètres!$B$22:$B$26,1)),_xlfn.MAXIFS(Production!$E$6:$E$35,Production!$A$6:$A$35,$A16,Production!$D$6:$D$35,"&lt;="&amp;$B16))</f>
        <v>0</v>
      </c>
      <c r="D16" s="14" t="n">
        <f aca="false">ROUND(INDEX(Bâtiments!$F$6:$F$15,MATCH($A16,Bâtiments!$A$6:$A$15,0))*($B16-1)^Paramètres!$B$14,-1)</f>
        <v>1600</v>
      </c>
      <c r="E16" s="13" t="str">
        <f aca="false">INDEX(Paramètres!$D$22:$D$26,MATCH($C16,Paramètres!$E$22:$E$26,1))</f>
        <v>bois</v>
      </c>
      <c r="F16" s="14" t="n">
        <f aca="false">ROUND(Paramètres!$B$15*$B16^Paramètres!$B$16*INDEX(Bâtiments!$G$6:$G$15,MATCH($A16,Bâtiments!$A$6:$A$15,0)),0)</f>
        <v>63</v>
      </c>
      <c r="G16" s="14" t="n">
        <f aca="false">IF($C16&gt;=Paramètres!$E$23,ROUND($F16*Paramètres!$B$17,0),0)</f>
        <v>0</v>
      </c>
      <c r="H16" s="25" t="n">
        <f aca="false">ROUND($D16/INDEX(Paramètres!$B$38:$B$57,MATCH(MAX(5,$C16),Paramètres!$A$38:$A$57,1))*60,1)</f>
        <v>3.8</v>
      </c>
      <c r="I16" s="11" t="str">
        <f aca="false">"Capacité : "&amp;ROUND(Paramètres!$B$30*$B16^Paramètres!$B$31,-2)&amp;" par ressource"</f>
        <v>Capacité : 5200 par ressource</v>
      </c>
    </row>
    <row r="17" customFormat="false" ht="15" hidden="false" customHeight="false" outlineLevel="0" collapsed="false">
      <c r="A17" s="7" t="s">
        <v>51</v>
      </c>
      <c r="B17" s="15" t="n">
        <v>4</v>
      </c>
      <c r="C17" s="15" t="n">
        <f aca="false">MAX(INDEX(Bâtiments!$D$6:$D$15,MATCH($A17,Bâtiments!$A$6:$A$15,0)),INDEX(Paramètres!$E$22:$E$26,MATCH($B17,Paramètres!$B$22:$B$26,1)),_xlfn.MAXIFS(Production!$E$6:$E$35,Production!$A$6:$A$35,$A17,Production!$D$6:$D$35,"&lt;="&amp;$B17))</f>
        <v>0</v>
      </c>
      <c r="D17" s="14" t="n">
        <f aca="false">ROUND(INDEX(Bâtiments!$F$6:$F$15,MATCH($A17,Bâtiments!$A$6:$A$15,0))*($B17-1)^Paramètres!$B$14,-1)</f>
        <v>3600</v>
      </c>
      <c r="E17" s="13" t="str">
        <f aca="false">INDEX(Paramètres!$D$22:$D$26,MATCH($C17,Paramètres!$E$22:$E$26,1))</f>
        <v>bois</v>
      </c>
      <c r="F17" s="14" t="n">
        <f aca="false">ROUND(Paramètres!$B$15*$B17^Paramètres!$B$16*INDEX(Bâtiments!$G$6:$G$15,MATCH($A17,Bâtiments!$A$6:$A$15,0)),0)</f>
        <v>91</v>
      </c>
      <c r="G17" s="14" t="n">
        <f aca="false">IF($C17&gt;=Paramètres!$E$23,ROUND($F17*Paramètres!$B$17,0),0)</f>
        <v>0</v>
      </c>
      <c r="H17" s="25" t="n">
        <f aca="false">ROUND($D17/INDEX(Paramètres!$B$38:$B$57,MATCH(MAX(5,$C17),Paramètres!$A$38:$A$57,1))*60,1)</f>
        <v>8.6</v>
      </c>
      <c r="I17" s="11" t="str">
        <f aca="false">"Capacité : "&amp;ROUND(Paramètres!$B$30*$B17^Paramètres!$B$31,-2)&amp;" par ressource"</f>
        <v>Capacité : 8000 par ressource</v>
      </c>
    </row>
    <row r="18" customFormat="false" ht="15" hidden="false" customHeight="false" outlineLevel="0" collapsed="false">
      <c r="A18" s="7" t="s">
        <v>51</v>
      </c>
      <c r="B18" s="15" t="n">
        <v>5</v>
      </c>
      <c r="C18" s="15" t="n">
        <f aca="false">MAX(INDEX(Bâtiments!$D$6:$D$15,MATCH($A18,Bâtiments!$A$6:$A$15,0)),INDEX(Paramètres!$E$22:$E$26,MATCH($B18,Paramètres!$B$22:$B$26,1)),_xlfn.MAXIFS(Production!$E$6:$E$35,Production!$A$6:$A$35,$A18,Production!$D$6:$D$35,"&lt;="&amp;$B18))</f>
        <v>0</v>
      </c>
      <c r="D18" s="14" t="n">
        <f aca="false">ROUND(INDEX(Bâtiments!$F$6:$F$15,MATCH($A18,Bâtiments!$A$6:$A$15,0))*($B18-1)^Paramètres!$B$14,-1)</f>
        <v>6400</v>
      </c>
      <c r="E18" s="13" t="str">
        <f aca="false">INDEX(Paramètres!$D$22:$D$26,MATCH($C18,Paramètres!$E$22:$E$26,1))</f>
        <v>bois</v>
      </c>
      <c r="F18" s="14" t="n">
        <f aca="false">ROUND(Paramètres!$B$15*$B18^Paramètres!$B$16*INDEX(Bâtiments!$G$6:$G$15,MATCH($A18,Bâtiments!$A$6:$A$15,0)),0)</f>
        <v>122</v>
      </c>
      <c r="G18" s="14" t="n">
        <f aca="false">IF($C18&gt;=Paramètres!$E$23,ROUND($F18*Paramètres!$B$17,0),0)</f>
        <v>0</v>
      </c>
      <c r="H18" s="25" t="n">
        <f aca="false">ROUND($D18/INDEX(Paramètres!$B$38:$B$57,MATCH(MAX(5,$C18),Paramètres!$A$38:$A$57,1))*60,1)</f>
        <v>15.2</v>
      </c>
      <c r="I18" s="11" t="str">
        <f aca="false">"Capacité : "&amp;ROUND(Paramètres!$B$30*$B18^Paramètres!$B$31,-2)&amp;" par ressource"</f>
        <v>Capacité : 11200 par ressource</v>
      </c>
    </row>
    <row r="19" customFormat="false" ht="15" hidden="false" customHeight="false" outlineLevel="0" collapsed="false">
      <c r="A19" s="7" t="s">
        <v>51</v>
      </c>
      <c r="B19" s="15" t="n">
        <v>6</v>
      </c>
      <c r="C19" s="15" t="n">
        <f aca="false">MAX(INDEX(Bâtiments!$D$6:$D$15,MATCH($A19,Bâtiments!$A$6:$A$15,0)),INDEX(Paramètres!$E$22:$E$26,MATCH($B19,Paramètres!$B$22:$B$26,1)),_xlfn.MAXIFS(Production!$E$6:$E$35,Production!$A$6:$A$35,$A19,Production!$D$6:$D$35,"&lt;="&amp;$B19))</f>
        <v>15</v>
      </c>
      <c r="D19" s="14" t="n">
        <f aca="false">ROUND(INDEX(Bâtiments!$F$6:$F$15,MATCH($A19,Bâtiments!$A$6:$A$15,0))*($B19-1)^Paramètres!$B$14,-1)</f>
        <v>10000</v>
      </c>
      <c r="E19" s="13" t="str">
        <f aca="false">INDEX(Paramètres!$D$22:$D$26,MATCH($C19,Paramètres!$E$22:$E$26,1))</f>
        <v>fer</v>
      </c>
      <c r="F19" s="14" t="n">
        <f aca="false">ROUND(Paramètres!$B$15*$B19^Paramètres!$B$16*INDEX(Bâtiments!$G$6:$G$15,MATCH($A19,Bâtiments!$A$6:$A$15,0)),0)</f>
        <v>154</v>
      </c>
      <c r="G19" s="14" t="n">
        <f aca="false">IF($C19&gt;=Paramètres!$E$23,ROUND($F19*Paramètres!$B$17,0),0)</f>
        <v>77</v>
      </c>
      <c r="H19" s="25" t="n">
        <f aca="false">ROUND($D19/INDEX(Paramètres!$B$38:$B$57,MATCH(MAX(5,$C19),Paramètres!$A$38:$A$57,1))*60,1)</f>
        <v>8.3</v>
      </c>
      <c r="I19" s="11" t="str">
        <f aca="false">"Capacité : "&amp;ROUND(Paramètres!$B$30*$B19^Paramètres!$B$31,-2)&amp;" par ressource"</f>
        <v>Capacité : 14700 par ressource</v>
      </c>
    </row>
    <row r="20" customFormat="false" ht="15" hidden="false" customHeight="false" outlineLevel="0" collapsed="false">
      <c r="A20" s="7" t="s">
        <v>51</v>
      </c>
      <c r="B20" s="15" t="n">
        <v>7</v>
      </c>
      <c r="C20" s="15" t="n">
        <f aca="false">MAX(INDEX(Bâtiments!$D$6:$D$15,MATCH($A20,Bâtiments!$A$6:$A$15,0)),INDEX(Paramètres!$E$22:$E$26,MATCH($B20,Paramètres!$B$22:$B$26,1)),_xlfn.MAXIFS(Production!$E$6:$E$35,Production!$A$6:$A$35,$A20,Production!$D$6:$D$35,"&lt;="&amp;$B20))</f>
        <v>15</v>
      </c>
      <c r="D20" s="14" t="n">
        <f aca="false">ROUND(INDEX(Bâtiments!$F$6:$F$15,MATCH($A20,Bâtiments!$A$6:$A$15,0))*($B20-1)^Paramètres!$B$14,-1)</f>
        <v>14400</v>
      </c>
      <c r="E20" s="13" t="str">
        <f aca="false">INDEX(Paramètres!$D$22:$D$26,MATCH($C20,Paramètres!$E$22:$E$26,1))</f>
        <v>fer</v>
      </c>
      <c r="F20" s="14" t="n">
        <f aca="false">ROUND(Paramètres!$B$15*$B20^Paramètres!$B$16*INDEX(Bâtiments!$G$6:$G$15,MATCH($A20,Bâtiments!$A$6:$A$15,0)),0)</f>
        <v>188</v>
      </c>
      <c r="G20" s="14" t="n">
        <f aca="false">IF($C20&gt;=Paramètres!$E$23,ROUND($F20*Paramètres!$B$17,0),0)</f>
        <v>94</v>
      </c>
      <c r="H20" s="25" t="n">
        <f aca="false">ROUND($D20/INDEX(Paramètres!$B$38:$B$57,MATCH(MAX(5,$C20),Paramètres!$A$38:$A$57,1))*60,1)</f>
        <v>11.9</v>
      </c>
      <c r="I20" s="11" t="str">
        <f aca="false">"Capacité : "&amp;ROUND(Paramètres!$B$30*$B20^Paramètres!$B$31,-2)&amp;" par ressource"</f>
        <v>Capacité : 18500 par ressource</v>
      </c>
    </row>
    <row r="21" customFormat="false" ht="15" hidden="false" customHeight="false" outlineLevel="0" collapsed="false">
      <c r="A21" s="7" t="s">
        <v>51</v>
      </c>
      <c r="B21" s="15" t="n">
        <v>8</v>
      </c>
      <c r="C21" s="15" t="n">
        <f aca="false">MAX(INDEX(Bâtiments!$D$6:$D$15,MATCH($A21,Bâtiments!$A$6:$A$15,0)),INDEX(Paramètres!$E$22:$E$26,MATCH($B21,Paramètres!$B$22:$B$26,1)),_xlfn.MAXIFS(Production!$E$6:$E$35,Production!$A$6:$A$35,$A21,Production!$D$6:$D$35,"&lt;="&amp;$B21))</f>
        <v>15</v>
      </c>
      <c r="D21" s="14" t="n">
        <f aca="false">ROUND(INDEX(Bâtiments!$F$6:$F$15,MATCH($A21,Bâtiments!$A$6:$A$15,0))*($B21-1)^Paramètres!$B$14,-1)</f>
        <v>19600</v>
      </c>
      <c r="E21" s="13" t="str">
        <f aca="false">INDEX(Paramètres!$D$22:$D$26,MATCH($C21,Paramètres!$E$22:$E$26,1))</f>
        <v>fer</v>
      </c>
      <c r="F21" s="14" t="n">
        <f aca="false">ROUND(Paramètres!$B$15*$B21^Paramètres!$B$16*INDEX(Bâtiments!$G$6:$G$15,MATCH($A21,Bâtiments!$A$6:$A$15,0)),0)</f>
        <v>224</v>
      </c>
      <c r="G21" s="14" t="n">
        <f aca="false">IF($C21&gt;=Paramètres!$E$23,ROUND($F21*Paramètres!$B$17,0),0)</f>
        <v>112</v>
      </c>
      <c r="H21" s="25" t="n">
        <f aca="false">ROUND($D21/INDEX(Paramètres!$B$38:$B$57,MATCH(MAX(5,$C21),Paramètres!$A$38:$A$57,1))*60,1)</f>
        <v>16.2</v>
      </c>
      <c r="I21" s="11" t="str">
        <f aca="false">"Capacité : "&amp;ROUND(Paramètres!$B$30*$B21^Paramètres!$B$31,-2)&amp;" par ressource"</f>
        <v>Capacité : 22600 par ressource</v>
      </c>
    </row>
    <row r="22" customFormat="false" ht="15" hidden="false" customHeight="false" outlineLevel="0" collapsed="false">
      <c r="A22" s="7" t="s">
        <v>51</v>
      </c>
      <c r="B22" s="15" t="n">
        <v>9</v>
      </c>
      <c r="C22" s="15" t="n">
        <f aca="false">MAX(INDEX(Bâtiments!$D$6:$D$15,MATCH($A22,Bâtiments!$A$6:$A$15,0)),INDEX(Paramètres!$E$22:$E$26,MATCH($B22,Paramètres!$B$22:$B$26,1)),_xlfn.MAXIFS(Production!$E$6:$E$35,Production!$A$6:$A$35,$A22,Production!$D$6:$D$35,"&lt;="&amp;$B22))</f>
        <v>15</v>
      </c>
      <c r="D22" s="14" t="n">
        <f aca="false">ROUND(INDEX(Bâtiments!$F$6:$F$15,MATCH($A22,Bâtiments!$A$6:$A$15,0))*($B22-1)^Paramètres!$B$14,-1)</f>
        <v>25600</v>
      </c>
      <c r="E22" s="13" t="str">
        <f aca="false">INDEX(Paramètres!$D$22:$D$26,MATCH($C22,Paramètres!$E$22:$E$26,1))</f>
        <v>fer</v>
      </c>
      <c r="F22" s="14" t="n">
        <f aca="false">ROUND(Paramètres!$B$15*$B22^Paramètres!$B$16*INDEX(Bâtiments!$G$6:$G$15,MATCH($A22,Bâtiments!$A$6:$A$15,0)),0)</f>
        <v>261</v>
      </c>
      <c r="G22" s="14" t="n">
        <f aca="false">IF($C22&gt;=Paramètres!$E$23,ROUND($F22*Paramètres!$B$17,0),0)</f>
        <v>131</v>
      </c>
      <c r="H22" s="25" t="n">
        <f aca="false">ROUND($D22/INDEX(Paramètres!$B$38:$B$57,MATCH(MAX(5,$C22),Paramètres!$A$38:$A$57,1))*60,1)</f>
        <v>21.2</v>
      </c>
      <c r="I22" s="11" t="str">
        <f aca="false">"Capacité : "&amp;ROUND(Paramètres!$B$30*$B22^Paramètres!$B$31,-2)&amp;" par ressource"</f>
        <v>Capacité : 27000 par ressource</v>
      </c>
    </row>
    <row r="23" customFormat="false" ht="15" hidden="false" customHeight="false" outlineLevel="0" collapsed="false">
      <c r="A23" s="7" t="s">
        <v>51</v>
      </c>
      <c r="B23" s="15" t="n">
        <v>10</v>
      </c>
      <c r="C23" s="15" t="n">
        <f aca="false">MAX(INDEX(Bâtiments!$D$6:$D$15,MATCH($A23,Bâtiments!$A$6:$A$15,0)),INDEX(Paramètres!$E$22:$E$26,MATCH($B23,Paramètres!$B$22:$B$26,1)),_xlfn.MAXIFS(Production!$E$6:$E$35,Production!$A$6:$A$35,$A23,Production!$D$6:$D$35,"&lt;="&amp;$B23))</f>
        <v>15</v>
      </c>
      <c r="D23" s="14" t="n">
        <f aca="false">ROUND(INDEX(Bâtiments!$F$6:$F$15,MATCH($A23,Bâtiments!$A$6:$A$15,0))*($B23-1)^Paramètres!$B$14,-1)</f>
        <v>32400</v>
      </c>
      <c r="E23" s="13" t="str">
        <f aca="false">INDEX(Paramètres!$D$22:$D$26,MATCH($C23,Paramètres!$E$22:$E$26,1))</f>
        <v>fer</v>
      </c>
      <c r="F23" s="14" t="n">
        <f aca="false">ROUND(Paramètres!$B$15*$B23^Paramètres!$B$16*INDEX(Bâtiments!$G$6:$G$15,MATCH($A23,Bâtiments!$A$6:$A$15,0)),0)</f>
        <v>299</v>
      </c>
      <c r="G23" s="14" t="n">
        <f aca="false">IF($C23&gt;=Paramètres!$E$23,ROUND($F23*Paramètres!$B$17,0),0)</f>
        <v>150</v>
      </c>
      <c r="H23" s="25" t="n">
        <f aca="false">ROUND($D23/INDEX(Paramètres!$B$38:$B$57,MATCH(MAX(5,$C23),Paramètres!$A$38:$A$57,1))*60,1)</f>
        <v>26.8</v>
      </c>
      <c r="I23" s="11" t="str">
        <f aca="false">"Capacité : "&amp;ROUND(Paramètres!$B$30*$B23^Paramètres!$B$31,-2)&amp;" par ressource"</f>
        <v>Capacité : 31600 par ressource</v>
      </c>
    </row>
    <row r="24" customFormat="false" ht="15" hidden="false" customHeight="false" outlineLevel="0" collapsed="false">
      <c r="A24" s="7" t="s">
        <v>51</v>
      </c>
      <c r="B24" s="15" t="n">
        <v>11</v>
      </c>
      <c r="C24" s="15" t="n">
        <f aca="false">MAX(INDEX(Bâtiments!$D$6:$D$15,MATCH($A24,Bâtiments!$A$6:$A$15,0)),INDEX(Paramètres!$E$22:$E$26,MATCH($B24,Paramètres!$B$22:$B$26,1)),_xlfn.MAXIFS(Production!$E$6:$E$35,Production!$A$6:$A$35,$A24,Production!$D$6:$D$35,"&lt;="&amp;$B24))</f>
        <v>30</v>
      </c>
      <c r="D24" s="14" t="n">
        <f aca="false">ROUND(INDEX(Bâtiments!$F$6:$F$15,MATCH($A24,Bâtiments!$A$6:$A$15,0))*($B24-1)^Paramètres!$B$14,-1)</f>
        <v>40000</v>
      </c>
      <c r="E24" s="13" t="str">
        <f aca="false">INDEX(Paramètres!$D$22:$D$26,MATCH($C24,Paramètres!$E$22:$E$26,1))</f>
        <v>acier</v>
      </c>
      <c r="F24" s="14" t="n">
        <f aca="false">ROUND(Paramètres!$B$15*$B24^Paramètres!$B$16*INDEX(Bâtiments!$G$6:$G$15,MATCH($A24,Bâtiments!$A$6:$A$15,0)),0)</f>
        <v>339</v>
      </c>
      <c r="G24" s="14" t="n">
        <f aca="false">IF($C24&gt;=Paramètres!$E$23,ROUND($F24*Paramètres!$B$17,0),0)</f>
        <v>170</v>
      </c>
      <c r="H24" s="25" t="n">
        <f aca="false">ROUND($D24/INDEX(Paramètres!$B$38:$B$57,MATCH(MAX(5,$C24),Paramètres!$A$38:$A$57,1))*60,1)</f>
        <v>15.5</v>
      </c>
      <c r="I24" s="11" t="str">
        <f aca="false">"Capacité : "&amp;ROUND(Paramètres!$B$30*$B24^Paramètres!$B$31,-2)&amp;" par ressource"</f>
        <v>Capacité : 36500 par ressource</v>
      </c>
    </row>
    <row r="25" customFormat="false" ht="15" hidden="false" customHeight="false" outlineLevel="0" collapsed="false">
      <c r="A25" s="7" t="s">
        <v>51</v>
      </c>
      <c r="B25" s="15" t="n">
        <v>12</v>
      </c>
      <c r="C25" s="15" t="n">
        <f aca="false">MAX(INDEX(Bâtiments!$D$6:$D$15,MATCH($A25,Bâtiments!$A$6:$A$15,0)),INDEX(Paramètres!$E$22:$E$26,MATCH($B25,Paramètres!$B$22:$B$26,1)),_xlfn.MAXIFS(Production!$E$6:$E$35,Production!$A$6:$A$35,$A25,Production!$D$6:$D$35,"&lt;="&amp;$B25))</f>
        <v>30</v>
      </c>
      <c r="D25" s="14" t="n">
        <f aca="false">ROUND(INDEX(Bâtiments!$F$6:$F$15,MATCH($A25,Bâtiments!$A$6:$A$15,0))*($B25-1)^Paramètres!$B$14,-1)</f>
        <v>48400</v>
      </c>
      <c r="E25" s="13" t="str">
        <f aca="false">INDEX(Paramètres!$D$22:$D$26,MATCH($C25,Paramètres!$E$22:$E$26,1))</f>
        <v>acier</v>
      </c>
      <c r="F25" s="14" t="n">
        <f aca="false">ROUND(Paramètres!$B$15*$B25^Paramètres!$B$16*INDEX(Bâtiments!$G$6:$G$15,MATCH($A25,Bâtiments!$A$6:$A$15,0)),0)</f>
        <v>379</v>
      </c>
      <c r="G25" s="14" t="n">
        <f aca="false">IF($C25&gt;=Paramètres!$E$23,ROUND($F25*Paramètres!$B$17,0),0)</f>
        <v>190</v>
      </c>
      <c r="H25" s="25" t="n">
        <f aca="false">ROUND($D25/INDEX(Paramètres!$B$38:$B$57,MATCH(MAX(5,$C25),Paramètres!$A$38:$A$57,1))*60,1)</f>
        <v>18.7</v>
      </c>
      <c r="I25" s="11" t="str">
        <f aca="false">"Capacité : "&amp;ROUND(Paramètres!$B$30*$B25^Paramètres!$B$31,-2)&amp;" par ressource"</f>
        <v>Capacité : 41600 par ressource</v>
      </c>
    </row>
    <row r="26" customFormat="false" ht="15" hidden="false" customHeight="false" outlineLevel="0" collapsed="false">
      <c r="A26" s="7" t="s">
        <v>51</v>
      </c>
      <c r="B26" s="15" t="n">
        <v>13</v>
      </c>
      <c r="C26" s="15" t="n">
        <f aca="false">MAX(INDEX(Bâtiments!$D$6:$D$15,MATCH($A26,Bâtiments!$A$6:$A$15,0)),INDEX(Paramètres!$E$22:$E$26,MATCH($B26,Paramètres!$B$22:$B$26,1)),_xlfn.MAXIFS(Production!$E$6:$E$35,Production!$A$6:$A$35,$A26,Production!$D$6:$D$35,"&lt;="&amp;$B26))</f>
        <v>30</v>
      </c>
      <c r="D26" s="14" t="n">
        <f aca="false">ROUND(INDEX(Bâtiments!$F$6:$F$15,MATCH($A26,Bâtiments!$A$6:$A$15,0))*($B26-1)^Paramètres!$B$14,-1)</f>
        <v>57600</v>
      </c>
      <c r="E26" s="13" t="str">
        <f aca="false">INDEX(Paramètres!$D$22:$D$26,MATCH($C26,Paramètres!$E$22:$E$26,1))</f>
        <v>acier</v>
      </c>
      <c r="F26" s="14" t="n">
        <f aca="false">ROUND(Paramètres!$B$15*$B26^Paramètres!$B$16*INDEX(Bâtiments!$G$6:$G$15,MATCH($A26,Bâtiments!$A$6:$A$15,0)),0)</f>
        <v>421</v>
      </c>
      <c r="G26" s="14" t="n">
        <f aca="false">IF($C26&gt;=Paramètres!$E$23,ROUND($F26*Paramètres!$B$17,0),0)</f>
        <v>211</v>
      </c>
      <c r="H26" s="25" t="n">
        <f aca="false">ROUND($D26/INDEX(Paramètres!$B$38:$B$57,MATCH(MAX(5,$C26),Paramètres!$A$38:$A$57,1))*60,1)</f>
        <v>22.3</v>
      </c>
      <c r="I26" s="11" t="str">
        <f aca="false">"Capacité : "&amp;ROUND(Paramètres!$B$30*$B26^Paramètres!$B$31,-2)&amp;" par ressource"</f>
        <v>Capacité : 46900 par ressource</v>
      </c>
    </row>
    <row r="27" customFormat="false" ht="15" hidden="false" customHeight="false" outlineLevel="0" collapsed="false">
      <c r="A27" s="7" t="s">
        <v>51</v>
      </c>
      <c r="B27" s="15" t="n">
        <v>14</v>
      </c>
      <c r="C27" s="15" t="n">
        <f aca="false">MAX(INDEX(Bâtiments!$D$6:$D$15,MATCH($A27,Bâtiments!$A$6:$A$15,0)),INDEX(Paramètres!$E$22:$E$26,MATCH($B27,Paramètres!$B$22:$B$26,1)),_xlfn.MAXIFS(Production!$E$6:$E$35,Production!$A$6:$A$35,$A27,Production!$D$6:$D$35,"&lt;="&amp;$B27))</f>
        <v>30</v>
      </c>
      <c r="D27" s="14" t="n">
        <f aca="false">ROUND(INDEX(Bâtiments!$F$6:$F$15,MATCH($A27,Bâtiments!$A$6:$A$15,0))*($B27-1)^Paramètres!$B$14,-1)</f>
        <v>67600</v>
      </c>
      <c r="E27" s="13" t="str">
        <f aca="false">INDEX(Paramètres!$D$22:$D$26,MATCH($C27,Paramètres!$E$22:$E$26,1))</f>
        <v>acier</v>
      </c>
      <c r="F27" s="14" t="n">
        <f aca="false">ROUND(Paramètres!$B$15*$B27^Paramètres!$B$16*INDEX(Bâtiments!$G$6:$G$15,MATCH($A27,Bâtiments!$A$6:$A$15,0)),0)</f>
        <v>464</v>
      </c>
      <c r="G27" s="14" t="n">
        <f aca="false">IF($C27&gt;=Paramètres!$E$23,ROUND($F27*Paramètres!$B$17,0),0)</f>
        <v>232</v>
      </c>
      <c r="H27" s="25" t="n">
        <f aca="false">ROUND($D27/INDEX(Paramètres!$B$38:$B$57,MATCH(MAX(5,$C27),Paramètres!$A$38:$A$57,1))*60,1)</f>
        <v>26.2</v>
      </c>
      <c r="I27" s="11" t="str">
        <f aca="false">"Capacité : "&amp;ROUND(Paramètres!$B$30*$B27^Paramètres!$B$31,-2)&amp;" par ressource"</f>
        <v>Capacité : 52400 par ressource</v>
      </c>
    </row>
    <row r="28" customFormat="false" ht="15" hidden="false" customHeight="false" outlineLevel="0" collapsed="false">
      <c r="A28" s="7" t="s">
        <v>51</v>
      </c>
      <c r="B28" s="15" t="n">
        <v>15</v>
      </c>
      <c r="C28" s="15" t="n">
        <f aca="false">MAX(INDEX(Bâtiments!$D$6:$D$15,MATCH($A28,Bâtiments!$A$6:$A$15,0)),INDEX(Paramètres!$E$22:$E$26,MATCH($B28,Paramètres!$B$22:$B$26,1)),_xlfn.MAXIFS(Production!$E$6:$E$35,Production!$A$6:$A$35,$A28,Production!$D$6:$D$35,"&lt;="&amp;$B28))</f>
        <v>30</v>
      </c>
      <c r="D28" s="14" t="n">
        <f aca="false">ROUND(INDEX(Bâtiments!$F$6:$F$15,MATCH($A28,Bâtiments!$A$6:$A$15,0))*($B28-1)^Paramètres!$B$14,-1)</f>
        <v>78400</v>
      </c>
      <c r="E28" s="13" t="str">
        <f aca="false">INDEX(Paramètres!$D$22:$D$26,MATCH($C28,Paramètres!$E$22:$E$26,1))</f>
        <v>acier</v>
      </c>
      <c r="F28" s="14" t="n">
        <f aca="false">ROUND(Paramètres!$B$15*$B28^Paramètres!$B$16*INDEX(Bâtiments!$G$6:$G$15,MATCH($A28,Bâtiments!$A$6:$A$15,0)),0)</f>
        <v>507</v>
      </c>
      <c r="G28" s="14" t="n">
        <f aca="false">IF($C28&gt;=Paramètres!$E$23,ROUND($F28*Paramètres!$B$17,0),0)</f>
        <v>254</v>
      </c>
      <c r="H28" s="25" t="n">
        <f aca="false">ROUND($D28/INDEX(Paramètres!$B$38:$B$57,MATCH(MAX(5,$C28),Paramètres!$A$38:$A$57,1))*60,1)</f>
        <v>30.4</v>
      </c>
      <c r="I28" s="11" t="str">
        <f aca="false">"Capacité : "&amp;ROUND(Paramètres!$B$30*$B28^Paramètres!$B$31,-2)&amp;" par ressource"</f>
        <v>Capacité : 58100 par ressource</v>
      </c>
    </row>
    <row r="29" customFormat="false" ht="15" hidden="false" customHeight="false" outlineLevel="0" collapsed="false">
      <c r="A29" s="7" t="s">
        <v>51</v>
      </c>
      <c r="B29" s="15" t="n">
        <v>16</v>
      </c>
      <c r="C29" s="15" t="n">
        <f aca="false">MAX(INDEX(Bâtiments!$D$6:$D$15,MATCH($A29,Bâtiments!$A$6:$A$15,0)),INDEX(Paramètres!$E$22:$E$26,MATCH($B29,Paramètres!$B$22:$B$26,1)),_xlfn.MAXIFS(Production!$E$6:$E$35,Production!$A$6:$A$35,$A29,Production!$D$6:$D$35,"&lt;="&amp;$B29))</f>
        <v>50</v>
      </c>
      <c r="D29" s="14" t="n">
        <f aca="false">ROUND(INDEX(Bâtiments!$F$6:$F$15,MATCH($A29,Bâtiments!$A$6:$A$15,0))*($B29-1)^Paramètres!$B$14,-1)</f>
        <v>90000</v>
      </c>
      <c r="E29" s="13" t="str">
        <f aca="false">INDEX(Paramètres!$D$22:$D$26,MATCH($C29,Paramètres!$E$22:$E$26,1))</f>
        <v>mithril</v>
      </c>
      <c r="F29" s="14" t="n">
        <f aca="false">ROUND(Paramètres!$B$15*$B29^Paramètres!$B$16*INDEX(Bâtiments!$G$6:$G$15,MATCH($A29,Bâtiments!$A$6:$A$15,0)),0)</f>
        <v>551</v>
      </c>
      <c r="G29" s="14" t="n">
        <f aca="false">IF($C29&gt;=Paramètres!$E$23,ROUND($F29*Paramètres!$B$17,0),0)</f>
        <v>276</v>
      </c>
      <c r="H29" s="25" t="n">
        <f aca="false">ROUND($D29/INDEX(Paramètres!$B$38:$B$57,MATCH(MAX(5,$C29),Paramètres!$A$38:$A$57,1))*60,1)</f>
        <v>24.1</v>
      </c>
      <c r="I29" s="11" t="str">
        <f aca="false">"Capacité : "&amp;ROUND(Paramètres!$B$30*$B29^Paramètres!$B$31,-2)&amp;" par ressource"</f>
        <v>Capacité : 64000 par ressource</v>
      </c>
    </row>
    <row r="30" customFormat="false" ht="15" hidden="false" customHeight="false" outlineLevel="0" collapsed="false">
      <c r="A30" s="7" t="s">
        <v>51</v>
      </c>
      <c r="B30" s="15" t="n">
        <v>17</v>
      </c>
      <c r="C30" s="15" t="n">
        <f aca="false">MAX(INDEX(Bâtiments!$D$6:$D$15,MATCH($A30,Bâtiments!$A$6:$A$15,0)),INDEX(Paramètres!$E$22:$E$26,MATCH($B30,Paramètres!$B$22:$B$26,1)),_xlfn.MAXIFS(Production!$E$6:$E$35,Production!$A$6:$A$35,$A30,Production!$D$6:$D$35,"&lt;="&amp;$B30))</f>
        <v>50</v>
      </c>
      <c r="D30" s="14" t="n">
        <f aca="false">ROUND(INDEX(Bâtiments!$F$6:$F$15,MATCH($A30,Bâtiments!$A$6:$A$15,0))*($B30-1)^Paramètres!$B$14,-1)</f>
        <v>102400</v>
      </c>
      <c r="E30" s="13" t="str">
        <f aca="false">INDEX(Paramètres!$D$22:$D$26,MATCH($C30,Paramètres!$E$22:$E$26,1))</f>
        <v>mithril</v>
      </c>
      <c r="F30" s="14" t="n">
        <f aca="false">ROUND(Paramètres!$B$15*$B30^Paramètres!$B$16*INDEX(Bâtiments!$G$6:$G$15,MATCH($A30,Bâtiments!$A$6:$A$15,0)),0)</f>
        <v>597</v>
      </c>
      <c r="G30" s="14" t="n">
        <f aca="false">IF($C30&gt;=Paramètres!$E$23,ROUND($F30*Paramètres!$B$17,0),0)</f>
        <v>299</v>
      </c>
      <c r="H30" s="25" t="n">
        <f aca="false">ROUND($D30/INDEX(Paramètres!$B$38:$B$57,MATCH(MAX(5,$C30),Paramètres!$A$38:$A$57,1))*60,1)</f>
        <v>27.4</v>
      </c>
      <c r="I30" s="11" t="str">
        <f aca="false">"Capacité : "&amp;ROUND(Paramètres!$B$30*$B30^Paramètres!$B$31,-2)&amp;" par ressource"</f>
        <v>Capacité : 70100 par ressource</v>
      </c>
    </row>
    <row r="31" customFormat="false" ht="15" hidden="false" customHeight="false" outlineLevel="0" collapsed="false">
      <c r="A31" s="7" t="s">
        <v>51</v>
      </c>
      <c r="B31" s="15" t="n">
        <v>18</v>
      </c>
      <c r="C31" s="15" t="n">
        <f aca="false">MAX(INDEX(Bâtiments!$D$6:$D$15,MATCH($A31,Bâtiments!$A$6:$A$15,0)),INDEX(Paramètres!$E$22:$E$26,MATCH($B31,Paramètres!$B$22:$B$26,1)),_xlfn.MAXIFS(Production!$E$6:$E$35,Production!$A$6:$A$35,$A31,Production!$D$6:$D$35,"&lt;="&amp;$B31))</f>
        <v>50</v>
      </c>
      <c r="D31" s="14" t="n">
        <f aca="false">ROUND(INDEX(Bâtiments!$F$6:$F$15,MATCH($A31,Bâtiments!$A$6:$A$15,0))*($B31-1)^Paramètres!$B$14,-1)</f>
        <v>115600</v>
      </c>
      <c r="E31" s="13" t="str">
        <f aca="false">INDEX(Paramètres!$D$22:$D$26,MATCH($C31,Paramètres!$E$22:$E$26,1))</f>
        <v>mithril</v>
      </c>
      <c r="F31" s="14" t="n">
        <f aca="false">ROUND(Paramètres!$B$15*$B31^Paramètres!$B$16*INDEX(Bâtiments!$G$6:$G$15,MATCH($A31,Bâtiments!$A$6:$A$15,0)),0)</f>
        <v>643</v>
      </c>
      <c r="G31" s="14" t="n">
        <f aca="false">IF($C31&gt;=Paramètres!$E$23,ROUND($F31*Paramètres!$B$17,0),0)</f>
        <v>322</v>
      </c>
      <c r="H31" s="25" t="n">
        <f aca="false">ROUND($D31/INDEX(Paramètres!$B$38:$B$57,MATCH(MAX(5,$C31),Paramètres!$A$38:$A$57,1))*60,1)</f>
        <v>30.9</v>
      </c>
      <c r="I31" s="11" t="str">
        <f aca="false">"Capacité : "&amp;ROUND(Paramètres!$B$30*$B31^Paramètres!$B$31,-2)&amp;" par ressource"</f>
        <v>Capacité : 76400 par ressource</v>
      </c>
    </row>
    <row r="32" customFormat="false" ht="15" hidden="false" customHeight="false" outlineLevel="0" collapsed="false">
      <c r="A32" s="7" t="s">
        <v>51</v>
      </c>
      <c r="B32" s="15" t="n">
        <v>19</v>
      </c>
      <c r="C32" s="15" t="n">
        <f aca="false">MAX(INDEX(Bâtiments!$D$6:$D$15,MATCH($A32,Bâtiments!$A$6:$A$15,0)),INDEX(Paramètres!$E$22:$E$26,MATCH($B32,Paramètres!$B$22:$B$26,1)),_xlfn.MAXIFS(Production!$E$6:$E$35,Production!$A$6:$A$35,$A32,Production!$D$6:$D$35,"&lt;="&amp;$B32))</f>
        <v>50</v>
      </c>
      <c r="D32" s="14" t="n">
        <f aca="false">ROUND(INDEX(Bâtiments!$F$6:$F$15,MATCH($A32,Bâtiments!$A$6:$A$15,0))*($B32-1)^Paramètres!$B$14,-1)</f>
        <v>129600</v>
      </c>
      <c r="E32" s="13" t="str">
        <f aca="false">INDEX(Paramètres!$D$22:$D$26,MATCH($C32,Paramètres!$E$22:$E$26,1))</f>
        <v>mithril</v>
      </c>
      <c r="F32" s="14" t="n">
        <f aca="false">ROUND(Paramètres!$B$15*$B32^Paramètres!$B$16*INDEX(Bâtiments!$G$6:$G$15,MATCH($A32,Bâtiments!$A$6:$A$15,0)),0)</f>
        <v>689</v>
      </c>
      <c r="G32" s="14" t="n">
        <f aca="false">IF($C32&gt;=Paramètres!$E$23,ROUND($F32*Paramètres!$B$17,0),0)</f>
        <v>345</v>
      </c>
      <c r="H32" s="25" t="n">
        <f aca="false">ROUND($D32/INDEX(Paramètres!$B$38:$B$57,MATCH(MAX(5,$C32),Paramètres!$A$38:$A$57,1))*60,1)</f>
        <v>34.7</v>
      </c>
      <c r="I32" s="11" t="str">
        <f aca="false">"Capacité : "&amp;ROUND(Paramètres!$B$30*$B32^Paramètres!$B$31,-2)&amp;" par ressource"</f>
        <v>Capacité : 82800 par ressource</v>
      </c>
    </row>
    <row r="33" customFormat="false" ht="15" hidden="false" customHeight="false" outlineLevel="0" collapsed="false">
      <c r="A33" s="7" t="s">
        <v>51</v>
      </c>
      <c r="B33" s="15" t="n">
        <v>20</v>
      </c>
      <c r="C33" s="15" t="n">
        <f aca="false">MAX(INDEX(Bâtiments!$D$6:$D$15,MATCH($A33,Bâtiments!$A$6:$A$15,0)),INDEX(Paramètres!$E$22:$E$26,MATCH($B33,Paramètres!$B$22:$B$26,1)),_xlfn.MAXIFS(Production!$E$6:$E$35,Production!$A$6:$A$35,$A33,Production!$D$6:$D$35,"&lt;="&amp;$B33))</f>
        <v>50</v>
      </c>
      <c r="D33" s="14" t="n">
        <f aca="false">ROUND(INDEX(Bâtiments!$F$6:$F$15,MATCH($A33,Bâtiments!$A$6:$A$15,0))*($B33-1)^Paramètres!$B$14,-1)</f>
        <v>144400</v>
      </c>
      <c r="E33" s="13" t="str">
        <f aca="false">INDEX(Paramètres!$D$22:$D$26,MATCH($C33,Paramètres!$E$22:$E$26,1))</f>
        <v>mithril</v>
      </c>
      <c r="F33" s="14" t="n">
        <f aca="false">ROUND(Paramètres!$B$15*$B33^Paramètres!$B$16*INDEX(Bâtiments!$G$6:$G$15,MATCH($A33,Bâtiments!$A$6:$A$15,0)),0)</f>
        <v>737</v>
      </c>
      <c r="G33" s="14" t="n">
        <f aca="false">IF($C33&gt;=Paramètres!$E$23,ROUND($F33*Paramètres!$B$17,0),0)</f>
        <v>369</v>
      </c>
      <c r="H33" s="25" t="n">
        <f aca="false">ROUND($D33/INDEX(Paramètres!$B$38:$B$57,MATCH(MAX(5,$C33),Paramètres!$A$38:$A$57,1))*60,1)</f>
        <v>38.7</v>
      </c>
      <c r="I33" s="11" t="str">
        <f aca="false">"Capacité : "&amp;ROUND(Paramètres!$B$30*$B33^Paramètres!$B$31,-2)&amp;" par ressource"</f>
        <v>Capacité : 89400 par ressource</v>
      </c>
    </row>
    <row r="34" customFormat="false" ht="15" hidden="false" customHeight="false" outlineLevel="0" collapsed="false">
      <c r="A34" s="7" t="s">
        <v>51</v>
      </c>
      <c r="B34" s="15" t="n">
        <v>21</v>
      </c>
      <c r="C34" s="15" t="n">
        <f aca="false">MAX(INDEX(Bâtiments!$D$6:$D$15,MATCH($A34,Bâtiments!$A$6:$A$15,0)),INDEX(Paramètres!$E$22:$E$26,MATCH($B34,Paramètres!$B$22:$B$26,1)),_xlfn.MAXIFS(Production!$E$6:$E$35,Production!$A$6:$A$35,$A34,Production!$D$6:$D$35,"&lt;="&amp;$B34))</f>
        <v>70</v>
      </c>
      <c r="D34" s="14" t="n">
        <f aca="false">ROUND(INDEX(Bâtiments!$F$6:$F$15,MATCH($A34,Bâtiments!$A$6:$A$15,0))*($B34-1)^Paramètres!$B$14,-1)</f>
        <v>160000</v>
      </c>
      <c r="E34" s="13" t="str">
        <f aca="false">INDEX(Paramètres!$D$22:$D$26,MATCH($C34,Paramètres!$E$22:$E$26,1))</f>
        <v>adamantite</v>
      </c>
      <c r="F34" s="14" t="n">
        <f aca="false">ROUND(Paramètres!$B$15*$B34^Paramètres!$B$16*INDEX(Bâtiments!$G$6:$G$15,MATCH($A34,Bâtiments!$A$6:$A$15,0)),0)</f>
        <v>785</v>
      </c>
      <c r="G34" s="14" t="n">
        <f aca="false">IF($C34&gt;=Paramètres!$E$23,ROUND($F34*Paramètres!$B$17,0),0)</f>
        <v>393</v>
      </c>
      <c r="H34" s="25" t="n">
        <f aca="false">ROUND($D34/INDEX(Paramètres!$B$38:$B$57,MATCH(MAX(5,$C34),Paramètres!$A$38:$A$57,1))*60,1)</f>
        <v>20.2</v>
      </c>
      <c r="I34" s="11" t="str">
        <f aca="false">"Capacité : "&amp;ROUND(Paramètres!$B$30*$B34^Paramètres!$B$31,-2)&amp;" par ressource"</f>
        <v>Capacité : 96200 par ressource</v>
      </c>
    </row>
    <row r="35" customFormat="false" ht="15" hidden="false" customHeight="false" outlineLevel="0" collapsed="false">
      <c r="A35" s="7" t="s">
        <v>51</v>
      </c>
      <c r="B35" s="15" t="n">
        <v>22</v>
      </c>
      <c r="C35" s="15" t="n">
        <f aca="false">MAX(INDEX(Bâtiments!$D$6:$D$15,MATCH($A35,Bâtiments!$A$6:$A$15,0)),INDEX(Paramètres!$E$22:$E$26,MATCH($B35,Paramètres!$B$22:$B$26,1)),_xlfn.MAXIFS(Production!$E$6:$E$35,Production!$A$6:$A$35,$A35,Production!$D$6:$D$35,"&lt;="&amp;$B35))</f>
        <v>70</v>
      </c>
      <c r="D35" s="14" t="n">
        <f aca="false">ROUND(INDEX(Bâtiments!$F$6:$F$15,MATCH($A35,Bâtiments!$A$6:$A$15,0))*($B35-1)^Paramètres!$B$14,-1)</f>
        <v>176400</v>
      </c>
      <c r="E35" s="13" t="str">
        <f aca="false">INDEX(Paramètres!$D$22:$D$26,MATCH($C35,Paramètres!$E$22:$E$26,1))</f>
        <v>adamantite</v>
      </c>
      <c r="F35" s="14" t="n">
        <f aca="false">ROUND(Paramètres!$B$15*$B35^Paramètres!$B$16*INDEX(Bâtiments!$G$6:$G$15,MATCH($A35,Bâtiments!$A$6:$A$15,0)),0)</f>
        <v>834</v>
      </c>
      <c r="G35" s="14" t="n">
        <f aca="false">IF($C35&gt;=Paramètres!$E$23,ROUND($F35*Paramètres!$B$17,0),0)</f>
        <v>417</v>
      </c>
      <c r="H35" s="25" t="n">
        <f aca="false">ROUND($D35/INDEX(Paramètres!$B$38:$B$57,MATCH(MAX(5,$C35),Paramètres!$A$38:$A$57,1))*60,1)</f>
        <v>22.2</v>
      </c>
      <c r="I35" s="11" t="str">
        <f aca="false">"Capacité : "&amp;ROUND(Paramètres!$B$30*$B35^Paramètres!$B$31,-2)&amp;" par ressource"</f>
        <v>Capacité : 103200 par ressource</v>
      </c>
    </row>
    <row r="36" customFormat="false" ht="15" hidden="false" customHeight="false" outlineLevel="0" collapsed="false">
      <c r="A36" s="7" t="s">
        <v>51</v>
      </c>
      <c r="B36" s="15" t="n">
        <v>23</v>
      </c>
      <c r="C36" s="15" t="n">
        <f aca="false">MAX(INDEX(Bâtiments!$D$6:$D$15,MATCH($A36,Bâtiments!$A$6:$A$15,0)),INDEX(Paramètres!$E$22:$E$26,MATCH($B36,Paramètres!$B$22:$B$26,1)),_xlfn.MAXIFS(Production!$E$6:$E$35,Production!$A$6:$A$35,$A36,Production!$D$6:$D$35,"&lt;="&amp;$B36))</f>
        <v>70</v>
      </c>
      <c r="D36" s="14" t="n">
        <f aca="false">ROUND(INDEX(Bâtiments!$F$6:$F$15,MATCH($A36,Bâtiments!$A$6:$A$15,0))*($B36-1)^Paramètres!$B$14,-1)</f>
        <v>193600</v>
      </c>
      <c r="E36" s="13" t="str">
        <f aca="false">INDEX(Paramètres!$D$22:$D$26,MATCH($C36,Paramètres!$E$22:$E$26,1))</f>
        <v>adamantite</v>
      </c>
      <c r="F36" s="14" t="n">
        <f aca="false">ROUND(Paramètres!$B$15*$B36^Paramètres!$B$16*INDEX(Bâtiments!$G$6:$G$15,MATCH($A36,Bâtiments!$A$6:$A$15,0)),0)</f>
        <v>884</v>
      </c>
      <c r="G36" s="14" t="n">
        <f aca="false">IF($C36&gt;=Paramètres!$E$23,ROUND($F36*Paramètres!$B$17,0),0)</f>
        <v>442</v>
      </c>
      <c r="H36" s="25" t="n">
        <f aca="false">ROUND($D36/INDEX(Paramètres!$B$38:$B$57,MATCH(MAX(5,$C36),Paramètres!$A$38:$A$57,1))*60,1)</f>
        <v>24.4</v>
      </c>
      <c r="I36" s="11" t="str">
        <f aca="false">"Capacité : "&amp;ROUND(Paramètres!$B$30*$B36^Paramètres!$B$31,-2)&amp;" par ressource"</f>
        <v>Capacité : 110300 par ressource</v>
      </c>
    </row>
    <row r="37" customFormat="false" ht="15" hidden="false" customHeight="false" outlineLevel="0" collapsed="false">
      <c r="A37" s="7" t="s">
        <v>51</v>
      </c>
      <c r="B37" s="15" t="n">
        <v>24</v>
      </c>
      <c r="C37" s="15" t="n">
        <f aca="false">MAX(INDEX(Bâtiments!$D$6:$D$15,MATCH($A37,Bâtiments!$A$6:$A$15,0)),INDEX(Paramètres!$E$22:$E$26,MATCH($B37,Paramètres!$B$22:$B$26,1)),_xlfn.MAXIFS(Production!$E$6:$E$35,Production!$A$6:$A$35,$A37,Production!$D$6:$D$35,"&lt;="&amp;$B37))</f>
        <v>70</v>
      </c>
      <c r="D37" s="14" t="n">
        <f aca="false">ROUND(INDEX(Bâtiments!$F$6:$F$15,MATCH($A37,Bâtiments!$A$6:$A$15,0))*($B37-1)^Paramètres!$B$14,-1)</f>
        <v>211600</v>
      </c>
      <c r="E37" s="13" t="str">
        <f aca="false">INDEX(Paramètres!$D$22:$D$26,MATCH($C37,Paramètres!$E$22:$E$26,1))</f>
        <v>adamantite</v>
      </c>
      <c r="F37" s="14" t="n">
        <f aca="false">ROUND(Paramètres!$B$15*$B37^Paramètres!$B$16*INDEX(Bâtiments!$G$6:$G$15,MATCH($A37,Bâtiments!$A$6:$A$15,0)),0)</f>
        <v>934</v>
      </c>
      <c r="G37" s="14" t="n">
        <f aca="false">IF($C37&gt;=Paramètres!$E$23,ROUND($F37*Paramètres!$B$17,0),0)</f>
        <v>467</v>
      </c>
      <c r="H37" s="25" t="n">
        <f aca="false">ROUND($D37/INDEX(Paramètres!$B$38:$B$57,MATCH(MAX(5,$C37),Paramètres!$A$38:$A$57,1))*60,1)</f>
        <v>26.7</v>
      </c>
      <c r="I37" s="11" t="str">
        <f aca="false">"Capacité : "&amp;ROUND(Paramètres!$B$30*$B37^Paramètres!$B$31,-2)&amp;" par ressource"</f>
        <v>Capacité : 117600 par ressource</v>
      </c>
    </row>
    <row r="38" customFormat="false" ht="15" hidden="false" customHeight="false" outlineLevel="0" collapsed="false">
      <c r="A38" s="7" t="s">
        <v>51</v>
      </c>
      <c r="B38" s="15" t="n">
        <v>25</v>
      </c>
      <c r="C38" s="15" t="n">
        <f aca="false">MAX(INDEX(Bâtiments!$D$6:$D$15,MATCH($A38,Bâtiments!$A$6:$A$15,0)),INDEX(Paramètres!$E$22:$E$26,MATCH($B38,Paramètres!$B$22:$B$26,1)),_xlfn.MAXIFS(Production!$E$6:$E$35,Production!$A$6:$A$35,$A38,Production!$D$6:$D$35,"&lt;="&amp;$B38))</f>
        <v>70</v>
      </c>
      <c r="D38" s="14" t="n">
        <f aca="false">ROUND(INDEX(Bâtiments!$F$6:$F$15,MATCH($A38,Bâtiments!$A$6:$A$15,0))*($B38-1)^Paramètres!$B$14,-1)</f>
        <v>230400</v>
      </c>
      <c r="E38" s="13" t="str">
        <f aca="false">INDEX(Paramètres!$D$22:$D$26,MATCH($C38,Paramètres!$E$22:$E$26,1))</f>
        <v>adamantite</v>
      </c>
      <c r="F38" s="14" t="n">
        <f aca="false">ROUND(Paramètres!$B$15*$B38^Paramètres!$B$16*INDEX(Bâtiments!$G$6:$G$15,MATCH($A38,Bâtiments!$A$6:$A$15,0)),0)</f>
        <v>985</v>
      </c>
      <c r="G38" s="14" t="n">
        <f aca="false">IF($C38&gt;=Paramètres!$E$23,ROUND($F38*Paramètres!$B$17,0),0)</f>
        <v>493</v>
      </c>
      <c r="H38" s="25" t="n">
        <f aca="false">ROUND($D38/INDEX(Paramètres!$B$38:$B$57,MATCH(MAX(5,$C38),Paramètres!$A$38:$A$57,1))*60,1)</f>
        <v>29</v>
      </c>
      <c r="I38" s="11" t="str">
        <f aca="false">"Capacité : "&amp;ROUND(Paramètres!$B$30*$B38^Paramètres!$B$31,-2)&amp;" par ressource"</f>
        <v>Capacité : 125000 par ressource</v>
      </c>
    </row>
    <row r="39" customFormat="false" ht="15" hidden="false" customHeight="false" outlineLevel="0" collapsed="false">
      <c r="A39" s="19" t="s">
        <v>55</v>
      </c>
      <c r="B39" s="20" t="n">
        <v>2</v>
      </c>
      <c r="C39" s="20" t="n">
        <f aca="false">MAX(INDEX(Bâtiments!$D$6:$D$15,MATCH($A39,Bâtiments!$A$6:$A$15,0)),INDEX(Paramètres!$E$22:$E$26,MATCH($B39,Paramètres!$B$22:$B$26,1)),_xlfn.MAXIFS(Production!$E$6:$E$35,Production!$A$6:$A$35,$A39,Production!$D$6:$D$35,"&lt;="&amp;$B39))</f>
        <v>0</v>
      </c>
      <c r="D39" s="21" t="n">
        <f aca="false">ROUND(INDEX(Bâtiments!$F$6:$F$15,MATCH($A39,Bâtiments!$A$6:$A$15,0))*($B39-1)^Paramètres!$B$14,-1)</f>
        <v>500</v>
      </c>
      <c r="E39" s="22" t="str">
        <f aca="false">INDEX(Paramètres!$D$22:$D$26,MATCH($C39,Paramètres!$E$22:$E$26,1))</f>
        <v>bois</v>
      </c>
      <c r="F39" s="21" t="n">
        <f aca="false">ROUND(Paramètres!$B$15*$B39^Paramètres!$B$16*INDEX(Bâtiments!$G$6:$G$15,MATCH($A39,Bâtiments!$A$6:$A$15,0)),0)</f>
        <v>37</v>
      </c>
      <c r="G39" s="21" t="n">
        <f aca="false">IF($C39&gt;=Paramètres!$E$23,ROUND($F39*Paramètres!$B$17,0),0)</f>
        <v>0</v>
      </c>
      <c r="H39" s="23" t="n">
        <f aca="false">ROUND($D39/INDEX(Paramètres!$B$38:$B$57,MATCH(MAX(5,$C39),Paramètres!$A$38:$A$57,1))*60,1)</f>
        <v>1.2</v>
      </c>
      <c r="I39" s="24" t="s">
        <v>200</v>
      </c>
    </row>
    <row r="40" customFormat="false" ht="15" hidden="false" customHeight="false" outlineLevel="0" collapsed="false">
      <c r="A40" s="19" t="s">
        <v>55</v>
      </c>
      <c r="B40" s="20" t="n">
        <v>3</v>
      </c>
      <c r="C40" s="20" t="n">
        <f aca="false">MAX(INDEX(Bâtiments!$D$6:$D$15,MATCH($A40,Bâtiments!$A$6:$A$15,0)),INDEX(Paramètres!$E$22:$E$26,MATCH($B40,Paramètres!$B$22:$B$26,1)),_xlfn.MAXIFS(Production!$E$6:$E$35,Production!$A$6:$A$35,$A40,Production!$D$6:$D$35,"&lt;="&amp;$B40))</f>
        <v>0</v>
      </c>
      <c r="D40" s="21" t="n">
        <f aca="false">ROUND(INDEX(Bâtiments!$F$6:$F$15,MATCH($A40,Bâtiments!$A$6:$A$15,0))*($B40-1)^Paramètres!$B$14,-1)</f>
        <v>2000</v>
      </c>
      <c r="E40" s="22" t="str">
        <f aca="false">INDEX(Paramètres!$D$22:$D$26,MATCH($C40,Paramètres!$E$22:$E$26,1))</f>
        <v>bois</v>
      </c>
      <c r="F40" s="21" t="n">
        <f aca="false">ROUND(Paramètres!$B$15*$B40^Paramètres!$B$16*INDEX(Bâtiments!$G$6:$G$15,MATCH($A40,Bâtiments!$A$6:$A$15,0)),0)</f>
        <v>63</v>
      </c>
      <c r="G40" s="21" t="n">
        <f aca="false">IF($C40&gt;=Paramètres!$E$23,ROUND($F40*Paramètres!$B$17,0),0)</f>
        <v>0</v>
      </c>
      <c r="H40" s="23" t="n">
        <f aca="false">ROUND($D40/INDEX(Paramètres!$B$38:$B$57,MATCH(MAX(5,$C40),Paramètres!$A$38:$A$57,1))*60,1)</f>
        <v>4.8</v>
      </c>
      <c r="I40" s="24" t="s">
        <v>200</v>
      </c>
    </row>
    <row r="41" customFormat="false" ht="15" hidden="false" customHeight="false" outlineLevel="0" collapsed="false">
      <c r="A41" s="19" t="s">
        <v>55</v>
      </c>
      <c r="B41" s="20" t="n">
        <v>4</v>
      </c>
      <c r="C41" s="20" t="n">
        <f aca="false">MAX(INDEX(Bâtiments!$D$6:$D$15,MATCH($A41,Bâtiments!$A$6:$A$15,0)),INDEX(Paramètres!$E$22:$E$26,MATCH($B41,Paramètres!$B$22:$B$26,1)),_xlfn.MAXIFS(Production!$E$6:$E$35,Production!$A$6:$A$35,$A41,Production!$D$6:$D$35,"&lt;="&amp;$B41))</f>
        <v>0</v>
      </c>
      <c r="D41" s="21" t="n">
        <f aca="false">ROUND(INDEX(Bâtiments!$F$6:$F$15,MATCH($A41,Bâtiments!$A$6:$A$15,0))*($B41-1)^Paramètres!$B$14,-1)</f>
        <v>4500</v>
      </c>
      <c r="E41" s="22" t="str">
        <f aca="false">INDEX(Paramètres!$D$22:$D$26,MATCH($C41,Paramètres!$E$22:$E$26,1))</f>
        <v>bois</v>
      </c>
      <c r="F41" s="21" t="n">
        <f aca="false">ROUND(Paramètres!$B$15*$B41^Paramètres!$B$16*INDEX(Bâtiments!$G$6:$G$15,MATCH($A41,Bâtiments!$A$6:$A$15,0)),0)</f>
        <v>91</v>
      </c>
      <c r="G41" s="21" t="n">
        <f aca="false">IF($C41&gt;=Paramètres!$E$23,ROUND($F41*Paramètres!$B$17,0),0)</f>
        <v>0</v>
      </c>
      <c r="H41" s="23" t="n">
        <f aca="false">ROUND($D41/INDEX(Paramètres!$B$38:$B$57,MATCH(MAX(5,$C41),Paramètres!$A$38:$A$57,1))*60,1)</f>
        <v>10.7</v>
      </c>
      <c r="I41" s="24" t="s">
        <v>200</v>
      </c>
    </row>
    <row r="42" customFormat="false" ht="15" hidden="false" customHeight="false" outlineLevel="0" collapsed="false">
      <c r="A42" s="19" t="s">
        <v>55</v>
      </c>
      <c r="B42" s="20" t="n">
        <v>5</v>
      </c>
      <c r="C42" s="20" t="n">
        <f aca="false">MAX(INDEX(Bâtiments!$D$6:$D$15,MATCH($A42,Bâtiments!$A$6:$A$15,0)),INDEX(Paramètres!$E$22:$E$26,MATCH($B42,Paramètres!$B$22:$B$26,1)),_xlfn.MAXIFS(Production!$E$6:$E$35,Production!$A$6:$A$35,$A42,Production!$D$6:$D$35,"&lt;="&amp;$B42))</f>
        <v>0</v>
      </c>
      <c r="D42" s="21" t="n">
        <f aca="false">ROUND(INDEX(Bâtiments!$F$6:$F$15,MATCH($A42,Bâtiments!$A$6:$A$15,0))*($B42-1)^Paramètres!$B$14,-1)</f>
        <v>8000</v>
      </c>
      <c r="E42" s="22" t="str">
        <f aca="false">INDEX(Paramètres!$D$22:$D$26,MATCH($C42,Paramètres!$E$22:$E$26,1))</f>
        <v>bois</v>
      </c>
      <c r="F42" s="21" t="n">
        <f aca="false">ROUND(Paramètres!$B$15*$B42^Paramètres!$B$16*INDEX(Bâtiments!$G$6:$G$15,MATCH($A42,Bâtiments!$A$6:$A$15,0)),0)</f>
        <v>122</v>
      </c>
      <c r="G42" s="21" t="n">
        <f aca="false">IF($C42&gt;=Paramètres!$E$23,ROUND($F42*Paramètres!$B$17,0),0)</f>
        <v>0</v>
      </c>
      <c r="H42" s="23" t="n">
        <f aca="false">ROUND($D42/INDEX(Paramètres!$B$38:$B$57,MATCH(MAX(5,$C42),Paramètres!$A$38:$A$57,1))*60,1)</f>
        <v>19</v>
      </c>
      <c r="I42" s="24" t="s">
        <v>200</v>
      </c>
    </row>
    <row r="43" customFormat="false" ht="15" hidden="false" customHeight="false" outlineLevel="0" collapsed="false">
      <c r="A43" s="19" t="s">
        <v>55</v>
      </c>
      <c r="B43" s="20" t="n">
        <v>6</v>
      </c>
      <c r="C43" s="20" t="n">
        <f aca="false">MAX(INDEX(Bâtiments!$D$6:$D$15,MATCH($A43,Bâtiments!$A$6:$A$15,0)),INDEX(Paramètres!$E$22:$E$26,MATCH($B43,Paramètres!$B$22:$B$26,1)),_xlfn.MAXIFS(Production!$E$6:$E$35,Production!$A$6:$A$35,$A43,Production!$D$6:$D$35,"&lt;="&amp;$B43))</f>
        <v>15</v>
      </c>
      <c r="D43" s="21" t="n">
        <f aca="false">ROUND(INDEX(Bâtiments!$F$6:$F$15,MATCH($A43,Bâtiments!$A$6:$A$15,0))*($B43-1)^Paramètres!$B$14,-1)</f>
        <v>12500</v>
      </c>
      <c r="E43" s="22" t="str">
        <f aca="false">INDEX(Paramètres!$D$22:$D$26,MATCH($C43,Paramètres!$E$22:$E$26,1))</f>
        <v>fer</v>
      </c>
      <c r="F43" s="21" t="n">
        <f aca="false">ROUND(Paramètres!$B$15*$B43^Paramètres!$B$16*INDEX(Bâtiments!$G$6:$G$15,MATCH($A43,Bâtiments!$A$6:$A$15,0)),0)</f>
        <v>154</v>
      </c>
      <c r="G43" s="21" t="n">
        <f aca="false">IF($C43&gt;=Paramètres!$E$23,ROUND($F43*Paramètres!$B$17,0),0)</f>
        <v>77</v>
      </c>
      <c r="H43" s="23" t="n">
        <f aca="false">ROUND($D43/INDEX(Paramètres!$B$38:$B$57,MATCH(MAX(5,$C43),Paramètres!$A$38:$A$57,1))*60,1)</f>
        <v>10.3</v>
      </c>
      <c r="I43" s="24" t="s">
        <v>201</v>
      </c>
    </row>
    <row r="44" customFormat="false" ht="15" hidden="false" customHeight="false" outlineLevel="0" collapsed="false">
      <c r="A44" s="19" t="s">
        <v>55</v>
      </c>
      <c r="B44" s="20" t="n">
        <v>7</v>
      </c>
      <c r="C44" s="20" t="n">
        <f aca="false">MAX(INDEX(Bâtiments!$D$6:$D$15,MATCH($A44,Bâtiments!$A$6:$A$15,0)),INDEX(Paramètres!$E$22:$E$26,MATCH($B44,Paramètres!$B$22:$B$26,1)),_xlfn.MAXIFS(Production!$E$6:$E$35,Production!$A$6:$A$35,$A44,Production!$D$6:$D$35,"&lt;="&amp;$B44))</f>
        <v>15</v>
      </c>
      <c r="D44" s="21" t="n">
        <f aca="false">ROUND(INDEX(Bâtiments!$F$6:$F$15,MATCH($A44,Bâtiments!$A$6:$A$15,0))*($B44-1)^Paramètres!$B$14,-1)</f>
        <v>18000</v>
      </c>
      <c r="E44" s="22" t="str">
        <f aca="false">INDEX(Paramètres!$D$22:$D$26,MATCH($C44,Paramètres!$E$22:$E$26,1))</f>
        <v>fer</v>
      </c>
      <c r="F44" s="21" t="n">
        <f aca="false">ROUND(Paramètres!$B$15*$B44^Paramètres!$B$16*INDEX(Bâtiments!$G$6:$G$15,MATCH($A44,Bâtiments!$A$6:$A$15,0)),0)</f>
        <v>188</v>
      </c>
      <c r="G44" s="21" t="n">
        <f aca="false">IF($C44&gt;=Paramètres!$E$23,ROUND($F44*Paramètres!$B$17,0),0)</f>
        <v>94</v>
      </c>
      <c r="H44" s="23" t="n">
        <f aca="false">ROUND($D44/INDEX(Paramètres!$B$38:$B$57,MATCH(MAX(5,$C44),Paramètres!$A$38:$A$57,1))*60,1)</f>
        <v>14.9</v>
      </c>
      <c r="I44" s="24" t="s">
        <v>200</v>
      </c>
    </row>
    <row r="45" customFormat="false" ht="15" hidden="false" customHeight="false" outlineLevel="0" collapsed="false">
      <c r="A45" s="19" t="s">
        <v>55</v>
      </c>
      <c r="B45" s="20" t="n">
        <v>8</v>
      </c>
      <c r="C45" s="20" t="n">
        <f aca="false">MAX(INDEX(Bâtiments!$D$6:$D$15,MATCH($A45,Bâtiments!$A$6:$A$15,0)),INDEX(Paramètres!$E$22:$E$26,MATCH($B45,Paramètres!$B$22:$B$26,1)),_xlfn.MAXIFS(Production!$E$6:$E$35,Production!$A$6:$A$35,$A45,Production!$D$6:$D$35,"&lt;="&amp;$B45))</f>
        <v>15</v>
      </c>
      <c r="D45" s="21" t="n">
        <f aca="false">ROUND(INDEX(Bâtiments!$F$6:$F$15,MATCH($A45,Bâtiments!$A$6:$A$15,0))*($B45-1)^Paramètres!$B$14,-1)</f>
        <v>24500</v>
      </c>
      <c r="E45" s="22" t="str">
        <f aca="false">INDEX(Paramètres!$D$22:$D$26,MATCH($C45,Paramètres!$E$22:$E$26,1))</f>
        <v>fer</v>
      </c>
      <c r="F45" s="21" t="n">
        <f aca="false">ROUND(Paramètres!$B$15*$B45^Paramètres!$B$16*INDEX(Bâtiments!$G$6:$G$15,MATCH($A45,Bâtiments!$A$6:$A$15,0)),0)</f>
        <v>224</v>
      </c>
      <c r="G45" s="21" t="n">
        <f aca="false">IF($C45&gt;=Paramètres!$E$23,ROUND($F45*Paramètres!$B$17,0),0)</f>
        <v>112</v>
      </c>
      <c r="H45" s="23" t="n">
        <f aca="false">ROUND($D45/INDEX(Paramètres!$B$38:$B$57,MATCH(MAX(5,$C45),Paramètres!$A$38:$A$57,1))*60,1)</f>
        <v>20.2</v>
      </c>
      <c r="I45" s="24" t="s">
        <v>200</v>
      </c>
    </row>
    <row r="46" customFormat="false" ht="15" hidden="false" customHeight="false" outlineLevel="0" collapsed="false">
      <c r="A46" s="19" t="s">
        <v>55</v>
      </c>
      <c r="B46" s="20" t="n">
        <v>9</v>
      </c>
      <c r="C46" s="20" t="n">
        <f aca="false">MAX(INDEX(Bâtiments!$D$6:$D$15,MATCH($A46,Bâtiments!$A$6:$A$15,0)),INDEX(Paramètres!$E$22:$E$26,MATCH($B46,Paramètres!$B$22:$B$26,1)),_xlfn.MAXIFS(Production!$E$6:$E$35,Production!$A$6:$A$35,$A46,Production!$D$6:$D$35,"&lt;="&amp;$B46))</f>
        <v>15</v>
      </c>
      <c r="D46" s="21" t="n">
        <f aca="false">ROUND(INDEX(Bâtiments!$F$6:$F$15,MATCH($A46,Bâtiments!$A$6:$A$15,0))*($B46-1)^Paramètres!$B$14,-1)</f>
        <v>32000</v>
      </c>
      <c r="E46" s="22" t="str">
        <f aca="false">INDEX(Paramètres!$D$22:$D$26,MATCH($C46,Paramètres!$E$22:$E$26,1))</f>
        <v>fer</v>
      </c>
      <c r="F46" s="21" t="n">
        <f aca="false">ROUND(Paramètres!$B$15*$B46^Paramètres!$B$16*INDEX(Bâtiments!$G$6:$G$15,MATCH($A46,Bâtiments!$A$6:$A$15,0)),0)</f>
        <v>261</v>
      </c>
      <c r="G46" s="21" t="n">
        <f aca="false">IF($C46&gt;=Paramètres!$E$23,ROUND($F46*Paramètres!$B$17,0),0)</f>
        <v>131</v>
      </c>
      <c r="H46" s="23" t="n">
        <f aca="false">ROUND($D46/INDEX(Paramètres!$B$38:$B$57,MATCH(MAX(5,$C46),Paramètres!$A$38:$A$57,1))*60,1)</f>
        <v>26.4</v>
      </c>
      <c r="I46" s="24" t="s">
        <v>200</v>
      </c>
    </row>
    <row r="47" customFormat="false" ht="15" hidden="false" customHeight="false" outlineLevel="0" collapsed="false">
      <c r="A47" s="19" t="s">
        <v>55</v>
      </c>
      <c r="B47" s="20" t="n">
        <v>10</v>
      </c>
      <c r="C47" s="20" t="n">
        <f aca="false">MAX(INDEX(Bâtiments!$D$6:$D$15,MATCH($A47,Bâtiments!$A$6:$A$15,0)),INDEX(Paramètres!$E$22:$E$26,MATCH($B47,Paramètres!$B$22:$B$26,1)),_xlfn.MAXIFS(Production!$E$6:$E$35,Production!$A$6:$A$35,$A47,Production!$D$6:$D$35,"&lt;="&amp;$B47))</f>
        <v>15</v>
      </c>
      <c r="D47" s="21" t="n">
        <f aca="false">ROUND(INDEX(Bâtiments!$F$6:$F$15,MATCH($A47,Bâtiments!$A$6:$A$15,0))*($B47-1)^Paramètres!$B$14,-1)</f>
        <v>40500</v>
      </c>
      <c r="E47" s="22" t="str">
        <f aca="false">INDEX(Paramètres!$D$22:$D$26,MATCH($C47,Paramètres!$E$22:$E$26,1))</f>
        <v>fer</v>
      </c>
      <c r="F47" s="21" t="n">
        <f aca="false">ROUND(Paramètres!$B$15*$B47^Paramètres!$B$16*INDEX(Bâtiments!$G$6:$G$15,MATCH($A47,Bâtiments!$A$6:$A$15,0)),0)</f>
        <v>299</v>
      </c>
      <c r="G47" s="21" t="n">
        <f aca="false">IF($C47&gt;=Paramètres!$E$23,ROUND($F47*Paramètres!$B$17,0),0)</f>
        <v>150</v>
      </c>
      <c r="H47" s="23" t="n">
        <f aca="false">ROUND($D47/INDEX(Paramètres!$B$38:$B$57,MATCH(MAX(5,$C47),Paramètres!$A$38:$A$57,1))*60,1)</f>
        <v>33.5</v>
      </c>
      <c r="I47" s="24" t="s">
        <v>200</v>
      </c>
    </row>
    <row r="48" customFormat="false" ht="15" hidden="false" customHeight="false" outlineLevel="0" collapsed="false">
      <c r="A48" s="19" t="s">
        <v>55</v>
      </c>
      <c r="B48" s="20" t="n">
        <v>11</v>
      </c>
      <c r="C48" s="20" t="n">
        <f aca="false">MAX(INDEX(Bâtiments!$D$6:$D$15,MATCH($A48,Bâtiments!$A$6:$A$15,0)),INDEX(Paramètres!$E$22:$E$26,MATCH($B48,Paramètres!$B$22:$B$26,1)),_xlfn.MAXIFS(Production!$E$6:$E$35,Production!$A$6:$A$35,$A48,Production!$D$6:$D$35,"&lt;="&amp;$B48))</f>
        <v>30</v>
      </c>
      <c r="D48" s="21" t="n">
        <f aca="false">ROUND(INDEX(Bâtiments!$F$6:$F$15,MATCH($A48,Bâtiments!$A$6:$A$15,0))*($B48-1)^Paramètres!$B$14,-1)</f>
        <v>50000</v>
      </c>
      <c r="E48" s="22" t="str">
        <f aca="false">INDEX(Paramètres!$D$22:$D$26,MATCH($C48,Paramètres!$E$22:$E$26,1))</f>
        <v>acier</v>
      </c>
      <c r="F48" s="21" t="n">
        <f aca="false">ROUND(Paramètres!$B$15*$B48^Paramètres!$B$16*INDEX(Bâtiments!$G$6:$G$15,MATCH($A48,Bâtiments!$A$6:$A$15,0)),0)</f>
        <v>339</v>
      </c>
      <c r="G48" s="21" t="n">
        <f aca="false">IF($C48&gt;=Paramètres!$E$23,ROUND($F48*Paramètres!$B$17,0),0)</f>
        <v>170</v>
      </c>
      <c r="H48" s="23" t="n">
        <f aca="false">ROUND($D48/INDEX(Paramètres!$B$38:$B$57,MATCH(MAX(5,$C48),Paramètres!$A$38:$A$57,1))*60,1)</f>
        <v>19.4</v>
      </c>
      <c r="I48" s="24" t="s">
        <v>202</v>
      </c>
    </row>
    <row r="49" customFormat="false" ht="15" hidden="false" customHeight="false" outlineLevel="0" collapsed="false">
      <c r="A49" s="19" t="s">
        <v>55</v>
      </c>
      <c r="B49" s="20" t="n">
        <v>12</v>
      </c>
      <c r="C49" s="20" t="n">
        <f aca="false">MAX(INDEX(Bâtiments!$D$6:$D$15,MATCH($A49,Bâtiments!$A$6:$A$15,0)),INDEX(Paramètres!$E$22:$E$26,MATCH($B49,Paramètres!$B$22:$B$26,1)),_xlfn.MAXIFS(Production!$E$6:$E$35,Production!$A$6:$A$35,$A49,Production!$D$6:$D$35,"&lt;="&amp;$B49))</f>
        <v>30</v>
      </c>
      <c r="D49" s="21" t="n">
        <f aca="false">ROUND(INDEX(Bâtiments!$F$6:$F$15,MATCH($A49,Bâtiments!$A$6:$A$15,0))*($B49-1)^Paramètres!$B$14,-1)</f>
        <v>60500</v>
      </c>
      <c r="E49" s="22" t="str">
        <f aca="false">INDEX(Paramètres!$D$22:$D$26,MATCH($C49,Paramètres!$E$22:$E$26,1))</f>
        <v>acier</v>
      </c>
      <c r="F49" s="21" t="n">
        <f aca="false">ROUND(Paramètres!$B$15*$B49^Paramètres!$B$16*INDEX(Bâtiments!$G$6:$G$15,MATCH($A49,Bâtiments!$A$6:$A$15,0)),0)</f>
        <v>379</v>
      </c>
      <c r="G49" s="21" t="n">
        <f aca="false">IF($C49&gt;=Paramètres!$E$23,ROUND($F49*Paramètres!$B$17,0),0)</f>
        <v>190</v>
      </c>
      <c r="H49" s="23" t="n">
        <f aca="false">ROUND($D49/INDEX(Paramètres!$B$38:$B$57,MATCH(MAX(5,$C49),Paramètres!$A$38:$A$57,1))*60,1)</f>
        <v>23.4</v>
      </c>
      <c r="I49" s="24" t="s">
        <v>200</v>
      </c>
    </row>
    <row r="50" customFormat="false" ht="15" hidden="false" customHeight="false" outlineLevel="0" collapsed="false">
      <c r="A50" s="19" t="s">
        <v>55</v>
      </c>
      <c r="B50" s="20" t="n">
        <v>13</v>
      </c>
      <c r="C50" s="20" t="n">
        <f aca="false">MAX(INDEX(Bâtiments!$D$6:$D$15,MATCH($A50,Bâtiments!$A$6:$A$15,0)),INDEX(Paramètres!$E$22:$E$26,MATCH($B50,Paramètres!$B$22:$B$26,1)),_xlfn.MAXIFS(Production!$E$6:$E$35,Production!$A$6:$A$35,$A50,Production!$D$6:$D$35,"&lt;="&amp;$B50))</f>
        <v>30</v>
      </c>
      <c r="D50" s="21" t="n">
        <f aca="false">ROUND(INDEX(Bâtiments!$F$6:$F$15,MATCH($A50,Bâtiments!$A$6:$A$15,0))*($B50-1)^Paramètres!$B$14,-1)</f>
        <v>72000</v>
      </c>
      <c r="E50" s="22" t="str">
        <f aca="false">INDEX(Paramètres!$D$22:$D$26,MATCH($C50,Paramètres!$E$22:$E$26,1))</f>
        <v>acier</v>
      </c>
      <c r="F50" s="21" t="n">
        <f aca="false">ROUND(Paramètres!$B$15*$B50^Paramètres!$B$16*INDEX(Bâtiments!$G$6:$G$15,MATCH($A50,Bâtiments!$A$6:$A$15,0)),0)</f>
        <v>421</v>
      </c>
      <c r="G50" s="21" t="n">
        <f aca="false">IF($C50&gt;=Paramètres!$E$23,ROUND($F50*Paramètres!$B$17,0),0)</f>
        <v>211</v>
      </c>
      <c r="H50" s="23" t="n">
        <f aca="false">ROUND($D50/INDEX(Paramètres!$B$38:$B$57,MATCH(MAX(5,$C50),Paramètres!$A$38:$A$57,1))*60,1)</f>
        <v>27.9</v>
      </c>
      <c r="I50" s="24" t="s">
        <v>200</v>
      </c>
    </row>
    <row r="51" customFormat="false" ht="15" hidden="false" customHeight="false" outlineLevel="0" collapsed="false">
      <c r="A51" s="19" t="s">
        <v>55</v>
      </c>
      <c r="B51" s="20" t="n">
        <v>14</v>
      </c>
      <c r="C51" s="20" t="n">
        <f aca="false">MAX(INDEX(Bâtiments!$D$6:$D$15,MATCH($A51,Bâtiments!$A$6:$A$15,0)),INDEX(Paramètres!$E$22:$E$26,MATCH($B51,Paramètres!$B$22:$B$26,1)),_xlfn.MAXIFS(Production!$E$6:$E$35,Production!$A$6:$A$35,$A51,Production!$D$6:$D$35,"&lt;="&amp;$B51))</f>
        <v>30</v>
      </c>
      <c r="D51" s="21" t="n">
        <f aca="false">ROUND(INDEX(Bâtiments!$F$6:$F$15,MATCH($A51,Bâtiments!$A$6:$A$15,0))*($B51-1)^Paramètres!$B$14,-1)</f>
        <v>84500</v>
      </c>
      <c r="E51" s="22" t="str">
        <f aca="false">INDEX(Paramètres!$D$22:$D$26,MATCH($C51,Paramètres!$E$22:$E$26,1))</f>
        <v>acier</v>
      </c>
      <c r="F51" s="21" t="n">
        <f aca="false">ROUND(Paramètres!$B$15*$B51^Paramètres!$B$16*INDEX(Bâtiments!$G$6:$G$15,MATCH($A51,Bâtiments!$A$6:$A$15,0)),0)</f>
        <v>464</v>
      </c>
      <c r="G51" s="21" t="n">
        <f aca="false">IF($C51&gt;=Paramètres!$E$23,ROUND($F51*Paramètres!$B$17,0),0)</f>
        <v>232</v>
      </c>
      <c r="H51" s="23" t="n">
        <f aca="false">ROUND($D51/INDEX(Paramètres!$B$38:$B$57,MATCH(MAX(5,$C51),Paramètres!$A$38:$A$57,1))*60,1)</f>
        <v>32.7</v>
      </c>
      <c r="I51" s="24" t="s">
        <v>200</v>
      </c>
    </row>
    <row r="52" customFormat="false" ht="15" hidden="false" customHeight="false" outlineLevel="0" collapsed="false">
      <c r="A52" s="19" t="s">
        <v>55</v>
      </c>
      <c r="B52" s="20" t="n">
        <v>15</v>
      </c>
      <c r="C52" s="20" t="n">
        <f aca="false">MAX(INDEX(Bâtiments!$D$6:$D$15,MATCH($A52,Bâtiments!$A$6:$A$15,0)),INDEX(Paramètres!$E$22:$E$26,MATCH($B52,Paramètres!$B$22:$B$26,1)),_xlfn.MAXIFS(Production!$E$6:$E$35,Production!$A$6:$A$35,$A52,Production!$D$6:$D$35,"&lt;="&amp;$B52))</f>
        <v>30</v>
      </c>
      <c r="D52" s="21" t="n">
        <f aca="false">ROUND(INDEX(Bâtiments!$F$6:$F$15,MATCH($A52,Bâtiments!$A$6:$A$15,0))*($B52-1)^Paramètres!$B$14,-1)</f>
        <v>98000</v>
      </c>
      <c r="E52" s="22" t="str">
        <f aca="false">INDEX(Paramètres!$D$22:$D$26,MATCH($C52,Paramètres!$E$22:$E$26,1))</f>
        <v>acier</v>
      </c>
      <c r="F52" s="21" t="n">
        <f aca="false">ROUND(Paramètres!$B$15*$B52^Paramètres!$B$16*INDEX(Bâtiments!$G$6:$G$15,MATCH($A52,Bâtiments!$A$6:$A$15,0)),0)</f>
        <v>507</v>
      </c>
      <c r="G52" s="21" t="n">
        <f aca="false">IF($C52&gt;=Paramètres!$E$23,ROUND($F52*Paramètres!$B$17,0),0)</f>
        <v>254</v>
      </c>
      <c r="H52" s="23" t="n">
        <f aca="false">ROUND($D52/INDEX(Paramètres!$B$38:$B$57,MATCH(MAX(5,$C52),Paramètres!$A$38:$A$57,1))*60,1)</f>
        <v>37.9</v>
      </c>
      <c r="I52" s="24" t="s">
        <v>200</v>
      </c>
    </row>
    <row r="53" customFormat="false" ht="15" hidden="false" customHeight="false" outlineLevel="0" collapsed="false">
      <c r="A53" s="7" t="s">
        <v>58</v>
      </c>
      <c r="B53" s="15" t="n">
        <v>2</v>
      </c>
      <c r="C53" s="15" t="n">
        <f aca="false">MAX(INDEX(Bâtiments!$D$6:$D$15,MATCH($A53,Bâtiments!$A$6:$A$15,0)),INDEX(Paramètres!$E$22:$E$26,MATCH($B53,Paramètres!$B$22:$B$26,1)),_xlfn.MAXIFS(Production!$E$6:$E$35,Production!$A$6:$A$35,$A53,Production!$D$6:$D$35,"&lt;="&amp;$B53))</f>
        <v>0</v>
      </c>
      <c r="D53" s="14" t="n">
        <f aca="false">ROUND(INDEX(Bâtiments!$F$6:$F$15,MATCH($A53,Bâtiments!$A$6:$A$15,0))*($B53-1)^Paramètres!$B$14,-1)</f>
        <v>500</v>
      </c>
      <c r="E53" s="13" t="str">
        <f aca="false">INDEX(Paramètres!$D$22:$D$26,MATCH($C53,Paramètres!$E$22:$E$26,1))</f>
        <v>bois</v>
      </c>
      <c r="F53" s="14" t="n">
        <f aca="false">ROUND(Paramètres!$B$15*$B53^Paramètres!$B$16*INDEX(Bâtiments!$G$6:$G$15,MATCH($A53,Bâtiments!$A$6:$A$15,0)),0)</f>
        <v>37</v>
      </c>
      <c r="G53" s="14" t="n">
        <f aca="false">IF($C53&gt;=Paramètres!$E$23,ROUND($F53*Paramètres!$B$17,0),0)</f>
        <v>0</v>
      </c>
      <c r="H53" s="25" t="n">
        <f aca="false">ROUND($D53/INDEX(Paramètres!$B$38:$B$57,MATCH(MAX(5,$C53),Paramètres!$A$38:$A$57,1))*60,1)</f>
        <v>1.2</v>
      </c>
      <c r="I53" s="11" t="s">
        <v>200</v>
      </c>
    </row>
    <row r="54" customFormat="false" ht="15" hidden="false" customHeight="false" outlineLevel="0" collapsed="false">
      <c r="A54" s="7" t="s">
        <v>58</v>
      </c>
      <c r="B54" s="15" t="n">
        <v>3</v>
      </c>
      <c r="C54" s="15" t="n">
        <f aca="false">MAX(INDEX(Bâtiments!$D$6:$D$15,MATCH($A54,Bâtiments!$A$6:$A$15,0)),INDEX(Paramètres!$E$22:$E$26,MATCH($B54,Paramètres!$B$22:$B$26,1)),_xlfn.MAXIFS(Production!$E$6:$E$35,Production!$A$6:$A$35,$A54,Production!$D$6:$D$35,"&lt;="&amp;$B54))</f>
        <v>0</v>
      </c>
      <c r="D54" s="14" t="n">
        <f aca="false">ROUND(INDEX(Bâtiments!$F$6:$F$15,MATCH($A54,Bâtiments!$A$6:$A$15,0))*($B54-1)^Paramètres!$B$14,-1)</f>
        <v>2000</v>
      </c>
      <c r="E54" s="13" t="str">
        <f aca="false">INDEX(Paramètres!$D$22:$D$26,MATCH($C54,Paramètres!$E$22:$E$26,1))</f>
        <v>bois</v>
      </c>
      <c r="F54" s="14" t="n">
        <f aca="false">ROUND(Paramètres!$B$15*$B54^Paramètres!$B$16*INDEX(Bâtiments!$G$6:$G$15,MATCH($A54,Bâtiments!$A$6:$A$15,0)),0)</f>
        <v>63</v>
      </c>
      <c r="G54" s="14" t="n">
        <f aca="false">IF($C54&gt;=Paramètres!$E$23,ROUND($F54*Paramètres!$B$17,0),0)</f>
        <v>0</v>
      </c>
      <c r="H54" s="25" t="n">
        <f aca="false">ROUND($D54/INDEX(Paramètres!$B$38:$B$57,MATCH(MAX(5,$C54),Paramètres!$A$38:$A$57,1))*60,1)</f>
        <v>4.8</v>
      </c>
      <c r="I54" s="11" t="s">
        <v>200</v>
      </c>
    </row>
    <row r="55" customFormat="false" ht="15" hidden="false" customHeight="false" outlineLevel="0" collapsed="false">
      <c r="A55" s="7" t="s">
        <v>58</v>
      </c>
      <c r="B55" s="15" t="n">
        <v>4</v>
      </c>
      <c r="C55" s="15" t="n">
        <f aca="false">MAX(INDEX(Bâtiments!$D$6:$D$15,MATCH($A55,Bâtiments!$A$6:$A$15,0)),INDEX(Paramètres!$E$22:$E$26,MATCH($B55,Paramètres!$B$22:$B$26,1)),_xlfn.MAXIFS(Production!$E$6:$E$35,Production!$A$6:$A$35,$A55,Production!$D$6:$D$35,"&lt;="&amp;$B55))</f>
        <v>0</v>
      </c>
      <c r="D55" s="14" t="n">
        <f aca="false">ROUND(INDEX(Bâtiments!$F$6:$F$15,MATCH($A55,Bâtiments!$A$6:$A$15,0))*($B55-1)^Paramètres!$B$14,-1)</f>
        <v>4500</v>
      </c>
      <c r="E55" s="13" t="str">
        <f aca="false">INDEX(Paramètres!$D$22:$D$26,MATCH($C55,Paramètres!$E$22:$E$26,1))</f>
        <v>bois</v>
      </c>
      <c r="F55" s="14" t="n">
        <f aca="false">ROUND(Paramètres!$B$15*$B55^Paramètres!$B$16*INDEX(Bâtiments!$G$6:$G$15,MATCH($A55,Bâtiments!$A$6:$A$15,0)),0)</f>
        <v>91</v>
      </c>
      <c r="G55" s="14" t="n">
        <f aca="false">IF($C55&gt;=Paramètres!$E$23,ROUND($F55*Paramètres!$B$17,0),0)</f>
        <v>0</v>
      </c>
      <c r="H55" s="25" t="n">
        <f aca="false">ROUND($D55/INDEX(Paramètres!$B$38:$B$57,MATCH(MAX(5,$C55),Paramètres!$A$38:$A$57,1))*60,1)</f>
        <v>10.7</v>
      </c>
      <c r="I55" s="11" t="s">
        <v>200</v>
      </c>
    </row>
    <row r="56" customFormat="false" ht="15" hidden="false" customHeight="false" outlineLevel="0" collapsed="false">
      <c r="A56" s="7" t="s">
        <v>58</v>
      </c>
      <c r="B56" s="15" t="n">
        <v>5</v>
      </c>
      <c r="C56" s="15" t="n">
        <f aca="false">MAX(INDEX(Bâtiments!$D$6:$D$15,MATCH($A56,Bâtiments!$A$6:$A$15,0)),INDEX(Paramètres!$E$22:$E$26,MATCH($B56,Paramètres!$B$22:$B$26,1)),_xlfn.MAXIFS(Production!$E$6:$E$35,Production!$A$6:$A$35,$A56,Production!$D$6:$D$35,"&lt;="&amp;$B56))</f>
        <v>0</v>
      </c>
      <c r="D56" s="14" t="n">
        <f aca="false">ROUND(INDEX(Bâtiments!$F$6:$F$15,MATCH($A56,Bâtiments!$A$6:$A$15,0))*($B56-1)^Paramètres!$B$14,-1)</f>
        <v>8000</v>
      </c>
      <c r="E56" s="13" t="str">
        <f aca="false">INDEX(Paramètres!$D$22:$D$26,MATCH($C56,Paramètres!$E$22:$E$26,1))</f>
        <v>bois</v>
      </c>
      <c r="F56" s="14" t="n">
        <f aca="false">ROUND(Paramètres!$B$15*$B56^Paramètres!$B$16*INDEX(Bâtiments!$G$6:$G$15,MATCH($A56,Bâtiments!$A$6:$A$15,0)),0)</f>
        <v>122</v>
      </c>
      <c r="G56" s="14" t="n">
        <f aca="false">IF($C56&gt;=Paramètres!$E$23,ROUND($F56*Paramètres!$B$17,0),0)</f>
        <v>0</v>
      </c>
      <c r="H56" s="25" t="n">
        <f aca="false">ROUND($D56/INDEX(Paramètres!$B$38:$B$57,MATCH(MAX(5,$C56),Paramètres!$A$38:$A$57,1))*60,1)</f>
        <v>19</v>
      </c>
      <c r="I56" s="11" t="s">
        <v>200</v>
      </c>
    </row>
    <row r="57" customFormat="false" ht="15" hidden="false" customHeight="false" outlineLevel="0" collapsed="false">
      <c r="A57" s="7" t="s">
        <v>58</v>
      </c>
      <c r="B57" s="15" t="n">
        <v>6</v>
      </c>
      <c r="C57" s="15" t="n">
        <f aca="false">MAX(INDEX(Bâtiments!$D$6:$D$15,MATCH($A57,Bâtiments!$A$6:$A$15,0)),INDEX(Paramètres!$E$22:$E$26,MATCH($B57,Paramètres!$B$22:$B$26,1)),_xlfn.MAXIFS(Production!$E$6:$E$35,Production!$A$6:$A$35,$A57,Production!$D$6:$D$35,"&lt;="&amp;$B57))</f>
        <v>15</v>
      </c>
      <c r="D57" s="14" t="n">
        <f aca="false">ROUND(INDEX(Bâtiments!$F$6:$F$15,MATCH($A57,Bâtiments!$A$6:$A$15,0))*($B57-1)^Paramètres!$B$14,-1)</f>
        <v>12500</v>
      </c>
      <c r="E57" s="13" t="str">
        <f aca="false">INDEX(Paramètres!$D$22:$D$26,MATCH($C57,Paramètres!$E$22:$E$26,1))</f>
        <v>fer</v>
      </c>
      <c r="F57" s="14" t="n">
        <f aca="false">ROUND(Paramètres!$B$15*$B57^Paramètres!$B$16*INDEX(Bâtiments!$G$6:$G$15,MATCH($A57,Bâtiments!$A$6:$A$15,0)),0)</f>
        <v>154</v>
      </c>
      <c r="G57" s="14" t="n">
        <f aca="false">IF($C57&gt;=Paramètres!$E$23,ROUND($F57*Paramètres!$B$17,0),0)</f>
        <v>77</v>
      </c>
      <c r="H57" s="25" t="n">
        <f aca="false">ROUND($D57/INDEX(Paramètres!$B$38:$B$57,MATCH(MAX(5,$C57),Paramètres!$A$38:$A$57,1))*60,1)</f>
        <v>10.3</v>
      </c>
      <c r="I57" s="11" t="s">
        <v>203</v>
      </c>
    </row>
    <row r="58" customFormat="false" ht="15" hidden="false" customHeight="false" outlineLevel="0" collapsed="false">
      <c r="A58" s="7" t="s">
        <v>58</v>
      </c>
      <c r="B58" s="15" t="n">
        <v>7</v>
      </c>
      <c r="C58" s="15" t="n">
        <f aca="false">MAX(INDEX(Bâtiments!$D$6:$D$15,MATCH($A58,Bâtiments!$A$6:$A$15,0)),INDEX(Paramètres!$E$22:$E$26,MATCH($B58,Paramètres!$B$22:$B$26,1)),_xlfn.MAXIFS(Production!$E$6:$E$35,Production!$A$6:$A$35,$A58,Production!$D$6:$D$35,"&lt;="&amp;$B58))</f>
        <v>15</v>
      </c>
      <c r="D58" s="14" t="n">
        <f aca="false">ROUND(INDEX(Bâtiments!$F$6:$F$15,MATCH($A58,Bâtiments!$A$6:$A$15,0))*($B58-1)^Paramètres!$B$14,-1)</f>
        <v>18000</v>
      </c>
      <c r="E58" s="13" t="str">
        <f aca="false">INDEX(Paramètres!$D$22:$D$26,MATCH($C58,Paramètres!$E$22:$E$26,1))</f>
        <v>fer</v>
      </c>
      <c r="F58" s="14" t="n">
        <f aca="false">ROUND(Paramètres!$B$15*$B58^Paramètres!$B$16*INDEX(Bâtiments!$G$6:$G$15,MATCH($A58,Bâtiments!$A$6:$A$15,0)),0)</f>
        <v>188</v>
      </c>
      <c r="G58" s="14" t="n">
        <f aca="false">IF($C58&gt;=Paramètres!$E$23,ROUND($F58*Paramètres!$B$17,0),0)</f>
        <v>94</v>
      </c>
      <c r="H58" s="25" t="n">
        <f aca="false">ROUND($D58/INDEX(Paramètres!$B$38:$B$57,MATCH(MAX(5,$C58),Paramètres!$A$38:$A$57,1))*60,1)</f>
        <v>14.9</v>
      </c>
      <c r="I58" s="11" t="s">
        <v>200</v>
      </c>
    </row>
    <row r="59" customFormat="false" ht="15" hidden="false" customHeight="false" outlineLevel="0" collapsed="false">
      <c r="A59" s="7" t="s">
        <v>58</v>
      </c>
      <c r="B59" s="15" t="n">
        <v>8</v>
      </c>
      <c r="C59" s="15" t="n">
        <f aca="false">MAX(INDEX(Bâtiments!$D$6:$D$15,MATCH($A59,Bâtiments!$A$6:$A$15,0)),INDEX(Paramètres!$E$22:$E$26,MATCH($B59,Paramètres!$B$22:$B$26,1)),_xlfn.MAXIFS(Production!$E$6:$E$35,Production!$A$6:$A$35,$A59,Production!$D$6:$D$35,"&lt;="&amp;$B59))</f>
        <v>15</v>
      </c>
      <c r="D59" s="14" t="n">
        <f aca="false">ROUND(INDEX(Bâtiments!$F$6:$F$15,MATCH($A59,Bâtiments!$A$6:$A$15,0))*($B59-1)^Paramètres!$B$14,-1)</f>
        <v>24500</v>
      </c>
      <c r="E59" s="13" t="str">
        <f aca="false">INDEX(Paramètres!$D$22:$D$26,MATCH($C59,Paramètres!$E$22:$E$26,1))</f>
        <v>fer</v>
      </c>
      <c r="F59" s="14" t="n">
        <f aca="false">ROUND(Paramètres!$B$15*$B59^Paramètres!$B$16*INDEX(Bâtiments!$G$6:$G$15,MATCH($A59,Bâtiments!$A$6:$A$15,0)),0)</f>
        <v>224</v>
      </c>
      <c r="G59" s="14" t="n">
        <f aca="false">IF($C59&gt;=Paramètres!$E$23,ROUND($F59*Paramètres!$B$17,0),0)</f>
        <v>112</v>
      </c>
      <c r="H59" s="25" t="n">
        <f aca="false">ROUND($D59/INDEX(Paramètres!$B$38:$B$57,MATCH(MAX(5,$C59),Paramètres!$A$38:$A$57,1))*60,1)</f>
        <v>20.2</v>
      </c>
      <c r="I59" s="11" t="s">
        <v>200</v>
      </c>
    </row>
    <row r="60" customFormat="false" ht="15" hidden="false" customHeight="false" outlineLevel="0" collapsed="false">
      <c r="A60" s="7" t="s">
        <v>58</v>
      </c>
      <c r="B60" s="15" t="n">
        <v>9</v>
      </c>
      <c r="C60" s="15" t="n">
        <f aca="false">MAX(INDEX(Bâtiments!$D$6:$D$15,MATCH($A60,Bâtiments!$A$6:$A$15,0)),INDEX(Paramètres!$E$22:$E$26,MATCH($B60,Paramètres!$B$22:$B$26,1)),_xlfn.MAXIFS(Production!$E$6:$E$35,Production!$A$6:$A$35,$A60,Production!$D$6:$D$35,"&lt;="&amp;$B60))</f>
        <v>15</v>
      </c>
      <c r="D60" s="14" t="n">
        <f aca="false">ROUND(INDEX(Bâtiments!$F$6:$F$15,MATCH($A60,Bâtiments!$A$6:$A$15,0))*($B60-1)^Paramètres!$B$14,-1)</f>
        <v>32000</v>
      </c>
      <c r="E60" s="13" t="str">
        <f aca="false">INDEX(Paramètres!$D$22:$D$26,MATCH($C60,Paramètres!$E$22:$E$26,1))</f>
        <v>fer</v>
      </c>
      <c r="F60" s="14" t="n">
        <f aca="false">ROUND(Paramètres!$B$15*$B60^Paramètres!$B$16*INDEX(Bâtiments!$G$6:$G$15,MATCH($A60,Bâtiments!$A$6:$A$15,0)),0)</f>
        <v>261</v>
      </c>
      <c r="G60" s="14" t="n">
        <f aca="false">IF($C60&gt;=Paramètres!$E$23,ROUND($F60*Paramètres!$B$17,0),0)</f>
        <v>131</v>
      </c>
      <c r="H60" s="25" t="n">
        <f aca="false">ROUND($D60/INDEX(Paramètres!$B$38:$B$57,MATCH(MAX(5,$C60),Paramètres!$A$38:$A$57,1))*60,1)</f>
        <v>26.4</v>
      </c>
      <c r="I60" s="11" t="s">
        <v>200</v>
      </c>
    </row>
    <row r="61" customFormat="false" ht="15" hidden="false" customHeight="false" outlineLevel="0" collapsed="false">
      <c r="A61" s="7" t="s">
        <v>58</v>
      </c>
      <c r="B61" s="15" t="n">
        <v>10</v>
      </c>
      <c r="C61" s="15" t="n">
        <f aca="false">MAX(INDEX(Bâtiments!$D$6:$D$15,MATCH($A61,Bâtiments!$A$6:$A$15,0)),INDEX(Paramètres!$E$22:$E$26,MATCH($B61,Paramètres!$B$22:$B$26,1)),_xlfn.MAXIFS(Production!$E$6:$E$35,Production!$A$6:$A$35,$A61,Production!$D$6:$D$35,"&lt;="&amp;$B61))</f>
        <v>15</v>
      </c>
      <c r="D61" s="14" t="n">
        <f aca="false">ROUND(INDEX(Bâtiments!$F$6:$F$15,MATCH($A61,Bâtiments!$A$6:$A$15,0))*($B61-1)^Paramètres!$B$14,-1)</f>
        <v>40500</v>
      </c>
      <c r="E61" s="13" t="str">
        <f aca="false">INDEX(Paramètres!$D$22:$D$26,MATCH($C61,Paramètres!$E$22:$E$26,1))</f>
        <v>fer</v>
      </c>
      <c r="F61" s="14" t="n">
        <f aca="false">ROUND(Paramètres!$B$15*$B61^Paramètres!$B$16*INDEX(Bâtiments!$G$6:$G$15,MATCH($A61,Bâtiments!$A$6:$A$15,0)),0)</f>
        <v>299</v>
      </c>
      <c r="G61" s="14" t="n">
        <f aca="false">IF($C61&gt;=Paramètres!$E$23,ROUND($F61*Paramètres!$B$17,0),0)</f>
        <v>150</v>
      </c>
      <c r="H61" s="25" t="n">
        <f aca="false">ROUND($D61/INDEX(Paramètres!$B$38:$B$57,MATCH(MAX(5,$C61),Paramètres!$A$38:$A$57,1))*60,1)</f>
        <v>33.5</v>
      </c>
      <c r="I61" s="11" t="s">
        <v>200</v>
      </c>
    </row>
    <row r="62" customFormat="false" ht="15" hidden="false" customHeight="false" outlineLevel="0" collapsed="false">
      <c r="A62" s="7" t="s">
        <v>58</v>
      </c>
      <c r="B62" s="15" t="n">
        <v>11</v>
      </c>
      <c r="C62" s="15" t="n">
        <f aca="false">MAX(INDEX(Bâtiments!$D$6:$D$15,MATCH($A62,Bâtiments!$A$6:$A$15,0)),INDEX(Paramètres!$E$22:$E$26,MATCH($B62,Paramètres!$B$22:$B$26,1)),_xlfn.MAXIFS(Production!$E$6:$E$35,Production!$A$6:$A$35,$A62,Production!$D$6:$D$35,"&lt;="&amp;$B62))</f>
        <v>30</v>
      </c>
      <c r="D62" s="14" t="n">
        <f aca="false">ROUND(INDEX(Bâtiments!$F$6:$F$15,MATCH($A62,Bâtiments!$A$6:$A$15,0))*($B62-1)^Paramètres!$B$14,-1)</f>
        <v>50000</v>
      </c>
      <c r="E62" s="13" t="str">
        <f aca="false">INDEX(Paramètres!$D$22:$D$26,MATCH($C62,Paramètres!$E$22:$E$26,1))</f>
        <v>acier</v>
      </c>
      <c r="F62" s="14" t="n">
        <f aca="false">ROUND(Paramètres!$B$15*$B62^Paramètres!$B$16*INDEX(Bâtiments!$G$6:$G$15,MATCH($A62,Bâtiments!$A$6:$A$15,0)),0)</f>
        <v>339</v>
      </c>
      <c r="G62" s="14" t="n">
        <f aca="false">IF($C62&gt;=Paramètres!$E$23,ROUND($F62*Paramètres!$B$17,0),0)</f>
        <v>170</v>
      </c>
      <c r="H62" s="25" t="n">
        <f aca="false">ROUND($D62/INDEX(Paramètres!$B$38:$B$57,MATCH(MAX(5,$C62),Paramètres!$A$38:$A$57,1))*60,1)</f>
        <v>19.4</v>
      </c>
      <c r="I62" s="11" t="s">
        <v>204</v>
      </c>
    </row>
    <row r="63" customFormat="false" ht="15" hidden="false" customHeight="false" outlineLevel="0" collapsed="false">
      <c r="A63" s="7" t="s">
        <v>58</v>
      </c>
      <c r="B63" s="15" t="n">
        <v>12</v>
      </c>
      <c r="C63" s="15" t="n">
        <f aca="false">MAX(INDEX(Bâtiments!$D$6:$D$15,MATCH($A63,Bâtiments!$A$6:$A$15,0)),INDEX(Paramètres!$E$22:$E$26,MATCH($B63,Paramètres!$B$22:$B$26,1)),_xlfn.MAXIFS(Production!$E$6:$E$35,Production!$A$6:$A$35,$A63,Production!$D$6:$D$35,"&lt;="&amp;$B63))</f>
        <v>30</v>
      </c>
      <c r="D63" s="14" t="n">
        <f aca="false">ROUND(INDEX(Bâtiments!$F$6:$F$15,MATCH($A63,Bâtiments!$A$6:$A$15,0))*($B63-1)^Paramètres!$B$14,-1)</f>
        <v>60500</v>
      </c>
      <c r="E63" s="13" t="str">
        <f aca="false">INDEX(Paramètres!$D$22:$D$26,MATCH($C63,Paramètres!$E$22:$E$26,1))</f>
        <v>acier</v>
      </c>
      <c r="F63" s="14" t="n">
        <f aca="false">ROUND(Paramètres!$B$15*$B63^Paramètres!$B$16*INDEX(Bâtiments!$G$6:$G$15,MATCH($A63,Bâtiments!$A$6:$A$15,0)),0)</f>
        <v>379</v>
      </c>
      <c r="G63" s="14" t="n">
        <f aca="false">IF($C63&gt;=Paramètres!$E$23,ROUND($F63*Paramètres!$B$17,0),0)</f>
        <v>190</v>
      </c>
      <c r="H63" s="25" t="n">
        <f aca="false">ROUND($D63/INDEX(Paramètres!$B$38:$B$57,MATCH(MAX(5,$C63),Paramètres!$A$38:$A$57,1))*60,1)</f>
        <v>23.4</v>
      </c>
      <c r="I63" s="11" t="s">
        <v>200</v>
      </c>
    </row>
    <row r="64" customFormat="false" ht="15" hidden="false" customHeight="false" outlineLevel="0" collapsed="false">
      <c r="A64" s="7" t="s">
        <v>58</v>
      </c>
      <c r="B64" s="15" t="n">
        <v>13</v>
      </c>
      <c r="C64" s="15" t="n">
        <f aca="false">MAX(INDEX(Bâtiments!$D$6:$D$15,MATCH($A64,Bâtiments!$A$6:$A$15,0)),INDEX(Paramètres!$E$22:$E$26,MATCH($B64,Paramètres!$B$22:$B$26,1)),_xlfn.MAXIFS(Production!$E$6:$E$35,Production!$A$6:$A$35,$A64,Production!$D$6:$D$35,"&lt;="&amp;$B64))</f>
        <v>30</v>
      </c>
      <c r="D64" s="14" t="n">
        <f aca="false">ROUND(INDEX(Bâtiments!$F$6:$F$15,MATCH($A64,Bâtiments!$A$6:$A$15,0))*($B64-1)^Paramètres!$B$14,-1)</f>
        <v>72000</v>
      </c>
      <c r="E64" s="13" t="str">
        <f aca="false">INDEX(Paramètres!$D$22:$D$26,MATCH($C64,Paramètres!$E$22:$E$26,1))</f>
        <v>acier</v>
      </c>
      <c r="F64" s="14" t="n">
        <f aca="false">ROUND(Paramètres!$B$15*$B64^Paramètres!$B$16*INDEX(Bâtiments!$G$6:$G$15,MATCH($A64,Bâtiments!$A$6:$A$15,0)),0)</f>
        <v>421</v>
      </c>
      <c r="G64" s="14" t="n">
        <f aca="false">IF($C64&gt;=Paramètres!$E$23,ROUND($F64*Paramètres!$B$17,0),0)</f>
        <v>211</v>
      </c>
      <c r="H64" s="25" t="n">
        <f aca="false">ROUND($D64/INDEX(Paramètres!$B$38:$B$57,MATCH(MAX(5,$C64),Paramètres!$A$38:$A$57,1))*60,1)</f>
        <v>27.9</v>
      </c>
      <c r="I64" s="11" t="s">
        <v>200</v>
      </c>
    </row>
    <row r="65" customFormat="false" ht="15" hidden="false" customHeight="false" outlineLevel="0" collapsed="false">
      <c r="A65" s="7" t="s">
        <v>58</v>
      </c>
      <c r="B65" s="15" t="n">
        <v>14</v>
      </c>
      <c r="C65" s="15" t="n">
        <f aca="false">MAX(INDEX(Bâtiments!$D$6:$D$15,MATCH($A65,Bâtiments!$A$6:$A$15,0)),INDEX(Paramètres!$E$22:$E$26,MATCH($B65,Paramètres!$B$22:$B$26,1)),_xlfn.MAXIFS(Production!$E$6:$E$35,Production!$A$6:$A$35,$A65,Production!$D$6:$D$35,"&lt;="&amp;$B65))</f>
        <v>30</v>
      </c>
      <c r="D65" s="14" t="n">
        <f aca="false">ROUND(INDEX(Bâtiments!$F$6:$F$15,MATCH($A65,Bâtiments!$A$6:$A$15,0))*($B65-1)^Paramètres!$B$14,-1)</f>
        <v>84500</v>
      </c>
      <c r="E65" s="13" t="str">
        <f aca="false">INDEX(Paramètres!$D$22:$D$26,MATCH($C65,Paramètres!$E$22:$E$26,1))</f>
        <v>acier</v>
      </c>
      <c r="F65" s="14" t="n">
        <f aca="false">ROUND(Paramètres!$B$15*$B65^Paramètres!$B$16*INDEX(Bâtiments!$G$6:$G$15,MATCH($A65,Bâtiments!$A$6:$A$15,0)),0)</f>
        <v>464</v>
      </c>
      <c r="G65" s="14" t="n">
        <f aca="false">IF($C65&gt;=Paramètres!$E$23,ROUND($F65*Paramètres!$B$17,0),0)</f>
        <v>232</v>
      </c>
      <c r="H65" s="25" t="n">
        <f aca="false">ROUND($D65/INDEX(Paramètres!$B$38:$B$57,MATCH(MAX(5,$C65),Paramètres!$A$38:$A$57,1))*60,1)</f>
        <v>32.7</v>
      </c>
      <c r="I65" s="11" t="s">
        <v>200</v>
      </c>
    </row>
    <row r="66" customFormat="false" ht="15" hidden="false" customHeight="false" outlineLevel="0" collapsed="false">
      <c r="A66" s="7" t="s">
        <v>58</v>
      </c>
      <c r="B66" s="15" t="n">
        <v>15</v>
      </c>
      <c r="C66" s="15" t="n">
        <f aca="false">MAX(INDEX(Bâtiments!$D$6:$D$15,MATCH($A66,Bâtiments!$A$6:$A$15,0)),INDEX(Paramètres!$E$22:$E$26,MATCH($B66,Paramètres!$B$22:$B$26,1)),_xlfn.MAXIFS(Production!$E$6:$E$35,Production!$A$6:$A$35,$A66,Production!$D$6:$D$35,"&lt;="&amp;$B66))</f>
        <v>30</v>
      </c>
      <c r="D66" s="14" t="n">
        <f aca="false">ROUND(INDEX(Bâtiments!$F$6:$F$15,MATCH($A66,Bâtiments!$A$6:$A$15,0))*($B66-1)^Paramètres!$B$14,-1)</f>
        <v>98000</v>
      </c>
      <c r="E66" s="13" t="str">
        <f aca="false">INDEX(Paramètres!$D$22:$D$26,MATCH($C66,Paramètres!$E$22:$E$26,1))</f>
        <v>acier</v>
      </c>
      <c r="F66" s="14" t="n">
        <f aca="false">ROUND(Paramètres!$B$15*$B66^Paramètres!$B$16*INDEX(Bâtiments!$G$6:$G$15,MATCH($A66,Bâtiments!$A$6:$A$15,0)),0)</f>
        <v>507</v>
      </c>
      <c r="G66" s="14" t="n">
        <f aca="false">IF($C66&gt;=Paramètres!$E$23,ROUND($F66*Paramètres!$B$17,0),0)</f>
        <v>254</v>
      </c>
      <c r="H66" s="25" t="n">
        <f aca="false">ROUND($D66/INDEX(Paramètres!$B$38:$B$57,MATCH(MAX(5,$C66),Paramètres!$A$38:$A$57,1))*60,1)</f>
        <v>37.9</v>
      </c>
      <c r="I66" s="11" t="s">
        <v>200</v>
      </c>
    </row>
    <row r="67" customFormat="false" ht="15" hidden="false" customHeight="false" outlineLevel="0" collapsed="false">
      <c r="A67" s="7" t="s">
        <v>58</v>
      </c>
      <c r="B67" s="15" t="n">
        <v>16</v>
      </c>
      <c r="C67" s="15" t="n">
        <f aca="false">MAX(INDEX(Bâtiments!$D$6:$D$15,MATCH($A67,Bâtiments!$A$6:$A$15,0)),INDEX(Paramètres!$E$22:$E$26,MATCH($B67,Paramètres!$B$22:$B$26,1)),_xlfn.MAXIFS(Production!$E$6:$E$35,Production!$A$6:$A$35,$A67,Production!$D$6:$D$35,"&lt;="&amp;$B67))</f>
        <v>50</v>
      </c>
      <c r="D67" s="14" t="n">
        <f aca="false">ROUND(INDEX(Bâtiments!$F$6:$F$15,MATCH($A67,Bâtiments!$A$6:$A$15,0))*($B67-1)^Paramètres!$B$14,-1)</f>
        <v>112500</v>
      </c>
      <c r="E67" s="13" t="str">
        <f aca="false">INDEX(Paramètres!$D$22:$D$26,MATCH($C67,Paramètres!$E$22:$E$26,1))</f>
        <v>mithril</v>
      </c>
      <c r="F67" s="14" t="n">
        <f aca="false">ROUND(Paramètres!$B$15*$B67^Paramètres!$B$16*INDEX(Bâtiments!$G$6:$G$15,MATCH($A67,Bâtiments!$A$6:$A$15,0)),0)</f>
        <v>551</v>
      </c>
      <c r="G67" s="14" t="n">
        <f aca="false">IF($C67&gt;=Paramètres!$E$23,ROUND($F67*Paramètres!$B$17,0),0)</f>
        <v>276</v>
      </c>
      <c r="H67" s="25" t="n">
        <f aca="false">ROUND($D67/INDEX(Paramètres!$B$38:$B$57,MATCH(MAX(5,$C67),Paramètres!$A$38:$A$57,1))*60,1)</f>
        <v>30.1</v>
      </c>
      <c r="I67" s="11" t="s">
        <v>205</v>
      </c>
    </row>
    <row r="68" customFormat="false" ht="15" hidden="false" customHeight="false" outlineLevel="0" collapsed="false">
      <c r="A68" s="7" t="s">
        <v>58</v>
      </c>
      <c r="B68" s="15" t="n">
        <v>17</v>
      </c>
      <c r="C68" s="15" t="n">
        <f aca="false">MAX(INDEX(Bâtiments!$D$6:$D$15,MATCH($A68,Bâtiments!$A$6:$A$15,0)),INDEX(Paramètres!$E$22:$E$26,MATCH($B68,Paramètres!$B$22:$B$26,1)),_xlfn.MAXIFS(Production!$E$6:$E$35,Production!$A$6:$A$35,$A68,Production!$D$6:$D$35,"&lt;="&amp;$B68))</f>
        <v>50</v>
      </c>
      <c r="D68" s="14" t="n">
        <f aca="false">ROUND(INDEX(Bâtiments!$F$6:$F$15,MATCH($A68,Bâtiments!$A$6:$A$15,0))*($B68-1)^Paramètres!$B$14,-1)</f>
        <v>128000</v>
      </c>
      <c r="E68" s="13" t="str">
        <f aca="false">INDEX(Paramètres!$D$22:$D$26,MATCH($C68,Paramètres!$E$22:$E$26,1))</f>
        <v>mithril</v>
      </c>
      <c r="F68" s="14" t="n">
        <f aca="false">ROUND(Paramètres!$B$15*$B68^Paramètres!$B$16*INDEX(Bâtiments!$G$6:$G$15,MATCH($A68,Bâtiments!$A$6:$A$15,0)),0)</f>
        <v>597</v>
      </c>
      <c r="G68" s="14" t="n">
        <f aca="false">IF($C68&gt;=Paramètres!$E$23,ROUND($F68*Paramètres!$B$17,0),0)</f>
        <v>299</v>
      </c>
      <c r="H68" s="25" t="n">
        <f aca="false">ROUND($D68/INDEX(Paramètres!$B$38:$B$57,MATCH(MAX(5,$C68),Paramètres!$A$38:$A$57,1))*60,1)</f>
        <v>34.3</v>
      </c>
      <c r="I68" s="11" t="s">
        <v>200</v>
      </c>
    </row>
    <row r="69" customFormat="false" ht="15" hidden="false" customHeight="false" outlineLevel="0" collapsed="false">
      <c r="A69" s="7" t="s">
        <v>58</v>
      </c>
      <c r="B69" s="15" t="n">
        <v>18</v>
      </c>
      <c r="C69" s="15" t="n">
        <f aca="false">MAX(INDEX(Bâtiments!$D$6:$D$15,MATCH($A69,Bâtiments!$A$6:$A$15,0)),INDEX(Paramètres!$E$22:$E$26,MATCH($B69,Paramètres!$B$22:$B$26,1)),_xlfn.MAXIFS(Production!$E$6:$E$35,Production!$A$6:$A$35,$A69,Production!$D$6:$D$35,"&lt;="&amp;$B69))</f>
        <v>50</v>
      </c>
      <c r="D69" s="14" t="n">
        <f aca="false">ROUND(INDEX(Bâtiments!$F$6:$F$15,MATCH($A69,Bâtiments!$A$6:$A$15,0))*($B69-1)^Paramètres!$B$14,-1)</f>
        <v>144500</v>
      </c>
      <c r="E69" s="13" t="str">
        <f aca="false">INDEX(Paramètres!$D$22:$D$26,MATCH($C69,Paramètres!$E$22:$E$26,1))</f>
        <v>mithril</v>
      </c>
      <c r="F69" s="14" t="n">
        <f aca="false">ROUND(Paramètres!$B$15*$B69^Paramètres!$B$16*INDEX(Bâtiments!$G$6:$G$15,MATCH($A69,Bâtiments!$A$6:$A$15,0)),0)</f>
        <v>643</v>
      </c>
      <c r="G69" s="14" t="n">
        <f aca="false">IF($C69&gt;=Paramètres!$E$23,ROUND($F69*Paramètres!$B$17,0),0)</f>
        <v>322</v>
      </c>
      <c r="H69" s="25" t="n">
        <f aca="false">ROUND($D69/INDEX(Paramètres!$B$38:$B$57,MATCH(MAX(5,$C69),Paramètres!$A$38:$A$57,1))*60,1)</f>
        <v>38.7</v>
      </c>
      <c r="I69" s="11" t="s">
        <v>200</v>
      </c>
    </row>
    <row r="70" customFormat="false" ht="15" hidden="false" customHeight="false" outlineLevel="0" collapsed="false">
      <c r="A70" s="7" t="s">
        <v>58</v>
      </c>
      <c r="B70" s="15" t="n">
        <v>19</v>
      </c>
      <c r="C70" s="15" t="n">
        <f aca="false">MAX(INDEX(Bâtiments!$D$6:$D$15,MATCH($A70,Bâtiments!$A$6:$A$15,0)),INDEX(Paramètres!$E$22:$E$26,MATCH($B70,Paramètres!$B$22:$B$26,1)),_xlfn.MAXIFS(Production!$E$6:$E$35,Production!$A$6:$A$35,$A70,Production!$D$6:$D$35,"&lt;="&amp;$B70))</f>
        <v>50</v>
      </c>
      <c r="D70" s="14" t="n">
        <f aca="false">ROUND(INDEX(Bâtiments!$F$6:$F$15,MATCH($A70,Bâtiments!$A$6:$A$15,0))*($B70-1)^Paramètres!$B$14,-1)</f>
        <v>162000</v>
      </c>
      <c r="E70" s="13" t="str">
        <f aca="false">INDEX(Paramètres!$D$22:$D$26,MATCH($C70,Paramètres!$E$22:$E$26,1))</f>
        <v>mithril</v>
      </c>
      <c r="F70" s="14" t="n">
        <f aca="false">ROUND(Paramètres!$B$15*$B70^Paramètres!$B$16*INDEX(Bâtiments!$G$6:$G$15,MATCH($A70,Bâtiments!$A$6:$A$15,0)),0)</f>
        <v>689</v>
      </c>
      <c r="G70" s="14" t="n">
        <f aca="false">IF($C70&gt;=Paramètres!$E$23,ROUND($F70*Paramètres!$B$17,0),0)</f>
        <v>345</v>
      </c>
      <c r="H70" s="25" t="n">
        <f aca="false">ROUND($D70/INDEX(Paramètres!$B$38:$B$57,MATCH(MAX(5,$C70),Paramètres!$A$38:$A$57,1))*60,1)</f>
        <v>43.4</v>
      </c>
      <c r="I70" s="11" t="s">
        <v>200</v>
      </c>
    </row>
    <row r="71" customFormat="false" ht="15" hidden="false" customHeight="false" outlineLevel="0" collapsed="false">
      <c r="A71" s="7" t="s">
        <v>58</v>
      </c>
      <c r="B71" s="15" t="n">
        <v>20</v>
      </c>
      <c r="C71" s="15" t="n">
        <f aca="false">MAX(INDEX(Bâtiments!$D$6:$D$15,MATCH($A71,Bâtiments!$A$6:$A$15,0)),INDEX(Paramètres!$E$22:$E$26,MATCH($B71,Paramètres!$B$22:$B$26,1)),_xlfn.MAXIFS(Production!$E$6:$E$35,Production!$A$6:$A$35,$A71,Production!$D$6:$D$35,"&lt;="&amp;$B71))</f>
        <v>50</v>
      </c>
      <c r="D71" s="14" t="n">
        <f aca="false">ROUND(INDEX(Bâtiments!$F$6:$F$15,MATCH($A71,Bâtiments!$A$6:$A$15,0))*($B71-1)^Paramètres!$B$14,-1)</f>
        <v>180500</v>
      </c>
      <c r="E71" s="13" t="str">
        <f aca="false">INDEX(Paramètres!$D$22:$D$26,MATCH($C71,Paramètres!$E$22:$E$26,1))</f>
        <v>mithril</v>
      </c>
      <c r="F71" s="14" t="n">
        <f aca="false">ROUND(Paramètres!$B$15*$B71^Paramètres!$B$16*INDEX(Bâtiments!$G$6:$G$15,MATCH($A71,Bâtiments!$A$6:$A$15,0)),0)</f>
        <v>737</v>
      </c>
      <c r="G71" s="14" t="n">
        <f aca="false">IF($C71&gt;=Paramètres!$E$23,ROUND($F71*Paramètres!$B$17,0),0)</f>
        <v>369</v>
      </c>
      <c r="H71" s="25" t="n">
        <f aca="false">ROUND($D71/INDEX(Paramètres!$B$38:$B$57,MATCH(MAX(5,$C71),Paramètres!$A$38:$A$57,1))*60,1)</f>
        <v>48.3</v>
      </c>
      <c r="I71" s="11" t="s">
        <v>200</v>
      </c>
    </row>
    <row r="72" customFormat="false" ht="15" hidden="false" customHeight="false" outlineLevel="0" collapsed="false">
      <c r="A72" s="7" t="s">
        <v>58</v>
      </c>
      <c r="B72" s="15" t="n">
        <v>21</v>
      </c>
      <c r="C72" s="15" t="n">
        <f aca="false">MAX(INDEX(Bâtiments!$D$6:$D$15,MATCH($A72,Bâtiments!$A$6:$A$15,0)),INDEX(Paramètres!$E$22:$E$26,MATCH($B72,Paramètres!$B$22:$B$26,1)),_xlfn.MAXIFS(Production!$E$6:$E$35,Production!$A$6:$A$35,$A72,Production!$D$6:$D$35,"&lt;="&amp;$B72))</f>
        <v>70</v>
      </c>
      <c r="D72" s="14" t="n">
        <f aca="false">ROUND(INDEX(Bâtiments!$F$6:$F$15,MATCH($A72,Bâtiments!$A$6:$A$15,0))*($B72-1)^Paramètres!$B$14,-1)</f>
        <v>200000</v>
      </c>
      <c r="E72" s="13" t="str">
        <f aca="false">INDEX(Paramètres!$D$22:$D$26,MATCH($C72,Paramètres!$E$22:$E$26,1))</f>
        <v>adamantite</v>
      </c>
      <c r="F72" s="14" t="n">
        <f aca="false">ROUND(Paramètres!$B$15*$B72^Paramètres!$B$16*INDEX(Bâtiments!$G$6:$G$15,MATCH($A72,Bâtiments!$A$6:$A$15,0)),0)</f>
        <v>785</v>
      </c>
      <c r="G72" s="14" t="n">
        <f aca="false">IF($C72&gt;=Paramètres!$E$23,ROUND($F72*Paramètres!$B$17,0),0)</f>
        <v>393</v>
      </c>
      <c r="H72" s="25" t="n">
        <f aca="false">ROUND($D72/INDEX(Paramètres!$B$38:$B$57,MATCH(MAX(5,$C72),Paramètres!$A$38:$A$57,1))*60,1)</f>
        <v>25.2</v>
      </c>
      <c r="I72" s="11" t="s">
        <v>206</v>
      </c>
    </row>
    <row r="73" customFormat="false" ht="15" hidden="false" customHeight="false" outlineLevel="0" collapsed="false">
      <c r="A73" s="7" t="s">
        <v>58</v>
      </c>
      <c r="B73" s="15" t="n">
        <v>22</v>
      </c>
      <c r="C73" s="15" t="n">
        <f aca="false">MAX(INDEX(Bâtiments!$D$6:$D$15,MATCH($A73,Bâtiments!$A$6:$A$15,0)),INDEX(Paramètres!$E$22:$E$26,MATCH($B73,Paramètres!$B$22:$B$26,1)),_xlfn.MAXIFS(Production!$E$6:$E$35,Production!$A$6:$A$35,$A73,Production!$D$6:$D$35,"&lt;="&amp;$B73))</f>
        <v>70</v>
      </c>
      <c r="D73" s="14" t="n">
        <f aca="false">ROUND(INDEX(Bâtiments!$F$6:$F$15,MATCH($A73,Bâtiments!$A$6:$A$15,0))*($B73-1)^Paramètres!$B$14,-1)</f>
        <v>220500</v>
      </c>
      <c r="E73" s="13" t="str">
        <f aca="false">INDEX(Paramètres!$D$22:$D$26,MATCH($C73,Paramètres!$E$22:$E$26,1))</f>
        <v>adamantite</v>
      </c>
      <c r="F73" s="14" t="n">
        <f aca="false">ROUND(Paramètres!$B$15*$B73^Paramètres!$B$16*INDEX(Bâtiments!$G$6:$G$15,MATCH($A73,Bâtiments!$A$6:$A$15,0)),0)</f>
        <v>834</v>
      </c>
      <c r="G73" s="14" t="n">
        <f aca="false">IF($C73&gt;=Paramètres!$E$23,ROUND($F73*Paramètres!$B$17,0),0)</f>
        <v>417</v>
      </c>
      <c r="H73" s="25" t="n">
        <f aca="false">ROUND($D73/INDEX(Paramètres!$B$38:$B$57,MATCH(MAX(5,$C73),Paramètres!$A$38:$A$57,1))*60,1)</f>
        <v>27.8</v>
      </c>
      <c r="I73" s="11" t="s">
        <v>200</v>
      </c>
    </row>
    <row r="74" customFormat="false" ht="15" hidden="false" customHeight="false" outlineLevel="0" collapsed="false">
      <c r="A74" s="7" t="s">
        <v>58</v>
      </c>
      <c r="B74" s="15" t="n">
        <v>23</v>
      </c>
      <c r="C74" s="15" t="n">
        <f aca="false">MAX(INDEX(Bâtiments!$D$6:$D$15,MATCH($A74,Bâtiments!$A$6:$A$15,0)),INDEX(Paramètres!$E$22:$E$26,MATCH($B74,Paramètres!$B$22:$B$26,1)),_xlfn.MAXIFS(Production!$E$6:$E$35,Production!$A$6:$A$35,$A74,Production!$D$6:$D$35,"&lt;="&amp;$B74))</f>
        <v>70</v>
      </c>
      <c r="D74" s="14" t="n">
        <f aca="false">ROUND(INDEX(Bâtiments!$F$6:$F$15,MATCH($A74,Bâtiments!$A$6:$A$15,0))*($B74-1)^Paramètres!$B$14,-1)</f>
        <v>242000</v>
      </c>
      <c r="E74" s="13" t="str">
        <f aca="false">INDEX(Paramètres!$D$22:$D$26,MATCH($C74,Paramètres!$E$22:$E$26,1))</f>
        <v>adamantite</v>
      </c>
      <c r="F74" s="14" t="n">
        <f aca="false">ROUND(Paramètres!$B$15*$B74^Paramètres!$B$16*INDEX(Bâtiments!$G$6:$G$15,MATCH($A74,Bâtiments!$A$6:$A$15,0)),0)</f>
        <v>884</v>
      </c>
      <c r="G74" s="14" t="n">
        <f aca="false">IF($C74&gt;=Paramètres!$E$23,ROUND($F74*Paramètres!$B$17,0),0)</f>
        <v>442</v>
      </c>
      <c r="H74" s="25" t="n">
        <f aca="false">ROUND($D74/INDEX(Paramètres!$B$38:$B$57,MATCH(MAX(5,$C74),Paramètres!$A$38:$A$57,1))*60,1)</f>
        <v>30.5</v>
      </c>
      <c r="I74" s="11" t="s">
        <v>200</v>
      </c>
    </row>
    <row r="75" customFormat="false" ht="15" hidden="false" customHeight="false" outlineLevel="0" collapsed="false">
      <c r="A75" s="7" t="s">
        <v>58</v>
      </c>
      <c r="B75" s="15" t="n">
        <v>24</v>
      </c>
      <c r="C75" s="15" t="n">
        <f aca="false">MAX(INDEX(Bâtiments!$D$6:$D$15,MATCH($A75,Bâtiments!$A$6:$A$15,0)),INDEX(Paramètres!$E$22:$E$26,MATCH($B75,Paramètres!$B$22:$B$26,1)),_xlfn.MAXIFS(Production!$E$6:$E$35,Production!$A$6:$A$35,$A75,Production!$D$6:$D$35,"&lt;="&amp;$B75))</f>
        <v>70</v>
      </c>
      <c r="D75" s="14" t="n">
        <f aca="false">ROUND(INDEX(Bâtiments!$F$6:$F$15,MATCH($A75,Bâtiments!$A$6:$A$15,0))*($B75-1)^Paramètres!$B$14,-1)</f>
        <v>264500</v>
      </c>
      <c r="E75" s="13" t="str">
        <f aca="false">INDEX(Paramètres!$D$22:$D$26,MATCH($C75,Paramètres!$E$22:$E$26,1))</f>
        <v>adamantite</v>
      </c>
      <c r="F75" s="14" t="n">
        <f aca="false">ROUND(Paramètres!$B$15*$B75^Paramètres!$B$16*INDEX(Bâtiments!$G$6:$G$15,MATCH($A75,Bâtiments!$A$6:$A$15,0)),0)</f>
        <v>934</v>
      </c>
      <c r="G75" s="14" t="n">
        <f aca="false">IF($C75&gt;=Paramètres!$E$23,ROUND($F75*Paramètres!$B$17,0),0)</f>
        <v>467</v>
      </c>
      <c r="H75" s="25" t="n">
        <f aca="false">ROUND($D75/INDEX(Paramètres!$B$38:$B$57,MATCH(MAX(5,$C75),Paramètres!$A$38:$A$57,1))*60,1)</f>
        <v>33.3</v>
      </c>
      <c r="I75" s="11" t="s">
        <v>200</v>
      </c>
    </row>
    <row r="76" customFormat="false" ht="15" hidden="false" customHeight="false" outlineLevel="0" collapsed="false">
      <c r="A76" s="7" t="s">
        <v>58</v>
      </c>
      <c r="B76" s="15" t="n">
        <v>25</v>
      </c>
      <c r="C76" s="15" t="n">
        <f aca="false">MAX(INDEX(Bâtiments!$D$6:$D$15,MATCH($A76,Bâtiments!$A$6:$A$15,0)),INDEX(Paramètres!$E$22:$E$26,MATCH($B76,Paramètres!$B$22:$B$26,1)),_xlfn.MAXIFS(Production!$E$6:$E$35,Production!$A$6:$A$35,$A76,Production!$D$6:$D$35,"&lt;="&amp;$B76))</f>
        <v>70</v>
      </c>
      <c r="D76" s="14" t="n">
        <f aca="false">ROUND(INDEX(Bâtiments!$F$6:$F$15,MATCH($A76,Bâtiments!$A$6:$A$15,0))*($B76-1)^Paramètres!$B$14,-1)</f>
        <v>288000</v>
      </c>
      <c r="E76" s="13" t="str">
        <f aca="false">INDEX(Paramètres!$D$22:$D$26,MATCH($C76,Paramètres!$E$22:$E$26,1))</f>
        <v>adamantite</v>
      </c>
      <c r="F76" s="14" t="n">
        <f aca="false">ROUND(Paramètres!$B$15*$B76^Paramètres!$B$16*INDEX(Bâtiments!$G$6:$G$15,MATCH($A76,Bâtiments!$A$6:$A$15,0)),0)</f>
        <v>985</v>
      </c>
      <c r="G76" s="14" t="n">
        <f aca="false">IF($C76&gt;=Paramètres!$E$23,ROUND($F76*Paramètres!$B$17,0),0)</f>
        <v>493</v>
      </c>
      <c r="H76" s="25" t="n">
        <f aca="false">ROUND($D76/INDEX(Paramètres!$B$38:$B$57,MATCH(MAX(5,$C76),Paramètres!$A$38:$A$57,1))*60,1)</f>
        <v>36.3</v>
      </c>
      <c r="I76" s="11" t="s">
        <v>200</v>
      </c>
    </row>
    <row r="77" customFormat="false" ht="15" hidden="false" customHeight="false" outlineLevel="0" collapsed="false">
      <c r="A77" s="19" t="s">
        <v>61</v>
      </c>
      <c r="B77" s="20" t="n">
        <v>2</v>
      </c>
      <c r="C77" s="20" t="n">
        <f aca="false">MAX(INDEX(Bâtiments!$D$6:$D$15,MATCH($A77,Bâtiments!$A$6:$A$15,0)),INDEX(Paramètres!$E$22:$E$26,MATCH($B77,Paramètres!$B$22:$B$26,1)),_xlfn.MAXIFS(Production!$E$6:$E$35,Production!$A$6:$A$35,$A77,Production!$D$6:$D$35,"&lt;="&amp;$B77))</f>
        <v>0</v>
      </c>
      <c r="D77" s="21" t="n">
        <f aca="false">ROUND(INDEX(Bâtiments!$F$6:$F$15,MATCH($A77,Bâtiments!$A$6:$A$15,0))*($B77-1)^Paramètres!$B$14,-1)</f>
        <v>500</v>
      </c>
      <c r="E77" s="22" t="str">
        <f aca="false">INDEX(Paramètres!$D$22:$D$26,MATCH($C77,Paramètres!$E$22:$E$26,1))</f>
        <v>bois</v>
      </c>
      <c r="F77" s="21" t="n">
        <f aca="false">ROUND(Paramètres!$B$15*$B77^Paramètres!$B$16*INDEX(Bâtiments!$G$6:$G$15,MATCH($A77,Bâtiments!$A$6:$A$15,0)),0)</f>
        <v>37</v>
      </c>
      <c r="G77" s="21" t="n">
        <f aca="false">IF($C77&gt;=Paramètres!$E$23,ROUND($F77*Paramètres!$B$17,0),0)</f>
        <v>0</v>
      </c>
      <c r="H77" s="23" t="n">
        <f aca="false">ROUND($D77/INDEX(Paramètres!$B$38:$B$57,MATCH(MAX(5,$C77),Paramètres!$A$38:$A$57,1))*60,1)</f>
        <v>1.2</v>
      </c>
      <c r="I77" s="24" t="s">
        <v>200</v>
      </c>
    </row>
    <row r="78" customFormat="false" ht="15" hidden="false" customHeight="false" outlineLevel="0" collapsed="false">
      <c r="A78" s="19" t="s">
        <v>61</v>
      </c>
      <c r="B78" s="20" t="n">
        <v>3</v>
      </c>
      <c r="C78" s="20" t="n">
        <f aca="false">MAX(INDEX(Bâtiments!$D$6:$D$15,MATCH($A78,Bâtiments!$A$6:$A$15,0)),INDEX(Paramètres!$E$22:$E$26,MATCH($B78,Paramètres!$B$22:$B$26,1)),_xlfn.MAXIFS(Production!$E$6:$E$35,Production!$A$6:$A$35,$A78,Production!$D$6:$D$35,"&lt;="&amp;$B78))</f>
        <v>0</v>
      </c>
      <c r="D78" s="21" t="n">
        <f aca="false">ROUND(INDEX(Bâtiments!$F$6:$F$15,MATCH($A78,Bâtiments!$A$6:$A$15,0))*($B78-1)^Paramètres!$B$14,-1)</f>
        <v>2000</v>
      </c>
      <c r="E78" s="22" t="str">
        <f aca="false">INDEX(Paramètres!$D$22:$D$26,MATCH($C78,Paramètres!$E$22:$E$26,1))</f>
        <v>bois</v>
      </c>
      <c r="F78" s="21" t="n">
        <f aca="false">ROUND(Paramètres!$B$15*$B78^Paramètres!$B$16*INDEX(Bâtiments!$G$6:$G$15,MATCH($A78,Bâtiments!$A$6:$A$15,0)),0)</f>
        <v>63</v>
      </c>
      <c r="G78" s="21" t="n">
        <f aca="false">IF($C78&gt;=Paramètres!$E$23,ROUND($F78*Paramètres!$B$17,0),0)</f>
        <v>0</v>
      </c>
      <c r="H78" s="23" t="n">
        <f aca="false">ROUND($D78/INDEX(Paramètres!$B$38:$B$57,MATCH(MAX(5,$C78),Paramètres!$A$38:$A$57,1))*60,1)</f>
        <v>4.8</v>
      </c>
      <c r="I78" s="24" t="s">
        <v>200</v>
      </c>
    </row>
    <row r="79" customFormat="false" ht="15" hidden="false" customHeight="false" outlineLevel="0" collapsed="false">
      <c r="A79" s="19" t="s">
        <v>61</v>
      </c>
      <c r="B79" s="20" t="n">
        <v>4</v>
      </c>
      <c r="C79" s="20" t="n">
        <f aca="false">MAX(INDEX(Bâtiments!$D$6:$D$15,MATCH($A79,Bâtiments!$A$6:$A$15,0)),INDEX(Paramètres!$E$22:$E$26,MATCH($B79,Paramètres!$B$22:$B$26,1)),_xlfn.MAXIFS(Production!$E$6:$E$35,Production!$A$6:$A$35,$A79,Production!$D$6:$D$35,"&lt;="&amp;$B79))</f>
        <v>0</v>
      </c>
      <c r="D79" s="21" t="n">
        <f aca="false">ROUND(INDEX(Bâtiments!$F$6:$F$15,MATCH($A79,Bâtiments!$A$6:$A$15,0))*($B79-1)^Paramètres!$B$14,-1)</f>
        <v>4500</v>
      </c>
      <c r="E79" s="22" t="str">
        <f aca="false">INDEX(Paramètres!$D$22:$D$26,MATCH($C79,Paramètres!$E$22:$E$26,1))</f>
        <v>bois</v>
      </c>
      <c r="F79" s="21" t="n">
        <f aca="false">ROUND(Paramètres!$B$15*$B79^Paramètres!$B$16*INDEX(Bâtiments!$G$6:$G$15,MATCH($A79,Bâtiments!$A$6:$A$15,0)),0)</f>
        <v>91</v>
      </c>
      <c r="G79" s="21" t="n">
        <f aca="false">IF($C79&gt;=Paramètres!$E$23,ROUND($F79*Paramètres!$B$17,0),0)</f>
        <v>0</v>
      </c>
      <c r="H79" s="23" t="n">
        <f aca="false">ROUND($D79/INDEX(Paramètres!$B$38:$B$57,MATCH(MAX(5,$C79),Paramètres!$A$38:$A$57,1))*60,1)</f>
        <v>10.7</v>
      </c>
      <c r="I79" s="24" t="s">
        <v>200</v>
      </c>
    </row>
    <row r="80" customFormat="false" ht="15" hidden="false" customHeight="false" outlineLevel="0" collapsed="false">
      <c r="A80" s="19" t="s">
        <v>61</v>
      </c>
      <c r="B80" s="20" t="n">
        <v>5</v>
      </c>
      <c r="C80" s="20" t="n">
        <f aca="false">MAX(INDEX(Bâtiments!$D$6:$D$15,MATCH($A80,Bâtiments!$A$6:$A$15,0)),INDEX(Paramètres!$E$22:$E$26,MATCH($B80,Paramètres!$B$22:$B$26,1)),_xlfn.MAXIFS(Production!$E$6:$E$35,Production!$A$6:$A$35,$A80,Production!$D$6:$D$35,"&lt;="&amp;$B80))</f>
        <v>0</v>
      </c>
      <c r="D80" s="21" t="n">
        <f aca="false">ROUND(INDEX(Bâtiments!$F$6:$F$15,MATCH($A80,Bâtiments!$A$6:$A$15,0))*($B80-1)^Paramètres!$B$14,-1)</f>
        <v>8000</v>
      </c>
      <c r="E80" s="22" t="str">
        <f aca="false">INDEX(Paramètres!$D$22:$D$26,MATCH($C80,Paramètres!$E$22:$E$26,1))</f>
        <v>bois</v>
      </c>
      <c r="F80" s="21" t="n">
        <f aca="false">ROUND(Paramètres!$B$15*$B80^Paramètres!$B$16*INDEX(Bâtiments!$G$6:$G$15,MATCH($A80,Bâtiments!$A$6:$A$15,0)),0)</f>
        <v>122</v>
      </c>
      <c r="G80" s="21" t="n">
        <f aca="false">IF($C80&gt;=Paramètres!$E$23,ROUND($F80*Paramètres!$B$17,0),0)</f>
        <v>0</v>
      </c>
      <c r="H80" s="23" t="n">
        <f aca="false">ROUND($D80/INDEX(Paramètres!$B$38:$B$57,MATCH(MAX(5,$C80),Paramètres!$A$38:$A$57,1))*60,1)</f>
        <v>19</v>
      </c>
      <c r="I80" s="24" t="s">
        <v>200</v>
      </c>
    </row>
    <row r="81" customFormat="false" ht="15" hidden="false" customHeight="false" outlineLevel="0" collapsed="false">
      <c r="A81" s="19" t="s">
        <v>61</v>
      </c>
      <c r="B81" s="20" t="n">
        <v>6</v>
      </c>
      <c r="C81" s="20" t="n">
        <f aca="false">MAX(INDEX(Bâtiments!$D$6:$D$15,MATCH($A81,Bâtiments!$A$6:$A$15,0)),INDEX(Paramètres!$E$22:$E$26,MATCH($B81,Paramètres!$B$22:$B$26,1)),_xlfn.MAXIFS(Production!$E$6:$E$35,Production!$A$6:$A$35,$A81,Production!$D$6:$D$35,"&lt;="&amp;$B81))</f>
        <v>30</v>
      </c>
      <c r="D81" s="21" t="n">
        <f aca="false">ROUND(INDEX(Bâtiments!$F$6:$F$15,MATCH($A81,Bâtiments!$A$6:$A$15,0))*($B81-1)^Paramètres!$B$14,-1)</f>
        <v>12500</v>
      </c>
      <c r="E81" s="22" t="str">
        <f aca="false">INDEX(Paramètres!$D$22:$D$26,MATCH($C81,Paramètres!$E$22:$E$26,1))</f>
        <v>acier</v>
      </c>
      <c r="F81" s="21" t="n">
        <f aca="false">ROUND(Paramètres!$B$15*$B81^Paramètres!$B$16*INDEX(Bâtiments!$G$6:$G$15,MATCH($A81,Bâtiments!$A$6:$A$15,0)),0)</f>
        <v>154</v>
      </c>
      <c r="G81" s="21" t="n">
        <f aca="false">IF($C81&gt;=Paramètres!$E$23,ROUND($F81*Paramètres!$B$17,0),0)</f>
        <v>77</v>
      </c>
      <c r="H81" s="23" t="n">
        <f aca="false">ROUND($D81/INDEX(Paramètres!$B$38:$B$57,MATCH(MAX(5,$C81),Paramètres!$A$38:$A$57,1))*60,1)</f>
        <v>4.8</v>
      </c>
      <c r="I81" s="24" t="s">
        <v>207</v>
      </c>
    </row>
    <row r="82" customFormat="false" ht="15" hidden="false" customHeight="false" outlineLevel="0" collapsed="false">
      <c r="A82" s="19" t="s">
        <v>61</v>
      </c>
      <c r="B82" s="20" t="n">
        <v>7</v>
      </c>
      <c r="C82" s="20" t="n">
        <f aca="false">MAX(INDEX(Bâtiments!$D$6:$D$15,MATCH($A82,Bâtiments!$A$6:$A$15,0)),INDEX(Paramètres!$E$22:$E$26,MATCH($B82,Paramètres!$B$22:$B$26,1)),_xlfn.MAXIFS(Production!$E$6:$E$35,Production!$A$6:$A$35,$A82,Production!$D$6:$D$35,"&lt;="&amp;$B82))</f>
        <v>30</v>
      </c>
      <c r="D82" s="21" t="n">
        <f aca="false">ROUND(INDEX(Bâtiments!$F$6:$F$15,MATCH($A82,Bâtiments!$A$6:$A$15,0))*($B82-1)^Paramètres!$B$14,-1)</f>
        <v>18000</v>
      </c>
      <c r="E82" s="22" t="str">
        <f aca="false">INDEX(Paramètres!$D$22:$D$26,MATCH($C82,Paramètres!$E$22:$E$26,1))</f>
        <v>acier</v>
      </c>
      <c r="F82" s="21" t="n">
        <f aca="false">ROUND(Paramètres!$B$15*$B82^Paramètres!$B$16*INDEX(Bâtiments!$G$6:$G$15,MATCH($A82,Bâtiments!$A$6:$A$15,0)),0)</f>
        <v>188</v>
      </c>
      <c r="G82" s="21" t="n">
        <f aca="false">IF($C82&gt;=Paramètres!$E$23,ROUND($F82*Paramètres!$B$17,0),0)</f>
        <v>94</v>
      </c>
      <c r="H82" s="23" t="n">
        <f aca="false">ROUND($D82/INDEX(Paramètres!$B$38:$B$57,MATCH(MAX(5,$C82),Paramètres!$A$38:$A$57,1))*60,1)</f>
        <v>7</v>
      </c>
      <c r="I82" s="24" t="s">
        <v>200</v>
      </c>
    </row>
    <row r="83" customFormat="false" ht="15" hidden="false" customHeight="false" outlineLevel="0" collapsed="false">
      <c r="A83" s="19" t="s">
        <v>61</v>
      </c>
      <c r="B83" s="20" t="n">
        <v>8</v>
      </c>
      <c r="C83" s="20" t="n">
        <f aca="false">MAX(INDEX(Bâtiments!$D$6:$D$15,MATCH($A83,Bâtiments!$A$6:$A$15,0)),INDEX(Paramètres!$E$22:$E$26,MATCH($B83,Paramètres!$B$22:$B$26,1)),_xlfn.MAXIFS(Production!$E$6:$E$35,Production!$A$6:$A$35,$A83,Production!$D$6:$D$35,"&lt;="&amp;$B83))</f>
        <v>30</v>
      </c>
      <c r="D83" s="21" t="n">
        <f aca="false">ROUND(INDEX(Bâtiments!$F$6:$F$15,MATCH($A83,Bâtiments!$A$6:$A$15,0))*($B83-1)^Paramètres!$B$14,-1)</f>
        <v>24500</v>
      </c>
      <c r="E83" s="22" t="str">
        <f aca="false">INDEX(Paramètres!$D$22:$D$26,MATCH($C83,Paramètres!$E$22:$E$26,1))</f>
        <v>acier</v>
      </c>
      <c r="F83" s="21" t="n">
        <f aca="false">ROUND(Paramètres!$B$15*$B83^Paramètres!$B$16*INDEX(Bâtiments!$G$6:$G$15,MATCH($A83,Bâtiments!$A$6:$A$15,0)),0)</f>
        <v>224</v>
      </c>
      <c r="G83" s="21" t="n">
        <f aca="false">IF($C83&gt;=Paramètres!$E$23,ROUND($F83*Paramètres!$B$17,0),0)</f>
        <v>112</v>
      </c>
      <c r="H83" s="23" t="n">
        <f aca="false">ROUND($D83/INDEX(Paramètres!$B$38:$B$57,MATCH(MAX(5,$C83),Paramètres!$A$38:$A$57,1))*60,1)</f>
        <v>9.5</v>
      </c>
      <c r="I83" s="24" t="s">
        <v>200</v>
      </c>
    </row>
    <row r="84" customFormat="false" ht="15" hidden="false" customHeight="false" outlineLevel="0" collapsed="false">
      <c r="A84" s="19" t="s">
        <v>61</v>
      </c>
      <c r="B84" s="20" t="n">
        <v>9</v>
      </c>
      <c r="C84" s="20" t="n">
        <f aca="false">MAX(INDEX(Bâtiments!$D$6:$D$15,MATCH($A84,Bâtiments!$A$6:$A$15,0)),INDEX(Paramètres!$E$22:$E$26,MATCH($B84,Paramètres!$B$22:$B$26,1)),_xlfn.MAXIFS(Production!$E$6:$E$35,Production!$A$6:$A$35,$A84,Production!$D$6:$D$35,"&lt;="&amp;$B84))</f>
        <v>30</v>
      </c>
      <c r="D84" s="21" t="n">
        <f aca="false">ROUND(INDEX(Bâtiments!$F$6:$F$15,MATCH($A84,Bâtiments!$A$6:$A$15,0))*($B84-1)^Paramètres!$B$14,-1)</f>
        <v>32000</v>
      </c>
      <c r="E84" s="22" t="str">
        <f aca="false">INDEX(Paramètres!$D$22:$D$26,MATCH($C84,Paramètres!$E$22:$E$26,1))</f>
        <v>acier</v>
      </c>
      <c r="F84" s="21" t="n">
        <f aca="false">ROUND(Paramètres!$B$15*$B84^Paramètres!$B$16*INDEX(Bâtiments!$G$6:$G$15,MATCH($A84,Bâtiments!$A$6:$A$15,0)),0)</f>
        <v>261</v>
      </c>
      <c r="G84" s="21" t="n">
        <f aca="false">IF($C84&gt;=Paramètres!$E$23,ROUND($F84*Paramètres!$B$17,0),0)</f>
        <v>131</v>
      </c>
      <c r="H84" s="23" t="n">
        <f aca="false">ROUND($D84/INDEX(Paramètres!$B$38:$B$57,MATCH(MAX(5,$C84),Paramètres!$A$38:$A$57,1))*60,1)</f>
        <v>12.4</v>
      </c>
      <c r="I84" s="24" t="s">
        <v>200</v>
      </c>
    </row>
    <row r="85" customFormat="false" ht="15" hidden="false" customHeight="false" outlineLevel="0" collapsed="false">
      <c r="A85" s="19" t="s">
        <v>61</v>
      </c>
      <c r="B85" s="20" t="n">
        <v>10</v>
      </c>
      <c r="C85" s="20" t="n">
        <f aca="false">MAX(INDEX(Bâtiments!$D$6:$D$15,MATCH($A85,Bâtiments!$A$6:$A$15,0)),INDEX(Paramètres!$E$22:$E$26,MATCH($B85,Paramètres!$B$22:$B$26,1)),_xlfn.MAXIFS(Production!$E$6:$E$35,Production!$A$6:$A$35,$A85,Production!$D$6:$D$35,"&lt;="&amp;$B85))</f>
        <v>30</v>
      </c>
      <c r="D85" s="21" t="n">
        <f aca="false">ROUND(INDEX(Bâtiments!$F$6:$F$15,MATCH($A85,Bâtiments!$A$6:$A$15,0))*($B85-1)^Paramètres!$B$14,-1)</f>
        <v>40500</v>
      </c>
      <c r="E85" s="22" t="str">
        <f aca="false">INDEX(Paramètres!$D$22:$D$26,MATCH($C85,Paramètres!$E$22:$E$26,1))</f>
        <v>acier</v>
      </c>
      <c r="F85" s="21" t="n">
        <f aca="false">ROUND(Paramètres!$B$15*$B85^Paramètres!$B$16*INDEX(Bâtiments!$G$6:$G$15,MATCH($A85,Bâtiments!$A$6:$A$15,0)),0)</f>
        <v>299</v>
      </c>
      <c r="G85" s="21" t="n">
        <f aca="false">IF($C85&gt;=Paramètres!$E$23,ROUND($F85*Paramètres!$B$17,0),0)</f>
        <v>150</v>
      </c>
      <c r="H85" s="23" t="n">
        <f aca="false">ROUND($D85/INDEX(Paramètres!$B$38:$B$57,MATCH(MAX(5,$C85),Paramètres!$A$38:$A$57,1))*60,1)</f>
        <v>15.7</v>
      </c>
      <c r="I85" s="24" t="s">
        <v>200</v>
      </c>
    </row>
    <row r="86" customFormat="false" ht="15" hidden="false" customHeight="false" outlineLevel="0" collapsed="false">
      <c r="A86" s="19" t="s">
        <v>61</v>
      </c>
      <c r="B86" s="20" t="n">
        <v>11</v>
      </c>
      <c r="C86" s="20" t="n">
        <f aca="false">MAX(INDEX(Bâtiments!$D$6:$D$15,MATCH($A86,Bâtiments!$A$6:$A$15,0)),INDEX(Paramètres!$E$22:$E$26,MATCH($B86,Paramètres!$B$22:$B$26,1)),_xlfn.MAXIFS(Production!$E$6:$E$35,Production!$A$6:$A$35,$A86,Production!$D$6:$D$35,"&lt;="&amp;$B86))</f>
        <v>50</v>
      </c>
      <c r="D86" s="21" t="n">
        <f aca="false">ROUND(INDEX(Bâtiments!$F$6:$F$15,MATCH($A86,Bâtiments!$A$6:$A$15,0))*($B86-1)^Paramètres!$B$14,-1)</f>
        <v>50000</v>
      </c>
      <c r="E86" s="22" t="str">
        <f aca="false">INDEX(Paramètres!$D$22:$D$26,MATCH($C86,Paramètres!$E$22:$E$26,1))</f>
        <v>mithril</v>
      </c>
      <c r="F86" s="21" t="n">
        <f aca="false">ROUND(Paramètres!$B$15*$B86^Paramètres!$B$16*INDEX(Bâtiments!$G$6:$G$15,MATCH($A86,Bâtiments!$A$6:$A$15,0)),0)</f>
        <v>339</v>
      </c>
      <c r="G86" s="21" t="n">
        <f aca="false">IF($C86&gt;=Paramètres!$E$23,ROUND($F86*Paramètres!$B$17,0),0)</f>
        <v>170</v>
      </c>
      <c r="H86" s="23" t="n">
        <f aca="false">ROUND($D86/INDEX(Paramètres!$B$38:$B$57,MATCH(MAX(5,$C86),Paramètres!$A$38:$A$57,1))*60,1)</f>
        <v>13.4</v>
      </c>
      <c r="I86" s="24" t="s">
        <v>208</v>
      </c>
    </row>
    <row r="87" customFormat="false" ht="15" hidden="false" customHeight="false" outlineLevel="0" collapsed="false">
      <c r="A87" s="19" t="s">
        <v>61</v>
      </c>
      <c r="B87" s="20" t="n">
        <v>12</v>
      </c>
      <c r="C87" s="20" t="n">
        <f aca="false">MAX(INDEX(Bâtiments!$D$6:$D$15,MATCH($A87,Bâtiments!$A$6:$A$15,0)),INDEX(Paramètres!$E$22:$E$26,MATCH($B87,Paramètres!$B$22:$B$26,1)),_xlfn.MAXIFS(Production!$E$6:$E$35,Production!$A$6:$A$35,$A87,Production!$D$6:$D$35,"&lt;="&amp;$B87))</f>
        <v>50</v>
      </c>
      <c r="D87" s="21" t="n">
        <f aca="false">ROUND(INDEX(Bâtiments!$F$6:$F$15,MATCH($A87,Bâtiments!$A$6:$A$15,0))*($B87-1)^Paramètres!$B$14,-1)</f>
        <v>60500</v>
      </c>
      <c r="E87" s="22" t="str">
        <f aca="false">INDEX(Paramètres!$D$22:$D$26,MATCH($C87,Paramètres!$E$22:$E$26,1))</f>
        <v>mithril</v>
      </c>
      <c r="F87" s="21" t="n">
        <f aca="false">ROUND(Paramètres!$B$15*$B87^Paramètres!$B$16*INDEX(Bâtiments!$G$6:$G$15,MATCH($A87,Bâtiments!$A$6:$A$15,0)),0)</f>
        <v>379</v>
      </c>
      <c r="G87" s="21" t="n">
        <f aca="false">IF($C87&gt;=Paramètres!$E$23,ROUND($F87*Paramètres!$B$17,0),0)</f>
        <v>190</v>
      </c>
      <c r="H87" s="23" t="n">
        <f aca="false">ROUND($D87/INDEX(Paramètres!$B$38:$B$57,MATCH(MAX(5,$C87),Paramètres!$A$38:$A$57,1))*60,1)</f>
        <v>16.2</v>
      </c>
      <c r="I87" s="24" t="s">
        <v>200</v>
      </c>
    </row>
    <row r="88" customFormat="false" ht="15" hidden="false" customHeight="false" outlineLevel="0" collapsed="false">
      <c r="A88" s="19" t="s">
        <v>61</v>
      </c>
      <c r="B88" s="20" t="n">
        <v>13</v>
      </c>
      <c r="C88" s="20" t="n">
        <f aca="false">MAX(INDEX(Bâtiments!$D$6:$D$15,MATCH($A88,Bâtiments!$A$6:$A$15,0)),INDEX(Paramètres!$E$22:$E$26,MATCH($B88,Paramètres!$B$22:$B$26,1)),_xlfn.MAXIFS(Production!$E$6:$E$35,Production!$A$6:$A$35,$A88,Production!$D$6:$D$35,"&lt;="&amp;$B88))</f>
        <v>50</v>
      </c>
      <c r="D88" s="21" t="n">
        <f aca="false">ROUND(INDEX(Bâtiments!$F$6:$F$15,MATCH($A88,Bâtiments!$A$6:$A$15,0))*($B88-1)^Paramètres!$B$14,-1)</f>
        <v>72000</v>
      </c>
      <c r="E88" s="22" t="str">
        <f aca="false">INDEX(Paramètres!$D$22:$D$26,MATCH($C88,Paramètres!$E$22:$E$26,1))</f>
        <v>mithril</v>
      </c>
      <c r="F88" s="21" t="n">
        <f aca="false">ROUND(Paramètres!$B$15*$B88^Paramètres!$B$16*INDEX(Bâtiments!$G$6:$G$15,MATCH($A88,Bâtiments!$A$6:$A$15,0)),0)</f>
        <v>421</v>
      </c>
      <c r="G88" s="21" t="n">
        <f aca="false">IF($C88&gt;=Paramètres!$E$23,ROUND($F88*Paramètres!$B$17,0),0)</f>
        <v>211</v>
      </c>
      <c r="H88" s="23" t="n">
        <f aca="false">ROUND($D88/INDEX(Paramètres!$B$38:$B$57,MATCH(MAX(5,$C88),Paramètres!$A$38:$A$57,1))*60,1)</f>
        <v>19.3</v>
      </c>
      <c r="I88" s="24" t="s">
        <v>200</v>
      </c>
    </row>
    <row r="89" customFormat="false" ht="15" hidden="false" customHeight="false" outlineLevel="0" collapsed="false">
      <c r="A89" s="19" t="s">
        <v>61</v>
      </c>
      <c r="B89" s="20" t="n">
        <v>14</v>
      </c>
      <c r="C89" s="20" t="n">
        <f aca="false">MAX(INDEX(Bâtiments!$D$6:$D$15,MATCH($A89,Bâtiments!$A$6:$A$15,0)),INDEX(Paramètres!$E$22:$E$26,MATCH($B89,Paramètres!$B$22:$B$26,1)),_xlfn.MAXIFS(Production!$E$6:$E$35,Production!$A$6:$A$35,$A89,Production!$D$6:$D$35,"&lt;="&amp;$B89))</f>
        <v>50</v>
      </c>
      <c r="D89" s="21" t="n">
        <f aca="false">ROUND(INDEX(Bâtiments!$F$6:$F$15,MATCH($A89,Bâtiments!$A$6:$A$15,0))*($B89-1)^Paramètres!$B$14,-1)</f>
        <v>84500</v>
      </c>
      <c r="E89" s="22" t="str">
        <f aca="false">INDEX(Paramètres!$D$22:$D$26,MATCH($C89,Paramètres!$E$22:$E$26,1))</f>
        <v>mithril</v>
      </c>
      <c r="F89" s="21" t="n">
        <f aca="false">ROUND(Paramètres!$B$15*$B89^Paramètres!$B$16*INDEX(Bâtiments!$G$6:$G$15,MATCH($A89,Bâtiments!$A$6:$A$15,0)),0)</f>
        <v>464</v>
      </c>
      <c r="G89" s="21" t="n">
        <f aca="false">IF($C89&gt;=Paramètres!$E$23,ROUND($F89*Paramètres!$B$17,0),0)</f>
        <v>232</v>
      </c>
      <c r="H89" s="23" t="n">
        <f aca="false">ROUND($D89/INDEX(Paramètres!$B$38:$B$57,MATCH(MAX(5,$C89),Paramètres!$A$38:$A$57,1))*60,1)</f>
        <v>22.6</v>
      </c>
      <c r="I89" s="24" t="s">
        <v>200</v>
      </c>
    </row>
    <row r="90" customFormat="false" ht="15" hidden="false" customHeight="false" outlineLevel="0" collapsed="false">
      <c r="A90" s="19" t="s">
        <v>61</v>
      </c>
      <c r="B90" s="20" t="n">
        <v>15</v>
      </c>
      <c r="C90" s="20" t="n">
        <f aca="false">MAX(INDEX(Bâtiments!$D$6:$D$15,MATCH($A90,Bâtiments!$A$6:$A$15,0)),INDEX(Paramètres!$E$22:$E$26,MATCH($B90,Paramètres!$B$22:$B$26,1)),_xlfn.MAXIFS(Production!$E$6:$E$35,Production!$A$6:$A$35,$A90,Production!$D$6:$D$35,"&lt;="&amp;$B90))</f>
        <v>50</v>
      </c>
      <c r="D90" s="21" t="n">
        <f aca="false">ROUND(INDEX(Bâtiments!$F$6:$F$15,MATCH($A90,Bâtiments!$A$6:$A$15,0))*($B90-1)^Paramètres!$B$14,-1)</f>
        <v>98000</v>
      </c>
      <c r="E90" s="22" t="str">
        <f aca="false">INDEX(Paramètres!$D$22:$D$26,MATCH($C90,Paramètres!$E$22:$E$26,1))</f>
        <v>mithril</v>
      </c>
      <c r="F90" s="21" t="n">
        <f aca="false">ROUND(Paramètres!$B$15*$B90^Paramètres!$B$16*INDEX(Bâtiments!$G$6:$G$15,MATCH($A90,Bâtiments!$A$6:$A$15,0)),0)</f>
        <v>507</v>
      </c>
      <c r="G90" s="21" t="n">
        <f aca="false">IF($C90&gt;=Paramètres!$E$23,ROUND($F90*Paramètres!$B$17,0),0)</f>
        <v>254</v>
      </c>
      <c r="H90" s="23" t="n">
        <f aca="false">ROUND($D90/INDEX(Paramètres!$B$38:$B$57,MATCH(MAX(5,$C90),Paramètres!$A$38:$A$57,1))*60,1)</f>
        <v>26.2</v>
      </c>
      <c r="I90" s="24" t="s">
        <v>200</v>
      </c>
    </row>
    <row r="91" customFormat="false" ht="15" hidden="false" customHeight="false" outlineLevel="0" collapsed="false">
      <c r="A91" s="19" t="s">
        <v>61</v>
      </c>
      <c r="B91" s="20" t="n">
        <v>16</v>
      </c>
      <c r="C91" s="20" t="n">
        <f aca="false">MAX(INDEX(Bâtiments!$D$6:$D$15,MATCH($A91,Bâtiments!$A$6:$A$15,0)),INDEX(Paramètres!$E$22:$E$26,MATCH($B91,Paramètres!$B$22:$B$26,1)),_xlfn.MAXIFS(Production!$E$6:$E$35,Production!$A$6:$A$35,$A91,Production!$D$6:$D$35,"&lt;="&amp;$B91))</f>
        <v>70</v>
      </c>
      <c r="D91" s="21" t="n">
        <f aca="false">ROUND(INDEX(Bâtiments!$F$6:$F$15,MATCH($A91,Bâtiments!$A$6:$A$15,0))*($B91-1)^Paramètres!$B$14,-1)</f>
        <v>112500</v>
      </c>
      <c r="E91" s="22" t="str">
        <f aca="false">INDEX(Paramètres!$D$22:$D$26,MATCH($C91,Paramètres!$E$22:$E$26,1))</f>
        <v>adamantite</v>
      </c>
      <c r="F91" s="21" t="n">
        <f aca="false">ROUND(Paramètres!$B$15*$B91^Paramètres!$B$16*INDEX(Bâtiments!$G$6:$G$15,MATCH($A91,Bâtiments!$A$6:$A$15,0)),0)</f>
        <v>551</v>
      </c>
      <c r="G91" s="21" t="n">
        <f aca="false">IF($C91&gt;=Paramètres!$E$23,ROUND($F91*Paramètres!$B$17,0),0)</f>
        <v>276</v>
      </c>
      <c r="H91" s="23" t="n">
        <f aca="false">ROUND($D91/INDEX(Paramètres!$B$38:$B$57,MATCH(MAX(5,$C91),Paramètres!$A$38:$A$57,1))*60,1)</f>
        <v>14.2</v>
      </c>
      <c r="I91" s="24" t="s">
        <v>209</v>
      </c>
    </row>
    <row r="92" customFormat="false" ht="15" hidden="false" customHeight="false" outlineLevel="0" collapsed="false">
      <c r="A92" s="19" t="s">
        <v>61</v>
      </c>
      <c r="B92" s="20" t="n">
        <v>17</v>
      </c>
      <c r="C92" s="20" t="n">
        <f aca="false">MAX(INDEX(Bâtiments!$D$6:$D$15,MATCH($A92,Bâtiments!$A$6:$A$15,0)),INDEX(Paramètres!$E$22:$E$26,MATCH($B92,Paramètres!$B$22:$B$26,1)),_xlfn.MAXIFS(Production!$E$6:$E$35,Production!$A$6:$A$35,$A92,Production!$D$6:$D$35,"&lt;="&amp;$B92))</f>
        <v>70</v>
      </c>
      <c r="D92" s="21" t="n">
        <f aca="false">ROUND(INDEX(Bâtiments!$F$6:$F$15,MATCH($A92,Bâtiments!$A$6:$A$15,0))*($B92-1)^Paramètres!$B$14,-1)</f>
        <v>128000</v>
      </c>
      <c r="E92" s="22" t="str">
        <f aca="false">INDEX(Paramètres!$D$22:$D$26,MATCH($C92,Paramètres!$E$22:$E$26,1))</f>
        <v>adamantite</v>
      </c>
      <c r="F92" s="21" t="n">
        <f aca="false">ROUND(Paramètres!$B$15*$B92^Paramètres!$B$16*INDEX(Bâtiments!$G$6:$G$15,MATCH($A92,Bâtiments!$A$6:$A$15,0)),0)</f>
        <v>597</v>
      </c>
      <c r="G92" s="21" t="n">
        <f aca="false">IF($C92&gt;=Paramètres!$E$23,ROUND($F92*Paramètres!$B$17,0),0)</f>
        <v>299</v>
      </c>
      <c r="H92" s="23" t="n">
        <f aca="false">ROUND($D92/INDEX(Paramètres!$B$38:$B$57,MATCH(MAX(5,$C92),Paramètres!$A$38:$A$57,1))*60,1)</f>
        <v>16.1</v>
      </c>
      <c r="I92" s="24" t="s">
        <v>200</v>
      </c>
    </row>
    <row r="93" customFormat="false" ht="15" hidden="false" customHeight="false" outlineLevel="0" collapsed="false">
      <c r="A93" s="19" t="s">
        <v>61</v>
      </c>
      <c r="B93" s="20" t="n">
        <v>18</v>
      </c>
      <c r="C93" s="20" t="n">
        <f aca="false">MAX(INDEX(Bâtiments!$D$6:$D$15,MATCH($A93,Bâtiments!$A$6:$A$15,0)),INDEX(Paramètres!$E$22:$E$26,MATCH($B93,Paramètres!$B$22:$B$26,1)),_xlfn.MAXIFS(Production!$E$6:$E$35,Production!$A$6:$A$35,$A93,Production!$D$6:$D$35,"&lt;="&amp;$B93))</f>
        <v>70</v>
      </c>
      <c r="D93" s="21" t="n">
        <f aca="false">ROUND(INDEX(Bâtiments!$F$6:$F$15,MATCH($A93,Bâtiments!$A$6:$A$15,0))*($B93-1)^Paramètres!$B$14,-1)</f>
        <v>144500</v>
      </c>
      <c r="E93" s="22" t="str">
        <f aca="false">INDEX(Paramètres!$D$22:$D$26,MATCH($C93,Paramètres!$E$22:$E$26,1))</f>
        <v>adamantite</v>
      </c>
      <c r="F93" s="21" t="n">
        <f aca="false">ROUND(Paramètres!$B$15*$B93^Paramètres!$B$16*INDEX(Bâtiments!$G$6:$G$15,MATCH($A93,Bâtiments!$A$6:$A$15,0)),0)</f>
        <v>643</v>
      </c>
      <c r="G93" s="21" t="n">
        <f aca="false">IF($C93&gt;=Paramètres!$E$23,ROUND($F93*Paramètres!$B$17,0),0)</f>
        <v>322</v>
      </c>
      <c r="H93" s="23" t="n">
        <f aca="false">ROUND($D93/INDEX(Paramètres!$B$38:$B$57,MATCH(MAX(5,$C93),Paramètres!$A$38:$A$57,1))*60,1)</f>
        <v>18.2</v>
      </c>
      <c r="I93" s="24" t="s">
        <v>200</v>
      </c>
    </row>
    <row r="94" customFormat="false" ht="15" hidden="false" customHeight="false" outlineLevel="0" collapsed="false">
      <c r="A94" s="19" t="s">
        <v>61</v>
      </c>
      <c r="B94" s="20" t="n">
        <v>19</v>
      </c>
      <c r="C94" s="20" t="n">
        <f aca="false">MAX(INDEX(Bâtiments!$D$6:$D$15,MATCH($A94,Bâtiments!$A$6:$A$15,0)),INDEX(Paramètres!$E$22:$E$26,MATCH($B94,Paramètres!$B$22:$B$26,1)),_xlfn.MAXIFS(Production!$E$6:$E$35,Production!$A$6:$A$35,$A94,Production!$D$6:$D$35,"&lt;="&amp;$B94))</f>
        <v>70</v>
      </c>
      <c r="D94" s="21" t="n">
        <f aca="false">ROUND(INDEX(Bâtiments!$F$6:$F$15,MATCH($A94,Bâtiments!$A$6:$A$15,0))*($B94-1)^Paramètres!$B$14,-1)</f>
        <v>162000</v>
      </c>
      <c r="E94" s="22" t="str">
        <f aca="false">INDEX(Paramètres!$D$22:$D$26,MATCH($C94,Paramètres!$E$22:$E$26,1))</f>
        <v>adamantite</v>
      </c>
      <c r="F94" s="21" t="n">
        <f aca="false">ROUND(Paramètres!$B$15*$B94^Paramètres!$B$16*INDEX(Bâtiments!$G$6:$G$15,MATCH($A94,Bâtiments!$A$6:$A$15,0)),0)</f>
        <v>689</v>
      </c>
      <c r="G94" s="21" t="n">
        <f aca="false">IF($C94&gt;=Paramètres!$E$23,ROUND($F94*Paramètres!$B$17,0),0)</f>
        <v>345</v>
      </c>
      <c r="H94" s="23" t="n">
        <f aca="false">ROUND($D94/INDEX(Paramètres!$B$38:$B$57,MATCH(MAX(5,$C94),Paramètres!$A$38:$A$57,1))*60,1)</f>
        <v>20.4</v>
      </c>
      <c r="I94" s="24" t="s">
        <v>200</v>
      </c>
    </row>
    <row r="95" customFormat="false" ht="15" hidden="false" customHeight="false" outlineLevel="0" collapsed="false">
      <c r="A95" s="19" t="s">
        <v>61</v>
      </c>
      <c r="B95" s="20" t="n">
        <v>20</v>
      </c>
      <c r="C95" s="20" t="n">
        <f aca="false">MAX(INDEX(Bâtiments!$D$6:$D$15,MATCH($A95,Bâtiments!$A$6:$A$15,0)),INDEX(Paramètres!$E$22:$E$26,MATCH($B95,Paramètres!$B$22:$B$26,1)),_xlfn.MAXIFS(Production!$E$6:$E$35,Production!$A$6:$A$35,$A95,Production!$D$6:$D$35,"&lt;="&amp;$B95))</f>
        <v>70</v>
      </c>
      <c r="D95" s="21" t="n">
        <f aca="false">ROUND(INDEX(Bâtiments!$F$6:$F$15,MATCH($A95,Bâtiments!$A$6:$A$15,0))*($B95-1)^Paramètres!$B$14,-1)</f>
        <v>180500</v>
      </c>
      <c r="E95" s="22" t="str">
        <f aca="false">INDEX(Paramètres!$D$22:$D$26,MATCH($C95,Paramètres!$E$22:$E$26,1))</f>
        <v>adamantite</v>
      </c>
      <c r="F95" s="21" t="n">
        <f aca="false">ROUND(Paramètres!$B$15*$B95^Paramètres!$B$16*INDEX(Bâtiments!$G$6:$G$15,MATCH($A95,Bâtiments!$A$6:$A$15,0)),0)</f>
        <v>737</v>
      </c>
      <c r="G95" s="21" t="n">
        <f aca="false">IF($C95&gt;=Paramètres!$E$23,ROUND($F95*Paramètres!$B$17,0),0)</f>
        <v>369</v>
      </c>
      <c r="H95" s="23" t="n">
        <f aca="false">ROUND($D95/INDEX(Paramètres!$B$38:$B$57,MATCH(MAX(5,$C95),Paramètres!$A$38:$A$57,1))*60,1)</f>
        <v>22.7</v>
      </c>
      <c r="I95" s="24" t="s">
        <v>200</v>
      </c>
    </row>
    <row r="96" customFormat="false" ht="15" hidden="false" customHeight="false" outlineLevel="0" collapsed="false">
      <c r="A96" s="7" t="s">
        <v>64</v>
      </c>
      <c r="B96" s="15" t="n">
        <v>2</v>
      </c>
      <c r="C96" s="15" t="n">
        <f aca="false">MAX(INDEX(Bâtiments!$D$6:$D$15,MATCH($A96,Bâtiments!$A$6:$A$15,0)),INDEX(Paramètres!$E$22:$E$26,MATCH($B96,Paramètres!$B$22:$B$26,1)),_xlfn.MAXIFS(Production!$E$6:$E$35,Production!$A$6:$A$35,$A96,Production!$D$6:$D$35,"&lt;="&amp;$B96))</f>
        <v>15</v>
      </c>
      <c r="D96" s="14" t="n">
        <f aca="false">ROUND(INDEX(Bâtiments!$F$6:$F$15,MATCH($A96,Bâtiments!$A$6:$A$15,0))*($B96-1)^Paramètres!$B$14,-1)</f>
        <v>600</v>
      </c>
      <c r="E96" s="13" t="str">
        <f aca="false">INDEX(Paramètres!$D$22:$D$26,MATCH($C96,Paramètres!$E$22:$E$26,1))</f>
        <v>fer</v>
      </c>
      <c r="F96" s="14" t="n">
        <f aca="false">ROUND(Paramètres!$B$15*$B96^Paramètres!$B$16*INDEX(Bâtiments!$G$6:$G$15,MATCH($A96,Bâtiments!$A$6:$A$15,0)),0)</f>
        <v>37</v>
      </c>
      <c r="G96" s="14" t="n">
        <f aca="false">IF($C96&gt;=Paramètres!$E$23,ROUND($F96*Paramètres!$B$17,0),0)</f>
        <v>19</v>
      </c>
      <c r="H96" s="25" t="n">
        <f aca="false">ROUND($D96/INDEX(Paramètres!$B$38:$B$57,MATCH(MAX(5,$C96),Paramètres!$A$38:$A$57,1))*60,1)</f>
        <v>0.5</v>
      </c>
      <c r="I96" s="11" t="s">
        <v>200</v>
      </c>
    </row>
    <row r="97" customFormat="false" ht="15" hidden="false" customHeight="false" outlineLevel="0" collapsed="false">
      <c r="A97" s="7" t="s">
        <v>64</v>
      </c>
      <c r="B97" s="15" t="n">
        <v>3</v>
      </c>
      <c r="C97" s="15" t="n">
        <f aca="false">MAX(INDEX(Bâtiments!$D$6:$D$15,MATCH($A97,Bâtiments!$A$6:$A$15,0)),INDEX(Paramètres!$E$22:$E$26,MATCH($B97,Paramètres!$B$22:$B$26,1)),_xlfn.MAXIFS(Production!$E$6:$E$35,Production!$A$6:$A$35,$A97,Production!$D$6:$D$35,"&lt;="&amp;$B97))</f>
        <v>15</v>
      </c>
      <c r="D97" s="14" t="n">
        <f aca="false">ROUND(INDEX(Bâtiments!$F$6:$F$15,MATCH($A97,Bâtiments!$A$6:$A$15,0))*($B97-1)^Paramètres!$B$14,-1)</f>
        <v>2400</v>
      </c>
      <c r="E97" s="13" t="str">
        <f aca="false">INDEX(Paramètres!$D$22:$D$26,MATCH($C97,Paramètres!$E$22:$E$26,1))</f>
        <v>fer</v>
      </c>
      <c r="F97" s="14" t="n">
        <f aca="false">ROUND(Paramètres!$B$15*$B97^Paramètres!$B$16*INDEX(Bâtiments!$G$6:$G$15,MATCH($A97,Bâtiments!$A$6:$A$15,0)),0)</f>
        <v>63</v>
      </c>
      <c r="G97" s="14" t="n">
        <f aca="false">IF($C97&gt;=Paramètres!$E$23,ROUND($F97*Paramètres!$B$17,0),0)</f>
        <v>32</v>
      </c>
      <c r="H97" s="25" t="n">
        <f aca="false">ROUND($D97/INDEX(Paramètres!$B$38:$B$57,MATCH(MAX(5,$C97),Paramètres!$A$38:$A$57,1))*60,1)</f>
        <v>2</v>
      </c>
      <c r="I97" s="11" t="s">
        <v>200</v>
      </c>
    </row>
    <row r="98" customFormat="false" ht="15" hidden="false" customHeight="false" outlineLevel="0" collapsed="false">
      <c r="A98" s="7" t="s">
        <v>64</v>
      </c>
      <c r="B98" s="15" t="n">
        <v>4</v>
      </c>
      <c r="C98" s="15" t="n">
        <f aca="false">MAX(INDEX(Bâtiments!$D$6:$D$15,MATCH($A98,Bâtiments!$A$6:$A$15,0)),INDEX(Paramètres!$E$22:$E$26,MATCH($B98,Paramètres!$B$22:$B$26,1)),_xlfn.MAXIFS(Production!$E$6:$E$35,Production!$A$6:$A$35,$A98,Production!$D$6:$D$35,"&lt;="&amp;$B98))</f>
        <v>15</v>
      </c>
      <c r="D98" s="14" t="n">
        <f aca="false">ROUND(INDEX(Bâtiments!$F$6:$F$15,MATCH($A98,Bâtiments!$A$6:$A$15,0))*($B98-1)^Paramètres!$B$14,-1)</f>
        <v>5400</v>
      </c>
      <c r="E98" s="13" t="str">
        <f aca="false">INDEX(Paramètres!$D$22:$D$26,MATCH($C98,Paramètres!$E$22:$E$26,1))</f>
        <v>fer</v>
      </c>
      <c r="F98" s="14" t="n">
        <f aca="false">ROUND(Paramètres!$B$15*$B98^Paramètres!$B$16*INDEX(Bâtiments!$G$6:$G$15,MATCH($A98,Bâtiments!$A$6:$A$15,0)),0)</f>
        <v>91</v>
      </c>
      <c r="G98" s="14" t="n">
        <f aca="false">IF($C98&gt;=Paramètres!$E$23,ROUND($F98*Paramètres!$B$17,0),0)</f>
        <v>46</v>
      </c>
      <c r="H98" s="25" t="n">
        <f aca="false">ROUND($D98/INDEX(Paramètres!$B$38:$B$57,MATCH(MAX(5,$C98),Paramètres!$A$38:$A$57,1))*60,1)</f>
        <v>4.5</v>
      </c>
      <c r="I98" s="11" t="s">
        <v>200</v>
      </c>
    </row>
    <row r="99" customFormat="false" ht="15" hidden="false" customHeight="false" outlineLevel="0" collapsed="false">
      <c r="A99" s="7" t="s">
        <v>64</v>
      </c>
      <c r="B99" s="15" t="n">
        <v>5</v>
      </c>
      <c r="C99" s="15" t="n">
        <f aca="false">MAX(INDEX(Bâtiments!$D$6:$D$15,MATCH($A99,Bâtiments!$A$6:$A$15,0)),INDEX(Paramètres!$E$22:$E$26,MATCH($B99,Paramètres!$B$22:$B$26,1)),_xlfn.MAXIFS(Production!$E$6:$E$35,Production!$A$6:$A$35,$A99,Production!$D$6:$D$35,"&lt;="&amp;$B99))</f>
        <v>15</v>
      </c>
      <c r="D99" s="14" t="n">
        <f aca="false">ROUND(INDEX(Bâtiments!$F$6:$F$15,MATCH($A99,Bâtiments!$A$6:$A$15,0))*($B99-1)^Paramètres!$B$14,-1)</f>
        <v>9600</v>
      </c>
      <c r="E99" s="13" t="str">
        <f aca="false">INDEX(Paramètres!$D$22:$D$26,MATCH($C99,Paramètres!$E$22:$E$26,1))</f>
        <v>fer</v>
      </c>
      <c r="F99" s="14" t="n">
        <f aca="false">ROUND(Paramètres!$B$15*$B99^Paramètres!$B$16*INDEX(Bâtiments!$G$6:$G$15,MATCH($A99,Bâtiments!$A$6:$A$15,0)),0)</f>
        <v>122</v>
      </c>
      <c r="G99" s="14" t="n">
        <f aca="false">IF($C99&gt;=Paramètres!$E$23,ROUND($F99*Paramètres!$B$17,0),0)</f>
        <v>61</v>
      </c>
      <c r="H99" s="25" t="n">
        <f aca="false">ROUND($D99/INDEX(Paramètres!$B$38:$B$57,MATCH(MAX(5,$C99),Paramètres!$A$38:$A$57,1))*60,1)</f>
        <v>7.9</v>
      </c>
      <c r="I99" s="11" t="s">
        <v>200</v>
      </c>
    </row>
    <row r="100" customFormat="false" ht="15" hidden="false" customHeight="false" outlineLevel="0" collapsed="false">
      <c r="A100" s="7" t="s">
        <v>64</v>
      </c>
      <c r="B100" s="15" t="n">
        <v>6</v>
      </c>
      <c r="C100" s="15" t="n">
        <f aca="false">MAX(INDEX(Bâtiments!$D$6:$D$15,MATCH($A100,Bâtiments!$A$6:$A$15,0)),INDEX(Paramètres!$E$22:$E$26,MATCH($B100,Paramètres!$B$22:$B$26,1)),_xlfn.MAXIFS(Production!$E$6:$E$35,Production!$A$6:$A$35,$A100,Production!$D$6:$D$35,"&lt;="&amp;$B100))</f>
        <v>30</v>
      </c>
      <c r="D100" s="14" t="n">
        <f aca="false">ROUND(INDEX(Bâtiments!$F$6:$F$15,MATCH($A100,Bâtiments!$A$6:$A$15,0))*($B100-1)^Paramètres!$B$14,-1)</f>
        <v>15000</v>
      </c>
      <c r="E100" s="13" t="str">
        <f aca="false">INDEX(Paramètres!$D$22:$D$26,MATCH($C100,Paramètres!$E$22:$E$26,1))</f>
        <v>acier</v>
      </c>
      <c r="F100" s="14" t="n">
        <f aca="false">ROUND(Paramètres!$B$15*$B100^Paramètres!$B$16*INDEX(Bâtiments!$G$6:$G$15,MATCH($A100,Bâtiments!$A$6:$A$15,0)),0)</f>
        <v>154</v>
      </c>
      <c r="G100" s="14" t="n">
        <f aca="false">IF($C100&gt;=Paramètres!$E$23,ROUND($F100*Paramètres!$B$17,0),0)</f>
        <v>77</v>
      </c>
      <c r="H100" s="25" t="n">
        <f aca="false">ROUND($D100/INDEX(Paramètres!$B$38:$B$57,MATCH(MAX(5,$C100),Paramètres!$A$38:$A$57,1))*60,1)</f>
        <v>5.8</v>
      </c>
      <c r="I100" s="11" t="s">
        <v>210</v>
      </c>
    </row>
    <row r="101" customFormat="false" ht="15" hidden="false" customHeight="false" outlineLevel="0" collapsed="false">
      <c r="A101" s="7" t="s">
        <v>64</v>
      </c>
      <c r="B101" s="15" t="n">
        <v>7</v>
      </c>
      <c r="C101" s="15" t="n">
        <f aca="false">MAX(INDEX(Bâtiments!$D$6:$D$15,MATCH($A101,Bâtiments!$A$6:$A$15,0)),INDEX(Paramètres!$E$22:$E$26,MATCH($B101,Paramètres!$B$22:$B$26,1)),_xlfn.MAXIFS(Production!$E$6:$E$35,Production!$A$6:$A$35,$A101,Production!$D$6:$D$35,"&lt;="&amp;$B101))</f>
        <v>30</v>
      </c>
      <c r="D101" s="14" t="n">
        <f aca="false">ROUND(INDEX(Bâtiments!$F$6:$F$15,MATCH($A101,Bâtiments!$A$6:$A$15,0))*($B101-1)^Paramètres!$B$14,-1)</f>
        <v>21600</v>
      </c>
      <c r="E101" s="13" t="str">
        <f aca="false">INDEX(Paramètres!$D$22:$D$26,MATCH($C101,Paramètres!$E$22:$E$26,1))</f>
        <v>acier</v>
      </c>
      <c r="F101" s="14" t="n">
        <f aca="false">ROUND(Paramètres!$B$15*$B101^Paramètres!$B$16*INDEX(Bâtiments!$G$6:$G$15,MATCH($A101,Bâtiments!$A$6:$A$15,0)),0)</f>
        <v>188</v>
      </c>
      <c r="G101" s="14" t="n">
        <f aca="false">IF($C101&gt;=Paramètres!$E$23,ROUND($F101*Paramètres!$B$17,0),0)</f>
        <v>94</v>
      </c>
      <c r="H101" s="25" t="n">
        <f aca="false">ROUND($D101/INDEX(Paramètres!$B$38:$B$57,MATCH(MAX(5,$C101),Paramètres!$A$38:$A$57,1))*60,1)</f>
        <v>8.4</v>
      </c>
      <c r="I101" s="11" t="s">
        <v>200</v>
      </c>
    </row>
    <row r="102" customFormat="false" ht="15" hidden="false" customHeight="false" outlineLevel="0" collapsed="false">
      <c r="A102" s="7" t="s">
        <v>64</v>
      </c>
      <c r="B102" s="15" t="n">
        <v>8</v>
      </c>
      <c r="C102" s="15" t="n">
        <f aca="false">MAX(INDEX(Bâtiments!$D$6:$D$15,MATCH($A102,Bâtiments!$A$6:$A$15,0)),INDEX(Paramètres!$E$22:$E$26,MATCH($B102,Paramètres!$B$22:$B$26,1)),_xlfn.MAXIFS(Production!$E$6:$E$35,Production!$A$6:$A$35,$A102,Production!$D$6:$D$35,"&lt;="&amp;$B102))</f>
        <v>30</v>
      </c>
      <c r="D102" s="14" t="n">
        <f aca="false">ROUND(INDEX(Bâtiments!$F$6:$F$15,MATCH($A102,Bâtiments!$A$6:$A$15,0))*($B102-1)^Paramètres!$B$14,-1)</f>
        <v>29400</v>
      </c>
      <c r="E102" s="13" t="str">
        <f aca="false">INDEX(Paramètres!$D$22:$D$26,MATCH($C102,Paramètres!$E$22:$E$26,1))</f>
        <v>acier</v>
      </c>
      <c r="F102" s="14" t="n">
        <f aca="false">ROUND(Paramètres!$B$15*$B102^Paramètres!$B$16*INDEX(Bâtiments!$G$6:$G$15,MATCH($A102,Bâtiments!$A$6:$A$15,0)),0)</f>
        <v>224</v>
      </c>
      <c r="G102" s="14" t="n">
        <f aca="false">IF($C102&gt;=Paramètres!$E$23,ROUND($F102*Paramètres!$B$17,0),0)</f>
        <v>112</v>
      </c>
      <c r="H102" s="25" t="n">
        <f aca="false">ROUND($D102/INDEX(Paramètres!$B$38:$B$57,MATCH(MAX(5,$C102),Paramètres!$A$38:$A$57,1))*60,1)</f>
        <v>11.4</v>
      </c>
      <c r="I102" s="11" t="s">
        <v>200</v>
      </c>
    </row>
    <row r="103" customFormat="false" ht="15" hidden="false" customHeight="false" outlineLevel="0" collapsed="false">
      <c r="A103" s="7" t="s">
        <v>64</v>
      </c>
      <c r="B103" s="15" t="n">
        <v>9</v>
      </c>
      <c r="C103" s="15" t="n">
        <f aca="false">MAX(INDEX(Bâtiments!$D$6:$D$15,MATCH($A103,Bâtiments!$A$6:$A$15,0)),INDEX(Paramètres!$E$22:$E$26,MATCH($B103,Paramètres!$B$22:$B$26,1)),_xlfn.MAXIFS(Production!$E$6:$E$35,Production!$A$6:$A$35,$A103,Production!$D$6:$D$35,"&lt;="&amp;$B103))</f>
        <v>30</v>
      </c>
      <c r="D103" s="14" t="n">
        <f aca="false">ROUND(INDEX(Bâtiments!$F$6:$F$15,MATCH($A103,Bâtiments!$A$6:$A$15,0))*($B103-1)^Paramètres!$B$14,-1)</f>
        <v>38400</v>
      </c>
      <c r="E103" s="13" t="str">
        <f aca="false">INDEX(Paramètres!$D$22:$D$26,MATCH($C103,Paramètres!$E$22:$E$26,1))</f>
        <v>acier</v>
      </c>
      <c r="F103" s="14" t="n">
        <f aca="false">ROUND(Paramètres!$B$15*$B103^Paramètres!$B$16*INDEX(Bâtiments!$G$6:$G$15,MATCH($A103,Bâtiments!$A$6:$A$15,0)),0)</f>
        <v>261</v>
      </c>
      <c r="G103" s="14" t="n">
        <f aca="false">IF($C103&gt;=Paramètres!$E$23,ROUND($F103*Paramètres!$B$17,0),0)</f>
        <v>131</v>
      </c>
      <c r="H103" s="25" t="n">
        <f aca="false">ROUND($D103/INDEX(Paramètres!$B$38:$B$57,MATCH(MAX(5,$C103),Paramètres!$A$38:$A$57,1))*60,1)</f>
        <v>14.9</v>
      </c>
      <c r="I103" s="11" t="s">
        <v>200</v>
      </c>
    </row>
    <row r="104" customFormat="false" ht="15" hidden="false" customHeight="false" outlineLevel="0" collapsed="false">
      <c r="A104" s="7" t="s">
        <v>64</v>
      </c>
      <c r="B104" s="15" t="n">
        <v>10</v>
      </c>
      <c r="C104" s="15" t="n">
        <f aca="false">MAX(INDEX(Bâtiments!$D$6:$D$15,MATCH($A104,Bâtiments!$A$6:$A$15,0)),INDEX(Paramètres!$E$22:$E$26,MATCH($B104,Paramètres!$B$22:$B$26,1)),_xlfn.MAXIFS(Production!$E$6:$E$35,Production!$A$6:$A$35,$A104,Production!$D$6:$D$35,"&lt;="&amp;$B104))</f>
        <v>30</v>
      </c>
      <c r="D104" s="14" t="n">
        <f aca="false">ROUND(INDEX(Bâtiments!$F$6:$F$15,MATCH($A104,Bâtiments!$A$6:$A$15,0))*($B104-1)^Paramètres!$B$14,-1)</f>
        <v>48600</v>
      </c>
      <c r="E104" s="13" t="str">
        <f aca="false">INDEX(Paramètres!$D$22:$D$26,MATCH($C104,Paramètres!$E$22:$E$26,1))</f>
        <v>acier</v>
      </c>
      <c r="F104" s="14" t="n">
        <f aca="false">ROUND(Paramètres!$B$15*$B104^Paramètres!$B$16*INDEX(Bâtiments!$G$6:$G$15,MATCH($A104,Bâtiments!$A$6:$A$15,0)),0)</f>
        <v>299</v>
      </c>
      <c r="G104" s="14" t="n">
        <f aca="false">IF($C104&gt;=Paramètres!$E$23,ROUND($F104*Paramètres!$B$17,0),0)</f>
        <v>150</v>
      </c>
      <c r="H104" s="25" t="n">
        <f aca="false">ROUND($D104/INDEX(Paramètres!$B$38:$B$57,MATCH(MAX(5,$C104),Paramètres!$A$38:$A$57,1))*60,1)</f>
        <v>18.8</v>
      </c>
      <c r="I104" s="11" t="s">
        <v>200</v>
      </c>
    </row>
    <row r="105" customFormat="false" ht="15" hidden="false" customHeight="false" outlineLevel="0" collapsed="false">
      <c r="A105" s="7" t="s">
        <v>64</v>
      </c>
      <c r="B105" s="15" t="n">
        <v>11</v>
      </c>
      <c r="C105" s="15" t="n">
        <f aca="false">MAX(INDEX(Bâtiments!$D$6:$D$15,MATCH($A105,Bâtiments!$A$6:$A$15,0)),INDEX(Paramètres!$E$22:$E$26,MATCH($B105,Paramètres!$B$22:$B$26,1)),_xlfn.MAXIFS(Production!$E$6:$E$35,Production!$A$6:$A$35,$A105,Production!$D$6:$D$35,"&lt;="&amp;$B105))</f>
        <v>50</v>
      </c>
      <c r="D105" s="14" t="n">
        <f aca="false">ROUND(INDEX(Bâtiments!$F$6:$F$15,MATCH($A105,Bâtiments!$A$6:$A$15,0))*($B105-1)^Paramètres!$B$14,-1)</f>
        <v>60000</v>
      </c>
      <c r="E105" s="13" t="str">
        <f aca="false">INDEX(Paramètres!$D$22:$D$26,MATCH($C105,Paramètres!$E$22:$E$26,1))</f>
        <v>mithril</v>
      </c>
      <c r="F105" s="14" t="n">
        <f aca="false">ROUND(Paramètres!$B$15*$B105^Paramètres!$B$16*INDEX(Bâtiments!$G$6:$G$15,MATCH($A105,Bâtiments!$A$6:$A$15,0)),0)</f>
        <v>339</v>
      </c>
      <c r="G105" s="14" t="n">
        <f aca="false">IF($C105&gt;=Paramètres!$E$23,ROUND($F105*Paramètres!$B$17,0),0)</f>
        <v>170</v>
      </c>
      <c r="H105" s="25" t="n">
        <f aca="false">ROUND($D105/INDEX(Paramètres!$B$38:$B$57,MATCH(MAX(5,$C105),Paramètres!$A$38:$A$57,1))*60,1)</f>
        <v>16.1</v>
      </c>
      <c r="I105" s="11" t="s">
        <v>211</v>
      </c>
    </row>
    <row r="106" customFormat="false" ht="15" hidden="false" customHeight="false" outlineLevel="0" collapsed="false">
      <c r="A106" s="7" t="s">
        <v>64</v>
      </c>
      <c r="B106" s="15" t="n">
        <v>12</v>
      </c>
      <c r="C106" s="15" t="n">
        <f aca="false">MAX(INDEX(Bâtiments!$D$6:$D$15,MATCH($A106,Bâtiments!$A$6:$A$15,0)),INDEX(Paramètres!$E$22:$E$26,MATCH($B106,Paramètres!$B$22:$B$26,1)),_xlfn.MAXIFS(Production!$E$6:$E$35,Production!$A$6:$A$35,$A106,Production!$D$6:$D$35,"&lt;="&amp;$B106))</f>
        <v>50</v>
      </c>
      <c r="D106" s="14" t="n">
        <f aca="false">ROUND(INDEX(Bâtiments!$F$6:$F$15,MATCH($A106,Bâtiments!$A$6:$A$15,0))*($B106-1)^Paramètres!$B$14,-1)</f>
        <v>72600</v>
      </c>
      <c r="E106" s="13" t="str">
        <f aca="false">INDEX(Paramètres!$D$22:$D$26,MATCH($C106,Paramètres!$E$22:$E$26,1))</f>
        <v>mithril</v>
      </c>
      <c r="F106" s="14" t="n">
        <f aca="false">ROUND(Paramètres!$B$15*$B106^Paramètres!$B$16*INDEX(Bâtiments!$G$6:$G$15,MATCH($A106,Bâtiments!$A$6:$A$15,0)),0)</f>
        <v>379</v>
      </c>
      <c r="G106" s="14" t="n">
        <f aca="false">IF($C106&gt;=Paramètres!$E$23,ROUND($F106*Paramètres!$B$17,0),0)</f>
        <v>190</v>
      </c>
      <c r="H106" s="25" t="n">
        <f aca="false">ROUND($D106/INDEX(Paramètres!$B$38:$B$57,MATCH(MAX(5,$C106),Paramètres!$A$38:$A$57,1))*60,1)</f>
        <v>19.4</v>
      </c>
      <c r="I106" s="11" t="s">
        <v>200</v>
      </c>
    </row>
    <row r="107" customFormat="false" ht="15" hidden="false" customHeight="false" outlineLevel="0" collapsed="false">
      <c r="A107" s="7" t="s">
        <v>64</v>
      </c>
      <c r="B107" s="15" t="n">
        <v>13</v>
      </c>
      <c r="C107" s="15" t="n">
        <f aca="false">MAX(INDEX(Bâtiments!$D$6:$D$15,MATCH($A107,Bâtiments!$A$6:$A$15,0)),INDEX(Paramètres!$E$22:$E$26,MATCH($B107,Paramètres!$B$22:$B$26,1)),_xlfn.MAXIFS(Production!$E$6:$E$35,Production!$A$6:$A$35,$A107,Production!$D$6:$D$35,"&lt;="&amp;$B107))</f>
        <v>50</v>
      </c>
      <c r="D107" s="14" t="n">
        <f aca="false">ROUND(INDEX(Bâtiments!$F$6:$F$15,MATCH($A107,Bâtiments!$A$6:$A$15,0))*($B107-1)^Paramètres!$B$14,-1)</f>
        <v>86400</v>
      </c>
      <c r="E107" s="13" t="str">
        <f aca="false">INDEX(Paramètres!$D$22:$D$26,MATCH($C107,Paramètres!$E$22:$E$26,1))</f>
        <v>mithril</v>
      </c>
      <c r="F107" s="14" t="n">
        <f aca="false">ROUND(Paramètres!$B$15*$B107^Paramètres!$B$16*INDEX(Bâtiments!$G$6:$G$15,MATCH($A107,Bâtiments!$A$6:$A$15,0)),0)</f>
        <v>421</v>
      </c>
      <c r="G107" s="14" t="n">
        <f aca="false">IF($C107&gt;=Paramètres!$E$23,ROUND($F107*Paramètres!$B$17,0),0)</f>
        <v>211</v>
      </c>
      <c r="H107" s="25" t="n">
        <f aca="false">ROUND($D107/INDEX(Paramètres!$B$38:$B$57,MATCH(MAX(5,$C107),Paramètres!$A$38:$A$57,1))*60,1)</f>
        <v>23.1</v>
      </c>
      <c r="I107" s="11" t="s">
        <v>200</v>
      </c>
    </row>
    <row r="108" customFormat="false" ht="15" hidden="false" customHeight="false" outlineLevel="0" collapsed="false">
      <c r="A108" s="7" t="s">
        <v>64</v>
      </c>
      <c r="B108" s="15" t="n">
        <v>14</v>
      </c>
      <c r="C108" s="15" t="n">
        <f aca="false">MAX(INDEX(Bâtiments!$D$6:$D$15,MATCH($A108,Bâtiments!$A$6:$A$15,0)),INDEX(Paramètres!$E$22:$E$26,MATCH($B108,Paramètres!$B$22:$B$26,1)),_xlfn.MAXIFS(Production!$E$6:$E$35,Production!$A$6:$A$35,$A108,Production!$D$6:$D$35,"&lt;="&amp;$B108))</f>
        <v>50</v>
      </c>
      <c r="D108" s="14" t="n">
        <f aca="false">ROUND(INDEX(Bâtiments!$F$6:$F$15,MATCH($A108,Bâtiments!$A$6:$A$15,0))*($B108-1)^Paramètres!$B$14,-1)</f>
        <v>101400</v>
      </c>
      <c r="E108" s="13" t="str">
        <f aca="false">INDEX(Paramètres!$D$22:$D$26,MATCH($C108,Paramètres!$E$22:$E$26,1))</f>
        <v>mithril</v>
      </c>
      <c r="F108" s="14" t="n">
        <f aca="false">ROUND(Paramètres!$B$15*$B108^Paramètres!$B$16*INDEX(Bâtiments!$G$6:$G$15,MATCH($A108,Bâtiments!$A$6:$A$15,0)),0)</f>
        <v>464</v>
      </c>
      <c r="G108" s="14" t="n">
        <f aca="false">IF($C108&gt;=Paramètres!$E$23,ROUND($F108*Paramètres!$B$17,0),0)</f>
        <v>232</v>
      </c>
      <c r="H108" s="25" t="n">
        <f aca="false">ROUND($D108/INDEX(Paramètres!$B$38:$B$57,MATCH(MAX(5,$C108),Paramètres!$A$38:$A$57,1))*60,1)</f>
        <v>27.1</v>
      </c>
      <c r="I108" s="11" t="s">
        <v>200</v>
      </c>
    </row>
    <row r="109" customFormat="false" ht="15" hidden="false" customHeight="false" outlineLevel="0" collapsed="false">
      <c r="A109" s="7" t="s">
        <v>64</v>
      </c>
      <c r="B109" s="15" t="n">
        <v>15</v>
      </c>
      <c r="C109" s="15" t="n">
        <f aca="false">MAX(INDEX(Bâtiments!$D$6:$D$15,MATCH($A109,Bâtiments!$A$6:$A$15,0)),INDEX(Paramètres!$E$22:$E$26,MATCH($B109,Paramètres!$B$22:$B$26,1)),_xlfn.MAXIFS(Production!$E$6:$E$35,Production!$A$6:$A$35,$A109,Production!$D$6:$D$35,"&lt;="&amp;$B109))</f>
        <v>50</v>
      </c>
      <c r="D109" s="14" t="n">
        <f aca="false">ROUND(INDEX(Bâtiments!$F$6:$F$15,MATCH($A109,Bâtiments!$A$6:$A$15,0))*($B109-1)^Paramètres!$B$14,-1)</f>
        <v>117600</v>
      </c>
      <c r="E109" s="13" t="str">
        <f aca="false">INDEX(Paramètres!$D$22:$D$26,MATCH($C109,Paramètres!$E$22:$E$26,1))</f>
        <v>mithril</v>
      </c>
      <c r="F109" s="14" t="n">
        <f aca="false">ROUND(Paramètres!$B$15*$B109^Paramètres!$B$16*INDEX(Bâtiments!$G$6:$G$15,MATCH($A109,Bâtiments!$A$6:$A$15,0)),0)</f>
        <v>507</v>
      </c>
      <c r="G109" s="14" t="n">
        <f aca="false">IF($C109&gt;=Paramètres!$E$23,ROUND($F109*Paramètres!$B$17,0),0)</f>
        <v>254</v>
      </c>
      <c r="H109" s="25" t="n">
        <f aca="false">ROUND($D109/INDEX(Paramètres!$B$38:$B$57,MATCH(MAX(5,$C109),Paramètres!$A$38:$A$57,1))*60,1)</f>
        <v>31.5</v>
      </c>
      <c r="I109" s="11" t="s">
        <v>200</v>
      </c>
    </row>
    <row r="110" customFormat="false" ht="15" hidden="false" customHeight="false" outlineLevel="0" collapsed="false">
      <c r="A110" s="7" t="s">
        <v>64</v>
      </c>
      <c r="B110" s="15" t="n">
        <v>16</v>
      </c>
      <c r="C110" s="15" t="n">
        <f aca="false">MAX(INDEX(Bâtiments!$D$6:$D$15,MATCH($A110,Bâtiments!$A$6:$A$15,0)),INDEX(Paramètres!$E$22:$E$26,MATCH($B110,Paramètres!$B$22:$B$26,1)),_xlfn.MAXIFS(Production!$E$6:$E$35,Production!$A$6:$A$35,$A110,Production!$D$6:$D$35,"&lt;="&amp;$B110))</f>
        <v>70</v>
      </c>
      <c r="D110" s="14" t="n">
        <f aca="false">ROUND(INDEX(Bâtiments!$F$6:$F$15,MATCH($A110,Bâtiments!$A$6:$A$15,0))*($B110-1)^Paramètres!$B$14,-1)</f>
        <v>135000</v>
      </c>
      <c r="E110" s="13" t="str">
        <f aca="false">INDEX(Paramètres!$D$22:$D$26,MATCH($C110,Paramètres!$E$22:$E$26,1))</f>
        <v>adamantite</v>
      </c>
      <c r="F110" s="14" t="n">
        <f aca="false">ROUND(Paramètres!$B$15*$B110^Paramètres!$B$16*INDEX(Bâtiments!$G$6:$G$15,MATCH($A110,Bâtiments!$A$6:$A$15,0)),0)</f>
        <v>551</v>
      </c>
      <c r="G110" s="14" t="n">
        <f aca="false">IF($C110&gt;=Paramètres!$E$23,ROUND($F110*Paramètres!$B$17,0),0)</f>
        <v>276</v>
      </c>
      <c r="H110" s="25" t="n">
        <f aca="false">ROUND($D110/INDEX(Paramètres!$B$38:$B$57,MATCH(MAX(5,$C110),Paramètres!$A$38:$A$57,1))*60,1)</f>
        <v>17</v>
      </c>
      <c r="I110" s="11" t="s">
        <v>212</v>
      </c>
    </row>
    <row r="111" customFormat="false" ht="15" hidden="false" customHeight="false" outlineLevel="0" collapsed="false">
      <c r="A111" s="7" t="s">
        <v>64</v>
      </c>
      <c r="B111" s="15" t="n">
        <v>17</v>
      </c>
      <c r="C111" s="15" t="n">
        <f aca="false">MAX(INDEX(Bâtiments!$D$6:$D$15,MATCH($A111,Bâtiments!$A$6:$A$15,0)),INDEX(Paramètres!$E$22:$E$26,MATCH($B111,Paramètres!$B$22:$B$26,1)),_xlfn.MAXIFS(Production!$E$6:$E$35,Production!$A$6:$A$35,$A111,Production!$D$6:$D$35,"&lt;="&amp;$B111))</f>
        <v>70</v>
      </c>
      <c r="D111" s="14" t="n">
        <f aca="false">ROUND(INDEX(Bâtiments!$F$6:$F$15,MATCH($A111,Bâtiments!$A$6:$A$15,0))*($B111-1)^Paramètres!$B$14,-1)</f>
        <v>153600</v>
      </c>
      <c r="E111" s="13" t="str">
        <f aca="false">INDEX(Paramètres!$D$22:$D$26,MATCH($C111,Paramètres!$E$22:$E$26,1))</f>
        <v>adamantite</v>
      </c>
      <c r="F111" s="14" t="n">
        <f aca="false">ROUND(Paramètres!$B$15*$B111^Paramètres!$B$16*INDEX(Bâtiments!$G$6:$G$15,MATCH($A111,Bâtiments!$A$6:$A$15,0)),0)</f>
        <v>597</v>
      </c>
      <c r="G111" s="14" t="n">
        <f aca="false">IF($C111&gt;=Paramètres!$E$23,ROUND($F111*Paramètres!$B$17,0),0)</f>
        <v>299</v>
      </c>
      <c r="H111" s="25" t="n">
        <f aca="false">ROUND($D111/INDEX(Paramètres!$B$38:$B$57,MATCH(MAX(5,$C111),Paramètres!$A$38:$A$57,1))*60,1)</f>
        <v>19.3</v>
      </c>
      <c r="I111" s="11" t="s">
        <v>200</v>
      </c>
    </row>
    <row r="112" customFormat="false" ht="15" hidden="false" customHeight="false" outlineLevel="0" collapsed="false">
      <c r="A112" s="7" t="s">
        <v>64</v>
      </c>
      <c r="B112" s="15" t="n">
        <v>18</v>
      </c>
      <c r="C112" s="15" t="n">
        <f aca="false">MAX(INDEX(Bâtiments!$D$6:$D$15,MATCH($A112,Bâtiments!$A$6:$A$15,0)),INDEX(Paramètres!$E$22:$E$26,MATCH($B112,Paramètres!$B$22:$B$26,1)),_xlfn.MAXIFS(Production!$E$6:$E$35,Production!$A$6:$A$35,$A112,Production!$D$6:$D$35,"&lt;="&amp;$B112))</f>
        <v>70</v>
      </c>
      <c r="D112" s="14" t="n">
        <f aca="false">ROUND(INDEX(Bâtiments!$F$6:$F$15,MATCH($A112,Bâtiments!$A$6:$A$15,0))*($B112-1)^Paramètres!$B$14,-1)</f>
        <v>173400</v>
      </c>
      <c r="E112" s="13" t="str">
        <f aca="false">INDEX(Paramètres!$D$22:$D$26,MATCH($C112,Paramètres!$E$22:$E$26,1))</f>
        <v>adamantite</v>
      </c>
      <c r="F112" s="14" t="n">
        <f aca="false">ROUND(Paramètres!$B$15*$B112^Paramètres!$B$16*INDEX(Bâtiments!$G$6:$G$15,MATCH($A112,Bâtiments!$A$6:$A$15,0)),0)</f>
        <v>643</v>
      </c>
      <c r="G112" s="14" t="n">
        <f aca="false">IF($C112&gt;=Paramètres!$E$23,ROUND($F112*Paramètres!$B$17,0),0)</f>
        <v>322</v>
      </c>
      <c r="H112" s="25" t="n">
        <f aca="false">ROUND($D112/INDEX(Paramètres!$B$38:$B$57,MATCH(MAX(5,$C112),Paramètres!$A$38:$A$57,1))*60,1)</f>
        <v>21.8</v>
      </c>
      <c r="I112" s="11" t="s">
        <v>200</v>
      </c>
    </row>
    <row r="113" customFormat="false" ht="15" hidden="false" customHeight="false" outlineLevel="0" collapsed="false">
      <c r="A113" s="7" t="s">
        <v>64</v>
      </c>
      <c r="B113" s="15" t="n">
        <v>19</v>
      </c>
      <c r="C113" s="15" t="n">
        <f aca="false">MAX(INDEX(Bâtiments!$D$6:$D$15,MATCH($A113,Bâtiments!$A$6:$A$15,0)),INDEX(Paramètres!$E$22:$E$26,MATCH($B113,Paramètres!$B$22:$B$26,1)),_xlfn.MAXIFS(Production!$E$6:$E$35,Production!$A$6:$A$35,$A113,Production!$D$6:$D$35,"&lt;="&amp;$B113))</f>
        <v>70</v>
      </c>
      <c r="D113" s="14" t="n">
        <f aca="false">ROUND(INDEX(Bâtiments!$F$6:$F$15,MATCH($A113,Bâtiments!$A$6:$A$15,0))*($B113-1)^Paramètres!$B$14,-1)</f>
        <v>194400</v>
      </c>
      <c r="E113" s="13" t="str">
        <f aca="false">INDEX(Paramètres!$D$22:$D$26,MATCH($C113,Paramètres!$E$22:$E$26,1))</f>
        <v>adamantite</v>
      </c>
      <c r="F113" s="14" t="n">
        <f aca="false">ROUND(Paramètres!$B$15*$B113^Paramètres!$B$16*INDEX(Bâtiments!$G$6:$G$15,MATCH($A113,Bâtiments!$A$6:$A$15,0)),0)</f>
        <v>689</v>
      </c>
      <c r="G113" s="14" t="n">
        <f aca="false">IF($C113&gt;=Paramètres!$E$23,ROUND($F113*Paramètres!$B$17,0),0)</f>
        <v>345</v>
      </c>
      <c r="H113" s="25" t="n">
        <f aca="false">ROUND($D113/INDEX(Paramètres!$B$38:$B$57,MATCH(MAX(5,$C113),Paramètres!$A$38:$A$57,1))*60,1)</f>
        <v>24.5</v>
      </c>
      <c r="I113" s="11" t="s">
        <v>200</v>
      </c>
    </row>
    <row r="114" customFormat="false" ht="15" hidden="false" customHeight="false" outlineLevel="0" collapsed="false">
      <c r="A114" s="7" t="s">
        <v>64</v>
      </c>
      <c r="B114" s="15" t="n">
        <v>20</v>
      </c>
      <c r="C114" s="15" t="n">
        <f aca="false">MAX(INDEX(Bâtiments!$D$6:$D$15,MATCH($A114,Bâtiments!$A$6:$A$15,0)),INDEX(Paramètres!$E$22:$E$26,MATCH($B114,Paramètres!$B$22:$B$26,1)),_xlfn.MAXIFS(Production!$E$6:$E$35,Production!$A$6:$A$35,$A114,Production!$D$6:$D$35,"&lt;="&amp;$B114))</f>
        <v>70</v>
      </c>
      <c r="D114" s="14" t="n">
        <f aca="false">ROUND(INDEX(Bâtiments!$F$6:$F$15,MATCH($A114,Bâtiments!$A$6:$A$15,0))*($B114-1)^Paramètres!$B$14,-1)</f>
        <v>216600</v>
      </c>
      <c r="E114" s="13" t="str">
        <f aca="false">INDEX(Paramètres!$D$22:$D$26,MATCH($C114,Paramètres!$E$22:$E$26,1))</f>
        <v>adamantite</v>
      </c>
      <c r="F114" s="14" t="n">
        <f aca="false">ROUND(Paramètres!$B$15*$B114^Paramètres!$B$16*INDEX(Bâtiments!$G$6:$G$15,MATCH($A114,Bâtiments!$A$6:$A$15,0)),0)</f>
        <v>737</v>
      </c>
      <c r="G114" s="14" t="n">
        <f aca="false">IF($C114&gt;=Paramètres!$E$23,ROUND($F114*Paramètres!$B$17,0),0)</f>
        <v>369</v>
      </c>
      <c r="H114" s="25" t="n">
        <f aca="false">ROUND($D114/INDEX(Paramètres!$B$38:$B$57,MATCH(MAX(5,$C114),Paramètres!$A$38:$A$57,1))*60,1)</f>
        <v>27.3</v>
      </c>
      <c r="I114" s="11" t="s">
        <v>200</v>
      </c>
    </row>
    <row r="115" customFormat="false" ht="15" hidden="false" customHeight="false" outlineLevel="0" collapsed="false">
      <c r="A115" s="19" t="s">
        <v>67</v>
      </c>
      <c r="B115" s="20" t="n">
        <v>2</v>
      </c>
      <c r="C115" s="9" t="n">
        <v>30</v>
      </c>
      <c r="D115" s="21" t="n">
        <f aca="false">ROUND(INDEX(Bâtiments!$F$6:$F$15,MATCH($A115,Bâtiments!$A$6:$A$15,0))*($B115-1)^Paramètres!$B$14,-1)</f>
        <v>10000</v>
      </c>
      <c r="E115" s="22" t="str">
        <f aca="false">INDEX(Paramètres!$D$22:$D$26,MATCH($C115,Paramètres!$E$22:$E$26,1))</f>
        <v>acier</v>
      </c>
      <c r="F115" s="21" t="n">
        <f aca="false">ROUND(Paramètres!$B$15*$B115^Paramètres!$B$16*INDEX(Bâtiments!$G$6:$G$15,MATCH($A115,Bâtiments!$A$6:$A$15,0)),0)</f>
        <v>148</v>
      </c>
      <c r="G115" s="21" t="n">
        <f aca="false">IF($C115&gt;=Paramètres!$E$23,ROUND($F115*Paramètres!$B$17,0),0)</f>
        <v>74</v>
      </c>
      <c r="H115" s="23" t="n">
        <f aca="false">ROUND($D115/INDEX(Paramètres!$B$38:$B$57,MATCH(MAX(5,$C115),Paramètres!$A$38:$A$57,1))*60,1)</f>
        <v>3.9</v>
      </c>
      <c r="I115" s="24" t="s">
        <v>213</v>
      </c>
    </row>
    <row r="116" customFormat="false" ht="15" hidden="false" customHeight="false" outlineLevel="0" collapsed="false">
      <c r="A116" s="19" t="s">
        <v>67</v>
      </c>
      <c r="B116" s="20" t="n">
        <v>3</v>
      </c>
      <c r="C116" s="9" t="n">
        <v>50</v>
      </c>
      <c r="D116" s="21" t="n">
        <f aca="false">ROUND(INDEX(Bâtiments!$F$6:$F$15,MATCH($A116,Bâtiments!$A$6:$A$15,0))*($B116-1)^Paramètres!$B$14,-1)</f>
        <v>40000</v>
      </c>
      <c r="E116" s="22" t="str">
        <f aca="false">INDEX(Paramètres!$D$22:$D$26,MATCH($C116,Paramètres!$E$22:$E$26,1))</f>
        <v>mithril</v>
      </c>
      <c r="F116" s="21" t="n">
        <f aca="false">ROUND(Paramètres!$B$15*$B116^Paramètres!$B$16*INDEX(Bâtiments!$G$6:$G$15,MATCH($A116,Bâtiments!$A$6:$A$15,0)),0)</f>
        <v>250</v>
      </c>
      <c r="G116" s="21" t="n">
        <f aca="false">IF($C116&gt;=Paramètres!$E$23,ROUND($F116*Paramètres!$B$17,0),0)</f>
        <v>125</v>
      </c>
      <c r="H116" s="23" t="n">
        <f aca="false">ROUND($D116/INDEX(Paramètres!$B$38:$B$57,MATCH(MAX(5,$C116),Paramètres!$A$38:$A$57,1))*60,1)</f>
        <v>10.7</v>
      </c>
      <c r="I116" s="24" t="s">
        <v>214</v>
      </c>
    </row>
    <row r="117" customFormat="false" ht="15" hidden="false" customHeight="false" outlineLevel="0" collapsed="false">
      <c r="A117" s="19" t="s">
        <v>67</v>
      </c>
      <c r="B117" s="20" t="n">
        <v>4</v>
      </c>
      <c r="C117" s="9" t="n">
        <v>70</v>
      </c>
      <c r="D117" s="21" t="n">
        <f aca="false">ROUND(INDEX(Bâtiments!$F$6:$F$15,MATCH($A117,Bâtiments!$A$6:$A$15,0))*($B117-1)^Paramètres!$B$14,-1)</f>
        <v>90000</v>
      </c>
      <c r="E117" s="22" t="str">
        <f aca="false">INDEX(Paramètres!$D$22:$D$26,MATCH($C117,Paramètres!$E$22:$E$26,1))</f>
        <v>adamantite</v>
      </c>
      <c r="F117" s="21" t="n">
        <f aca="false">ROUND(Paramètres!$B$15*$B117^Paramètres!$B$16*INDEX(Bâtiments!$G$6:$G$15,MATCH($A117,Bâtiments!$A$6:$A$15,0)),0)</f>
        <v>364</v>
      </c>
      <c r="G117" s="21" t="n">
        <f aca="false">IF($C117&gt;=Paramètres!$E$23,ROUND($F117*Paramètres!$B$17,0),0)</f>
        <v>182</v>
      </c>
      <c r="H117" s="23" t="n">
        <f aca="false">ROUND($D117/INDEX(Paramètres!$B$38:$B$57,MATCH(MAX(5,$C117),Paramètres!$A$38:$A$57,1))*60,1)</f>
        <v>11.3</v>
      </c>
      <c r="I117" s="24" t="s">
        <v>215</v>
      </c>
    </row>
    <row r="118" customFormat="false" ht="15" hidden="false" customHeight="false" outlineLevel="0" collapsed="false">
      <c r="A118" s="19" t="s">
        <v>67</v>
      </c>
      <c r="B118" s="20" t="n">
        <v>5</v>
      </c>
      <c r="C118" s="9" t="n">
        <v>85</v>
      </c>
      <c r="D118" s="21" t="n">
        <f aca="false">ROUND(INDEX(Bâtiments!$F$6:$F$15,MATCH($A118,Bâtiments!$A$6:$A$15,0))*($B118-1)^Paramètres!$B$14,-1)</f>
        <v>160000</v>
      </c>
      <c r="E118" s="22" t="str">
        <f aca="false">INDEX(Paramètres!$D$22:$D$26,MATCH($C118,Paramètres!$E$22:$E$26,1))</f>
        <v>adamantite</v>
      </c>
      <c r="F118" s="21" t="n">
        <f aca="false">ROUND(Paramètres!$B$15*$B118^Paramètres!$B$16*INDEX(Bâtiments!$G$6:$G$15,MATCH($A118,Bâtiments!$A$6:$A$15,0)),0)</f>
        <v>486</v>
      </c>
      <c r="G118" s="21" t="n">
        <f aca="false">IF($C118&gt;=Paramètres!$E$23,ROUND($F118*Paramètres!$B$17,0),0)</f>
        <v>243</v>
      </c>
      <c r="H118" s="23" t="n">
        <f aca="false">ROUND($D118/INDEX(Paramètres!$B$38:$B$57,MATCH(MAX(5,$C118),Paramètres!$A$38:$A$57,1))*60,1)</f>
        <v>19.4</v>
      </c>
      <c r="I118" s="24" t="s">
        <v>216</v>
      </c>
    </row>
    <row r="119" customFormat="false" ht="15" hidden="false" customHeight="false" outlineLevel="0" collapsed="false">
      <c r="A119" s="7" t="s">
        <v>71</v>
      </c>
      <c r="B119" s="15" t="n">
        <v>2</v>
      </c>
      <c r="C119" s="9" t="n">
        <v>90</v>
      </c>
      <c r="D119" s="14" t="n">
        <f aca="false">ROUND(INDEX(Bâtiments!$F$6:$F$15,MATCH($A119,Bâtiments!$A$6:$A$15,0))*($B119-1)^Paramètres!$B$14,-1)</f>
        <v>50000</v>
      </c>
      <c r="E119" s="13" t="str">
        <f aca="false">INDEX(Paramètres!$D$22:$D$26,MATCH($C119,Paramètres!$E$22:$E$26,1))</f>
        <v>adamantite</v>
      </c>
      <c r="F119" s="14" t="n">
        <f aca="false">ROUND(Paramètres!$B$15*$B119^Paramètres!$B$16*INDEX(Bâtiments!$G$6:$G$15,MATCH($A119,Bâtiments!$A$6:$A$15,0)),0)</f>
        <v>222</v>
      </c>
      <c r="G119" s="14" t="n">
        <f aca="false">IF($C119&gt;=Paramètres!$E$23,ROUND($F119*Paramètres!$B$17,0),0)</f>
        <v>111</v>
      </c>
      <c r="H119" s="25" t="n">
        <f aca="false">ROUND($D119/INDEX(Paramètres!$B$38:$B$57,MATCH(MAX(5,$C119),Paramètres!$A$38:$A$57,1))*60,1)</f>
        <v>4.7</v>
      </c>
      <c r="I119" s="11" t="s">
        <v>217</v>
      </c>
    </row>
    <row r="120" customFormat="false" ht="15" hidden="false" customHeight="false" outlineLevel="0" collapsed="false">
      <c r="A120" s="7" t="s">
        <v>71</v>
      </c>
      <c r="B120" s="15" t="n">
        <v>3</v>
      </c>
      <c r="C120" s="9" t="n">
        <v>95</v>
      </c>
      <c r="D120" s="14" t="n">
        <f aca="false">ROUND(INDEX(Bâtiments!$F$6:$F$15,MATCH($A120,Bâtiments!$A$6:$A$15,0))*($B120-1)^Paramètres!$B$14,-1)</f>
        <v>200000</v>
      </c>
      <c r="E120" s="13" t="str">
        <f aca="false">INDEX(Paramètres!$D$22:$D$26,MATCH($C120,Paramètres!$E$22:$E$26,1))</f>
        <v>adamantite</v>
      </c>
      <c r="F120" s="14" t="n">
        <f aca="false">ROUND(Paramètres!$B$15*$B120^Paramètres!$B$16*INDEX(Bâtiments!$G$6:$G$15,MATCH($A120,Bâtiments!$A$6:$A$15,0)),0)</f>
        <v>375</v>
      </c>
      <c r="G120" s="14" t="n">
        <f aca="false">IF($C120&gt;=Paramètres!$E$23,ROUND($F120*Paramètres!$B$17,0),0)</f>
        <v>188</v>
      </c>
      <c r="H120" s="25" t="n">
        <f aca="false">ROUND($D120/INDEX(Paramètres!$B$38:$B$57,MATCH(MAX(5,$C120),Paramètres!$A$38:$A$57,1))*60,1)</f>
        <v>21.4</v>
      </c>
      <c r="I120" s="11" t="s">
        <v>218</v>
      </c>
    </row>
    <row r="121" customFormat="false" ht="15" hidden="false" customHeight="false" outlineLevel="0" collapsed="false">
      <c r="A121" s="7" t="s">
        <v>71</v>
      </c>
      <c r="B121" s="15" t="n">
        <v>4</v>
      </c>
      <c r="C121" s="9" t="n">
        <v>100</v>
      </c>
      <c r="D121" s="14" t="n">
        <f aca="false">ROUND(INDEX(Bâtiments!$F$6:$F$15,MATCH($A121,Bâtiments!$A$6:$A$15,0))*($B121-1)^Paramètres!$B$14,-1)</f>
        <v>450000</v>
      </c>
      <c r="E121" s="13" t="str">
        <f aca="false">INDEX(Paramètres!$D$22:$D$26,MATCH($C121,Paramètres!$E$22:$E$26,1))</f>
        <v>adamantite</v>
      </c>
      <c r="F121" s="14" t="n">
        <f aca="false">ROUND(Paramètres!$B$15*$B121^Paramètres!$B$16*INDEX(Bâtiments!$G$6:$G$15,MATCH($A121,Bâtiments!$A$6:$A$15,0)),0)</f>
        <v>546</v>
      </c>
      <c r="G121" s="14" t="n">
        <f aca="false">IF($C121&gt;=Paramètres!$E$23,ROUND($F121*Paramètres!$B$17,0),0)</f>
        <v>273</v>
      </c>
      <c r="H121" s="25" t="n">
        <f aca="false">ROUND($D121/INDEX(Paramètres!$B$38:$B$57,MATCH(MAX(5,$C121),Paramètres!$A$38:$A$57,1))*60,1)</f>
        <v>39</v>
      </c>
      <c r="I121" s="11" t="s">
        <v>219</v>
      </c>
    </row>
    <row r="122" customFormat="false" ht="15" hidden="false" customHeight="false" outlineLevel="0" collapsed="false">
      <c r="A122" s="7" t="s">
        <v>71</v>
      </c>
      <c r="B122" s="15" t="n">
        <v>5</v>
      </c>
      <c r="C122" s="9" t="n">
        <v>100</v>
      </c>
      <c r="D122" s="14" t="n">
        <f aca="false">ROUND(INDEX(Bâtiments!$F$6:$F$15,MATCH($A122,Bâtiments!$A$6:$A$15,0))*($B122-1)^Paramètres!$B$14,-1)</f>
        <v>800000</v>
      </c>
      <c r="E122" s="13" t="str">
        <f aca="false">INDEX(Paramètres!$D$22:$D$26,MATCH($C122,Paramètres!$E$22:$E$26,1))</f>
        <v>adamantite</v>
      </c>
      <c r="F122" s="14" t="n">
        <f aca="false">ROUND(Paramètres!$B$15*$B122^Paramètres!$B$16*INDEX(Bâtiments!$G$6:$G$15,MATCH($A122,Bâtiments!$A$6:$A$15,0)),0)</f>
        <v>729</v>
      </c>
      <c r="G122" s="14" t="n">
        <f aca="false">IF($C122&gt;=Paramètres!$E$23,ROUND($F122*Paramètres!$B$17,0),0)</f>
        <v>365</v>
      </c>
      <c r="H122" s="25" t="n">
        <f aca="false">ROUND($D122/INDEX(Paramètres!$B$38:$B$57,MATCH(MAX(5,$C122),Paramètres!$A$38:$A$57,1))*60,1)</f>
        <v>69.4</v>
      </c>
      <c r="I122" s="11" t="s">
        <v>220</v>
      </c>
    </row>
    <row r="124" customFormat="false" ht="15" hidden="false" customHeight="false" outlineLevel="0" collapsed="false">
      <c r="A124" s="12" t="s">
        <v>221</v>
      </c>
    </row>
  </sheetData>
  <autoFilter ref="A5:I1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6" min="6" style="0" width="22"/>
    <col collapsed="false" customWidth="true" hidden="false" outlineLevel="0" max="7" min="7" style="0" width="60"/>
  </cols>
  <sheetData>
    <row r="1" customFormat="false" ht="17.35" hidden="false" customHeight="false" outlineLevel="0" collapsed="false">
      <c r="A1" s="1" t="s">
        <v>222</v>
      </c>
    </row>
    <row r="2" customFormat="false" ht="15" hidden="false" customHeight="false" outlineLevel="0" collapsed="false">
      <c r="A2" s="2" t="s">
        <v>223</v>
      </c>
    </row>
    <row r="5" customFormat="false" ht="30" hidden="false" customHeight="true" outlineLevel="0" collapsed="false">
      <c r="A5" s="6" t="s">
        <v>224</v>
      </c>
      <c r="B5" s="6" t="s">
        <v>225</v>
      </c>
      <c r="C5" s="6" t="s">
        <v>226</v>
      </c>
      <c r="D5" s="6" t="s">
        <v>43</v>
      </c>
      <c r="E5" s="6" t="s">
        <v>227</v>
      </c>
      <c r="F5" s="6" t="s">
        <v>228</v>
      </c>
      <c r="G5" s="6" t="s">
        <v>7</v>
      </c>
    </row>
    <row r="6" customFormat="false" ht="15" hidden="false" customHeight="false" outlineLevel="0" collapsed="false">
      <c r="A6" s="7" t="s">
        <v>229</v>
      </c>
      <c r="B6" s="26" t="n">
        <v>0.01</v>
      </c>
      <c r="C6" s="13" t="s">
        <v>230</v>
      </c>
      <c r="D6" s="9" t="n">
        <v>20</v>
      </c>
      <c r="E6" s="27" t="n">
        <f aca="false">B6*D6</f>
        <v>0.2</v>
      </c>
      <c r="F6" s="8" t="s">
        <v>169</v>
      </c>
      <c r="G6" s="11" t="s">
        <v>231</v>
      </c>
    </row>
    <row r="7" customFormat="false" ht="15" hidden="false" customHeight="false" outlineLevel="0" collapsed="false">
      <c r="A7" s="7" t="s">
        <v>232</v>
      </c>
      <c r="B7" s="26" t="n">
        <v>0.01</v>
      </c>
      <c r="C7" s="13" t="s">
        <v>230</v>
      </c>
      <c r="D7" s="9" t="n">
        <v>20</v>
      </c>
      <c r="E7" s="27" t="n">
        <f aca="false">B7*D7</f>
        <v>0.2</v>
      </c>
      <c r="F7" s="8" t="s">
        <v>143</v>
      </c>
      <c r="G7" s="11" t="s">
        <v>233</v>
      </c>
    </row>
    <row r="8" customFormat="false" ht="15" hidden="false" customHeight="false" outlineLevel="0" collapsed="false">
      <c r="A8" s="7" t="s">
        <v>234</v>
      </c>
      <c r="B8" s="26" t="n">
        <v>0.01</v>
      </c>
      <c r="C8" s="13" t="s">
        <v>230</v>
      </c>
      <c r="D8" s="9" t="n">
        <v>20</v>
      </c>
      <c r="E8" s="27" t="n">
        <f aca="false">B8*D8</f>
        <v>0.2</v>
      </c>
      <c r="F8" s="8" t="s">
        <v>173</v>
      </c>
      <c r="G8" s="11" t="s">
        <v>235</v>
      </c>
    </row>
    <row r="9" customFormat="false" ht="15" hidden="false" customHeight="false" outlineLevel="0" collapsed="false">
      <c r="A9" s="7" t="s">
        <v>236</v>
      </c>
      <c r="B9" s="26" t="n">
        <v>0.05</v>
      </c>
      <c r="C9" s="13" t="s">
        <v>230</v>
      </c>
      <c r="D9" s="9" t="n">
        <v>20</v>
      </c>
      <c r="E9" s="27" t="n">
        <f aca="false">B9*D9</f>
        <v>1</v>
      </c>
      <c r="F9" s="8" t="s">
        <v>171</v>
      </c>
      <c r="G9" s="11" t="s">
        <v>237</v>
      </c>
    </row>
    <row r="10" customFormat="false" ht="15" hidden="false" customHeight="false" outlineLevel="0" collapsed="false">
      <c r="A10" s="7" t="s">
        <v>238</v>
      </c>
      <c r="B10" s="28" t="n">
        <v>1</v>
      </c>
      <c r="C10" s="13" t="s">
        <v>239</v>
      </c>
      <c r="D10" s="9" t="n">
        <v>8</v>
      </c>
      <c r="E10" s="29" t="n">
        <f aca="false">B10*D10</f>
        <v>8</v>
      </c>
      <c r="F10" s="8" t="s">
        <v>135</v>
      </c>
      <c r="G10" s="11" t="s">
        <v>240</v>
      </c>
    </row>
    <row r="11" customFormat="false" ht="15" hidden="false" customHeight="false" outlineLevel="0" collapsed="false">
      <c r="A11" s="7" t="s">
        <v>241</v>
      </c>
      <c r="B11" s="26" t="n">
        <v>0.02</v>
      </c>
      <c r="C11" s="13" t="s">
        <v>230</v>
      </c>
      <c r="D11" s="9" t="n">
        <v>20</v>
      </c>
      <c r="E11" s="27" t="n">
        <f aca="false">B11*D11</f>
        <v>0.4</v>
      </c>
      <c r="F11" s="8" t="s">
        <v>145</v>
      </c>
      <c r="G11" s="11" t="s">
        <v>242</v>
      </c>
    </row>
    <row r="13" customFormat="false" ht="15" hidden="false" customHeight="false" outlineLevel="0" collapsed="false">
      <c r="A13" s="17" t="s">
        <v>243</v>
      </c>
      <c r="B13" s="17"/>
      <c r="C13" s="17"/>
      <c r="D13" s="17"/>
      <c r="E13" s="17"/>
      <c r="F13" s="17"/>
      <c r="G13" s="17"/>
    </row>
    <row r="14" customFormat="false" ht="15" hidden="false" customHeight="false" outlineLevel="0" collapsed="false">
      <c r="A14" s="13" t="s">
        <v>244</v>
      </c>
      <c r="B14" s="10" t="n">
        <v>50000</v>
      </c>
    </row>
    <row r="15" customFormat="false" ht="15" hidden="false" customHeight="false" outlineLevel="0" collapsed="false">
      <c r="A15" s="13" t="s">
        <v>245</v>
      </c>
      <c r="B15" s="30" t="n">
        <v>1.3</v>
      </c>
    </row>
    <row r="16" customFormat="false" ht="15" hidden="false" customHeight="false" outlineLevel="0" collapsed="false">
      <c r="A16" s="13" t="s">
        <v>246</v>
      </c>
      <c r="B16" s="10" t="n">
        <v>50</v>
      </c>
    </row>
    <row r="17" customFormat="false" ht="15" hidden="false" customHeight="false" outlineLevel="0" collapsed="false">
      <c r="A17" s="13" t="s">
        <v>247</v>
      </c>
      <c r="B17" s="10" t="n">
        <v>80</v>
      </c>
    </row>
    <row r="18" customFormat="false" ht="15" hidden="false" customHeight="false" outlineLevel="0" collapsed="false">
      <c r="A18" s="13" t="s">
        <v>248</v>
      </c>
      <c r="B18" s="30" t="n">
        <v>1.3</v>
      </c>
    </row>
    <row r="20" customFormat="false" ht="30" hidden="false" customHeight="true" outlineLevel="0" collapsed="false">
      <c r="A20" s="6" t="s">
        <v>194</v>
      </c>
      <c r="B20" s="6" t="s">
        <v>195</v>
      </c>
      <c r="C20" s="6" t="s">
        <v>249</v>
      </c>
      <c r="D20" s="6" t="s">
        <v>250</v>
      </c>
      <c r="E20" s="6" t="s">
        <v>251</v>
      </c>
      <c r="F20" s="6" t="s">
        <v>252</v>
      </c>
      <c r="G20" s="6" t="s">
        <v>253</v>
      </c>
    </row>
    <row r="21" customFormat="false" ht="15" hidden="false" customHeight="false" outlineLevel="0" collapsed="false">
      <c r="A21" s="15" t="n">
        <v>1</v>
      </c>
      <c r="B21" s="14" t="n">
        <f aca="false">ROUND($B$14*A21^$B$15,-3)</f>
        <v>50000</v>
      </c>
      <c r="C21" s="14" t="n">
        <f aca="false">ROUND($B$16*A21^$B$18,0)</f>
        <v>50</v>
      </c>
      <c r="D21" s="14" t="n">
        <f aca="false">ROUND($B$17*A21^$B$18,0)</f>
        <v>80</v>
      </c>
      <c r="E21" s="25" t="n">
        <f aca="false">ROUND(B21/INDEX(Paramètres!$B$38:$B$57,MATCH(100,Paramètres!$A$38:$A$57,1))*60,1)</f>
        <v>4.3</v>
      </c>
      <c r="F21" s="14" t="n">
        <f aca="false">SUM($B$21:B21)</f>
        <v>50000</v>
      </c>
      <c r="G21" s="14" t="n">
        <f aca="false">SUM($C$21:C21)</f>
        <v>50</v>
      </c>
    </row>
    <row r="22" customFormat="false" ht="15" hidden="false" customHeight="false" outlineLevel="0" collapsed="false">
      <c r="A22" s="15" t="n">
        <v>2</v>
      </c>
      <c r="B22" s="14" t="n">
        <f aca="false">ROUND($B$14*A22^$B$15,-3)</f>
        <v>123000</v>
      </c>
      <c r="C22" s="14" t="n">
        <f aca="false">ROUND($B$16*A22^$B$18,0)</f>
        <v>123</v>
      </c>
      <c r="D22" s="14" t="n">
        <f aca="false">ROUND($B$17*A22^$B$18,0)</f>
        <v>197</v>
      </c>
      <c r="E22" s="25" t="n">
        <f aca="false">ROUND(B22/INDEX(Paramètres!$B$38:$B$57,MATCH(100,Paramètres!$A$38:$A$57,1))*60,1)</f>
        <v>10.7</v>
      </c>
      <c r="F22" s="14" t="n">
        <f aca="false">SUM($B$21:B22)</f>
        <v>173000</v>
      </c>
      <c r="G22" s="14" t="n">
        <f aca="false">SUM($C$21:C22)</f>
        <v>173</v>
      </c>
    </row>
    <row r="23" customFormat="false" ht="15" hidden="false" customHeight="false" outlineLevel="0" collapsed="false">
      <c r="A23" s="15" t="n">
        <v>3</v>
      </c>
      <c r="B23" s="14" t="n">
        <f aca="false">ROUND($B$14*A23^$B$15,-3)</f>
        <v>209000</v>
      </c>
      <c r="C23" s="14" t="n">
        <f aca="false">ROUND($B$16*A23^$B$18,0)</f>
        <v>209</v>
      </c>
      <c r="D23" s="14" t="n">
        <f aca="false">ROUND($B$17*A23^$B$18,0)</f>
        <v>334</v>
      </c>
      <c r="E23" s="25" t="n">
        <f aca="false">ROUND(B23/INDEX(Paramètres!$B$38:$B$57,MATCH(100,Paramètres!$A$38:$A$57,1))*60,1)</f>
        <v>18.1</v>
      </c>
      <c r="F23" s="14" t="n">
        <f aca="false">SUM($B$21:B23)</f>
        <v>382000</v>
      </c>
      <c r="G23" s="14" t="n">
        <f aca="false">SUM($C$21:C23)</f>
        <v>382</v>
      </c>
    </row>
    <row r="24" customFormat="false" ht="15" hidden="false" customHeight="false" outlineLevel="0" collapsed="false">
      <c r="A24" s="15" t="n">
        <v>4</v>
      </c>
      <c r="B24" s="14" t="n">
        <f aca="false">ROUND($B$14*A24^$B$15,-3)</f>
        <v>303000</v>
      </c>
      <c r="C24" s="14" t="n">
        <f aca="false">ROUND($B$16*A24^$B$18,0)</f>
        <v>303</v>
      </c>
      <c r="D24" s="14" t="n">
        <f aca="false">ROUND($B$17*A24^$B$18,0)</f>
        <v>485</v>
      </c>
      <c r="E24" s="25" t="n">
        <f aca="false">ROUND(B24/INDEX(Paramètres!$B$38:$B$57,MATCH(100,Paramètres!$A$38:$A$57,1))*60,1)</f>
        <v>26.3</v>
      </c>
      <c r="F24" s="14" t="n">
        <f aca="false">SUM($B$21:B24)</f>
        <v>685000</v>
      </c>
      <c r="G24" s="14" t="n">
        <f aca="false">SUM($C$21:C24)</f>
        <v>685</v>
      </c>
    </row>
    <row r="25" customFormat="false" ht="15" hidden="false" customHeight="false" outlineLevel="0" collapsed="false">
      <c r="A25" s="15" t="n">
        <v>5</v>
      </c>
      <c r="B25" s="14" t="n">
        <f aca="false">ROUND($B$14*A25^$B$15,-3)</f>
        <v>405000</v>
      </c>
      <c r="C25" s="14" t="n">
        <f aca="false">ROUND($B$16*A25^$B$18,0)</f>
        <v>405</v>
      </c>
      <c r="D25" s="14" t="n">
        <f aca="false">ROUND($B$17*A25^$B$18,0)</f>
        <v>648</v>
      </c>
      <c r="E25" s="25" t="n">
        <f aca="false">ROUND(B25/INDEX(Paramètres!$B$38:$B$57,MATCH(100,Paramètres!$A$38:$A$57,1))*60,1)</f>
        <v>35.1</v>
      </c>
      <c r="F25" s="14" t="n">
        <f aca="false">SUM($B$21:B25)</f>
        <v>1090000</v>
      </c>
      <c r="G25" s="14" t="n">
        <f aca="false">SUM($C$21:C25)</f>
        <v>1090</v>
      </c>
    </row>
    <row r="26" customFormat="false" ht="15" hidden="false" customHeight="false" outlineLevel="0" collapsed="false">
      <c r="A26" s="15" t="n">
        <v>6</v>
      </c>
      <c r="B26" s="14" t="n">
        <f aca="false">ROUND($B$14*A26^$B$15,-3)</f>
        <v>514000</v>
      </c>
      <c r="C26" s="14" t="n">
        <f aca="false">ROUND($B$16*A26^$B$18,0)</f>
        <v>514</v>
      </c>
      <c r="D26" s="14" t="n">
        <f aca="false">ROUND($B$17*A26^$B$18,0)</f>
        <v>822</v>
      </c>
      <c r="E26" s="25" t="n">
        <f aca="false">ROUND(B26/INDEX(Paramètres!$B$38:$B$57,MATCH(100,Paramètres!$A$38:$A$57,1))*60,1)</f>
        <v>44.6</v>
      </c>
      <c r="F26" s="14" t="n">
        <f aca="false">SUM($B$21:B26)</f>
        <v>1604000</v>
      </c>
      <c r="G26" s="14" t="n">
        <f aca="false">SUM($C$21:C26)</f>
        <v>1604</v>
      </c>
    </row>
    <row r="27" customFormat="false" ht="15" hidden="false" customHeight="false" outlineLevel="0" collapsed="false">
      <c r="A27" s="15" t="n">
        <v>7</v>
      </c>
      <c r="B27" s="14" t="n">
        <f aca="false">ROUND($B$14*A27^$B$15,-3)</f>
        <v>627000</v>
      </c>
      <c r="C27" s="14" t="n">
        <f aca="false">ROUND($B$16*A27^$B$18,0)</f>
        <v>627</v>
      </c>
      <c r="D27" s="14" t="n">
        <f aca="false">ROUND($B$17*A27^$B$18,0)</f>
        <v>1004</v>
      </c>
      <c r="E27" s="25" t="n">
        <f aca="false">ROUND(B27/INDEX(Paramètres!$B$38:$B$57,MATCH(100,Paramètres!$A$38:$A$57,1))*60,1)</f>
        <v>54.4</v>
      </c>
      <c r="F27" s="14" t="n">
        <f aca="false">SUM($B$21:B27)</f>
        <v>2231000</v>
      </c>
      <c r="G27" s="14" t="n">
        <f aca="false">SUM($C$21:C27)</f>
        <v>2231</v>
      </c>
    </row>
    <row r="28" customFormat="false" ht="15" hidden="false" customHeight="false" outlineLevel="0" collapsed="false">
      <c r="A28" s="15" t="n">
        <v>8</v>
      </c>
      <c r="B28" s="14" t="n">
        <f aca="false">ROUND($B$14*A28^$B$15,-3)</f>
        <v>746000</v>
      </c>
      <c r="C28" s="14" t="n">
        <f aca="false">ROUND($B$16*A28^$B$18,0)</f>
        <v>746</v>
      </c>
      <c r="D28" s="14" t="n">
        <f aca="false">ROUND($B$17*A28^$B$18,0)</f>
        <v>1194</v>
      </c>
      <c r="E28" s="25" t="n">
        <f aca="false">ROUND(B28/INDEX(Paramètres!$B$38:$B$57,MATCH(100,Paramètres!$A$38:$A$57,1))*60,1)</f>
        <v>64.7</v>
      </c>
      <c r="F28" s="14" t="n">
        <f aca="false">SUM($B$21:B28)</f>
        <v>2977000</v>
      </c>
      <c r="G28" s="14" t="n">
        <f aca="false">SUM($C$21:C28)</f>
        <v>2977</v>
      </c>
    </row>
    <row r="29" customFormat="false" ht="15" hidden="false" customHeight="false" outlineLevel="0" collapsed="false">
      <c r="A29" s="15" t="n">
        <v>9</v>
      </c>
      <c r="B29" s="14" t="n">
        <f aca="false">ROUND($B$14*A29^$B$15,-3)</f>
        <v>870000</v>
      </c>
      <c r="C29" s="14" t="n">
        <f aca="false">ROUND($B$16*A29^$B$18,0)</f>
        <v>870</v>
      </c>
      <c r="D29" s="14" t="n">
        <f aca="false">ROUND($B$17*A29^$B$18,0)</f>
        <v>1392</v>
      </c>
      <c r="E29" s="25" t="n">
        <f aca="false">ROUND(B29/INDEX(Paramètres!$B$38:$B$57,MATCH(100,Paramètres!$A$38:$A$57,1))*60,1)</f>
        <v>75.5</v>
      </c>
      <c r="F29" s="14" t="n">
        <f aca="false">SUM($B$21:B29)</f>
        <v>3847000</v>
      </c>
      <c r="G29" s="14" t="n">
        <f aca="false">SUM($C$21:C29)</f>
        <v>3847</v>
      </c>
    </row>
    <row r="30" customFormat="false" ht="15" hidden="false" customHeight="false" outlineLevel="0" collapsed="false">
      <c r="A30" s="15" t="n">
        <v>10</v>
      </c>
      <c r="B30" s="14" t="n">
        <f aca="false">ROUND($B$14*A30^$B$15,-3)</f>
        <v>998000</v>
      </c>
      <c r="C30" s="14" t="n">
        <f aca="false">ROUND($B$16*A30^$B$18,0)</f>
        <v>998</v>
      </c>
      <c r="D30" s="14" t="n">
        <f aca="false">ROUND($B$17*A30^$B$18,0)</f>
        <v>1596</v>
      </c>
      <c r="E30" s="25" t="n">
        <f aca="false">ROUND(B30/INDEX(Paramètres!$B$38:$B$57,MATCH(100,Paramètres!$A$38:$A$57,1))*60,1)</f>
        <v>86.6</v>
      </c>
      <c r="F30" s="14" t="n">
        <f aca="false">SUM($B$21:B30)</f>
        <v>4845000</v>
      </c>
      <c r="G30" s="14" t="n">
        <f aca="false">SUM($C$21:C30)</f>
        <v>4845</v>
      </c>
    </row>
    <row r="31" customFormat="false" ht="15" hidden="false" customHeight="false" outlineLevel="0" collapsed="false">
      <c r="A31" s="15" t="n">
        <v>11</v>
      </c>
      <c r="B31" s="14" t="n">
        <f aca="false">ROUND($B$14*A31^$B$15,-3)</f>
        <v>1129000</v>
      </c>
      <c r="C31" s="14" t="n">
        <f aca="false">ROUND($B$16*A31^$B$18,0)</f>
        <v>1129</v>
      </c>
      <c r="D31" s="14" t="n">
        <f aca="false">ROUND($B$17*A31^$B$18,0)</f>
        <v>1807</v>
      </c>
      <c r="E31" s="25" t="n">
        <f aca="false">ROUND(B31/INDEX(Paramètres!$B$38:$B$57,MATCH(100,Paramètres!$A$38:$A$57,1))*60,1)</f>
        <v>97.9</v>
      </c>
      <c r="F31" s="14" t="n">
        <f aca="false">SUM($B$21:B31)</f>
        <v>5974000</v>
      </c>
      <c r="G31" s="14" t="n">
        <f aca="false">SUM($C$21:C31)</f>
        <v>5974</v>
      </c>
    </row>
    <row r="32" customFormat="false" ht="15" hidden="false" customHeight="false" outlineLevel="0" collapsed="false">
      <c r="A32" s="15" t="n">
        <v>12</v>
      </c>
      <c r="B32" s="14" t="n">
        <f aca="false">ROUND($B$14*A32^$B$15,-3)</f>
        <v>1264000</v>
      </c>
      <c r="C32" s="14" t="n">
        <f aca="false">ROUND($B$16*A32^$B$18,0)</f>
        <v>1264</v>
      </c>
      <c r="D32" s="14" t="n">
        <f aca="false">ROUND($B$17*A32^$B$18,0)</f>
        <v>2023</v>
      </c>
      <c r="E32" s="25" t="n">
        <f aca="false">ROUND(B32/INDEX(Paramètres!$B$38:$B$57,MATCH(100,Paramètres!$A$38:$A$57,1))*60,1)</f>
        <v>109.6</v>
      </c>
      <c r="F32" s="14" t="n">
        <f aca="false">SUM($B$21:B32)</f>
        <v>7238000</v>
      </c>
      <c r="G32" s="14" t="n">
        <f aca="false">SUM($C$21:C32)</f>
        <v>7238</v>
      </c>
    </row>
    <row r="33" customFormat="false" ht="15" hidden="false" customHeight="false" outlineLevel="0" collapsed="false">
      <c r="A33" s="15" t="n">
        <v>13</v>
      </c>
      <c r="B33" s="14" t="n">
        <f aca="false">ROUND($B$14*A33^$B$15,-3)</f>
        <v>1403000</v>
      </c>
      <c r="C33" s="14" t="n">
        <f aca="false">ROUND($B$16*A33^$B$18,0)</f>
        <v>1403</v>
      </c>
      <c r="D33" s="14" t="n">
        <f aca="false">ROUND($B$17*A33^$B$18,0)</f>
        <v>2245</v>
      </c>
      <c r="E33" s="25" t="n">
        <f aca="false">ROUND(B33/INDEX(Paramètres!$B$38:$B$57,MATCH(100,Paramètres!$A$38:$A$57,1))*60,1)</f>
        <v>121.7</v>
      </c>
      <c r="F33" s="14" t="n">
        <f aca="false">SUM($B$21:B33)</f>
        <v>8641000</v>
      </c>
      <c r="G33" s="14" t="n">
        <f aca="false">SUM($C$21:C33)</f>
        <v>8641</v>
      </c>
    </row>
    <row r="34" customFormat="false" ht="15" hidden="false" customHeight="false" outlineLevel="0" collapsed="false">
      <c r="A34" s="15" t="n">
        <v>14</v>
      </c>
      <c r="B34" s="14" t="n">
        <f aca="false">ROUND($B$14*A34^$B$15,-3)</f>
        <v>1545000</v>
      </c>
      <c r="C34" s="14" t="n">
        <f aca="false">ROUND($B$16*A34^$B$18,0)</f>
        <v>1545</v>
      </c>
      <c r="D34" s="14" t="n">
        <f aca="false">ROUND($B$17*A34^$B$18,0)</f>
        <v>2472</v>
      </c>
      <c r="E34" s="25" t="n">
        <f aca="false">ROUND(B34/INDEX(Paramètres!$B$38:$B$57,MATCH(100,Paramètres!$A$38:$A$57,1))*60,1)</f>
        <v>134</v>
      </c>
      <c r="F34" s="14" t="n">
        <f aca="false">SUM($B$21:B34)</f>
        <v>10186000</v>
      </c>
      <c r="G34" s="14" t="n">
        <f aca="false">SUM($C$21:C34)</f>
        <v>10186</v>
      </c>
    </row>
    <row r="35" customFormat="false" ht="15" hidden="false" customHeight="false" outlineLevel="0" collapsed="false">
      <c r="A35" s="15" t="n">
        <v>15</v>
      </c>
      <c r="B35" s="14" t="n">
        <f aca="false">ROUND($B$14*A35^$B$15,-3)</f>
        <v>1690000</v>
      </c>
      <c r="C35" s="14" t="n">
        <f aca="false">ROUND($B$16*A35^$B$18,0)</f>
        <v>1690</v>
      </c>
      <c r="D35" s="14" t="n">
        <f aca="false">ROUND($B$17*A35^$B$18,0)</f>
        <v>2704</v>
      </c>
      <c r="E35" s="25" t="n">
        <f aca="false">ROUND(B35/INDEX(Paramètres!$B$38:$B$57,MATCH(100,Paramètres!$A$38:$A$57,1))*60,1)</f>
        <v>146.6</v>
      </c>
      <c r="F35" s="14" t="n">
        <f aca="false">SUM($B$21:B35)</f>
        <v>11876000</v>
      </c>
      <c r="G35" s="14" t="n">
        <f aca="false">SUM($C$21:C35)</f>
        <v>11876</v>
      </c>
    </row>
    <row r="36" customFormat="false" ht="15" hidden="false" customHeight="false" outlineLevel="0" collapsed="false">
      <c r="A36" s="15" t="n">
        <v>16</v>
      </c>
      <c r="B36" s="14" t="n">
        <f aca="false">ROUND($B$14*A36^$B$15,-3)</f>
        <v>1838000</v>
      </c>
      <c r="C36" s="14" t="n">
        <f aca="false">ROUND($B$16*A36^$B$18,0)</f>
        <v>1838</v>
      </c>
      <c r="D36" s="14" t="n">
        <f aca="false">ROUND($B$17*A36^$B$18,0)</f>
        <v>2941</v>
      </c>
      <c r="E36" s="25" t="n">
        <f aca="false">ROUND(B36/INDEX(Paramètres!$B$38:$B$57,MATCH(100,Paramètres!$A$38:$A$57,1))*60,1)</f>
        <v>159.4</v>
      </c>
      <c r="F36" s="14" t="n">
        <f aca="false">SUM($B$21:B36)</f>
        <v>13714000</v>
      </c>
      <c r="G36" s="14" t="n">
        <f aca="false">SUM($C$21:C36)</f>
        <v>13714</v>
      </c>
    </row>
    <row r="37" customFormat="false" ht="15" hidden="false" customHeight="false" outlineLevel="0" collapsed="false">
      <c r="A37" s="15" t="n">
        <v>17</v>
      </c>
      <c r="B37" s="14" t="n">
        <f aca="false">ROUND($B$14*A37^$B$15,-3)</f>
        <v>1989000</v>
      </c>
      <c r="C37" s="14" t="n">
        <f aca="false">ROUND($B$16*A37^$B$18,0)</f>
        <v>1989</v>
      </c>
      <c r="D37" s="14" t="n">
        <f aca="false">ROUND($B$17*A37^$B$18,0)</f>
        <v>3182</v>
      </c>
      <c r="E37" s="25" t="n">
        <f aca="false">ROUND(B37/INDEX(Paramètres!$B$38:$B$57,MATCH(100,Paramètres!$A$38:$A$57,1))*60,1)</f>
        <v>172.5</v>
      </c>
      <c r="F37" s="14" t="n">
        <f aca="false">SUM($B$21:B37)</f>
        <v>15703000</v>
      </c>
      <c r="G37" s="14" t="n">
        <f aca="false">SUM($C$21:C37)</f>
        <v>15703</v>
      </c>
    </row>
    <row r="38" customFormat="false" ht="15" hidden="false" customHeight="false" outlineLevel="0" collapsed="false">
      <c r="A38" s="15" t="n">
        <v>18</v>
      </c>
      <c r="B38" s="14" t="n">
        <f aca="false">ROUND($B$14*A38^$B$15,-3)</f>
        <v>2142000</v>
      </c>
      <c r="C38" s="14" t="n">
        <f aca="false">ROUND($B$16*A38^$B$18,0)</f>
        <v>2142</v>
      </c>
      <c r="D38" s="14" t="n">
        <f aca="false">ROUND($B$17*A38^$B$18,0)</f>
        <v>3427</v>
      </c>
      <c r="E38" s="25" t="n">
        <f aca="false">ROUND(B38/INDEX(Paramètres!$B$38:$B$57,MATCH(100,Paramètres!$A$38:$A$57,1))*60,1)</f>
        <v>185.8</v>
      </c>
      <c r="F38" s="14" t="n">
        <f aca="false">SUM($B$21:B38)</f>
        <v>17845000</v>
      </c>
      <c r="G38" s="14" t="n">
        <f aca="false">SUM($C$21:C38)</f>
        <v>17845</v>
      </c>
    </row>
    <row r="39" customFormat="false" ht="15" hidden="false" customHeight="false" outlineLevel="0" collapsed="false">
      <c r="A39" s="15" t="n">
        <v>19</v>
      </c>
      <c r="B39" s="14" t="n">
        <f aca="false">ROUND($B$14*A39^$B$15,-3)</f>
        <v>2298000</v>
      </c>
      <c r="C39" s="14" t="n">
        <f aca="false">ROUND($B$16*A39^$B$18,0)</f>
        <v>2298</v>
      </c>
      <c r="D39" s="14" t="n">
        <f aca="false">ROUND($B$17*A39^$B$18,0)</f>
        <v>3677</v>
      </c>
      <c r="E39" s="25" t="n">
        <f aca="false">ROUND(B39/INDEX(Paramètres!$B$38:$B$57,MATCH(100,Paramètres!$A$38:$A$57,1))*60,1)</f>
        <v>199.3</v>
      </c>
      <c r="F39" s="14" t="n">
        <f aca="false">SUM($B$21:B39)</f>
        <v>20143000</v>
      </c>
      <c r="G39" s="14" t="n">
        <f aca="false">SUM($C$21:C39)</f>
        <v>20143</v>
      </c>
    </row>
    <row r="40" customFormat="false" ht="15" hidden="false" customHeight="false" outlineLevel="0" collapsed="false">
      <c r="A40" s="15" t="n">
        <v>20</v>
      </c>
      <c r="B40" s="14" t="n">
        <f aca="false">ROUND($B$14*A40^$B$15,-3)</f>
        <v>2456000</v>
      </c>
      <c r="C40" s="14" t="n">
        <f aca="false">ROUND($B$16*A40^$B$18,0)</f>
        <v>2456</v>
      </c>
      <c r="D40" s="14" t="n">
        <f aca="false">ROUND($B$17*A40^$B$18,0)</f>
        <v>3930</v>
      </c>
      <c r="E40" s="25" t="n">
        <f aca="false">ROUND(B40/INDEX(Paramètres!$B$38:$B$57,MATCH(100,Paramètres!$A$38:$A$57,1))*60,1)</f>
        <v>213.1</v>
      </c>
      <c r="F40" s="14" t="n">
        <f aca="false">SUM($B$21:B40)</f>
        <v>22599000</v>
      </c>
      <c r="G40" s="14" t="n">
        <f aca="false">SUM($C$21:C40)</f>
        <v>22599</v>
      </c>
    </row>
    <row r="42" customFormat="false" ht="15" hidden="false" customHeight="false" outlineLevel="0" collapsed="false">
      <c r="A42" s="12"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70"/>
    <col collapsed="false" customWidth="true" hidden="false" outlineLevel="0" max="4" min="4" style="0" width="24"/>
    <col collapsed="false" customWidth="true" hidden="false" outlineLevel="0" max="5" min="5" style="0" width="14"/>
  </cols>
  <sheetData>
    <row r="1" customFormat="false" ht="17.35" hidden="false" customHeight="false" outlineLevel="0" collapsed="false">
      <c r="A1" s="1" t="s">
        <v>255</v>
      </c>
    </row>
    <row r="2" customFormat="false" ht="15" hidden="false" customHeight="false" outlineLevel="0" collapsed="false">
      <c r="A2" s="2" t="s">
        <v>256</v>
      </c>
    </row>
    <row r="4" customFormat="false" ht="15" hidden="false" customHeight="false" outlineLevel="0" collapsed="false">
      <c r="A4" s="17" t="s">
        <v>257</v>
      </c>
      <c r="B4" s="17"/>
      <c r="C4" s="17"/>
    </row>
    <row r="5" customFormat="false" ht="15" hidden="false" customHeight="false" outlineLevel="0" collapsed="false">
      <c r="A5" s="13" t="s">
        <v>258</v>
      </c>
      <c r="B5" s="9" t="n">
        <v>60</v>
      </c>
      <c r="C5" s="11" t="s">
        <v>259</v>
      </c>
    </row>
    <row r="6" customFormat="false" ht="23.85" hidden="false" customHeight="false" outlineLevel="0" collapsed="false">
      <c r="A6" s="13" t="s">
        <v>260</v>
      </c>
      <c r="B6" s="9" t="n">
        <v>90</v>
      </c>
      <c r="C6" s="11" t="s">
        <v>261</v>
      </c>
    </row>
    <row r="7" customFormat="false" ht="15" hidden="false" customHeight="false" outlineLevel="0" collapsed="false">
      <c r="A7" s="13" t="s">
        <v>262</v>
      </c>
      <c r="B7" s="9" t="n">
        <v>135</v>
      </c>
      <c r="C7" s="11"/>
    </row>
    <row r="8" customFormat="false" ht="15" hidden="false" customHeight="false" outlineLevel="0" collapsed="false">
      <c r="A8" s="13" t="s">
        <v>263</v>
      </c>
      <c r="B8" s="9" t="n">
        <v>200</v>
      </c>
      <c r="C8" s="11"/>
    </row>
    <row r="9" customFormat="false" ht="15" hidden="false" customHeight="false" outlineLevel="0" collapsed="false">
      <c r="A9" s="13" t="s">
        <v>264</v>
      </c>
      <c r="B9" s="9" t="n">
        <v>300</v>
      </c>
      <c r="C9" s="11"/>
    </row>
    <row r="10" customFormat="false" ht="23.85" hidden="false" customHeight="false" outlineLevel="0" collapsed="false">
      <c r="A10" s="13" t="s">
        <v>265</v>
      </c>
      <c r="B10" s="26" t="n">
        <v>0.12</v>
      </c>
      <c r="C10" s="11" t="s">
        <v>266</v>
      </c>
    </row>
    <row r="11" customFormat="false" ht="23.85" hidden="false" customHeight="false" outlineLevel="0" collapsed="false">
      <c r="A11" s="13" t="s">
        <v>267</v>
      </c>
      <c r="B11" s="9" t="n">
        <v>8</v>
      </c>
      <c r="C11" s="11" t="s">
        <v>268</v>
      </c>
    </row>
    <row r="13" customFormat="false" ht="15" hidden="false" customHeight="false" outlineLevel="0" collapsed="false">
      <c r="A13" s="17" t="s">
        <v>269</v>
      </c>
      <c r="B13" s="17"/>
      <c r="C13" s="17"/>
    </row>
    <row r="14" customFormat="false" ht="23.85" hidden="false" customHeight="false" outlineLevel="0" collapsed="false">
      <c r="A14" s="13" t="s">
        <v>270</v>
      </c>
      <c r="B14" s="9" t="n">
        <v>2</v>
      </c>
      <c r="C14" s="11" t="s">
        <v>271</v>
      </c>
    </row>
    <row r="15" customFormat="false" ht="15" hidden="false" customHeight="false" outlineLevel="0" collapsed="false">
      <c r="A15" s="13" t="s">
        <v>272</v>
      </c>
      <c r="B15" s="9" t="n">
        <v>15</v>
      </c>
      <c r="C15" s="11" t="s">
        <v>273</v>
      </c>
    </row>
    <row r="16" customFormat="false" ht="15" hidden="false" customHeight="false" outlineLevel="0" collapsed="false">
      <c r="A16" s="13" t="s">
        <v>274</v>
      </c>
      <c r="B16" s="30" t="n">
        <v>1.3</v>
      </c>
      <c r="C16" s="11"/>
    </row>
    <row r="17" customFormat="false" ht="15" hidden="false" customHeight="false" outlineLevel="0" collapsed="false">
      <c r="A17" s="13" t="s">
        <v>275</v>
      </c>
      <c r="B17" s="26" t="n">
        <v>0.5</v>
      </c>
      <c r="C17" s="11" t="s">
        <v>276</v>
      </c>
    </row>
    <row r="18" customFormat="false" ht="15" hidden="false" customHeight="false" outlineLevel="0" collapsed="false">
      <c r="A18" s="13" t="s">
        <v>277</v>
      </c>
      <c r="B18" s="31" t="s">
        <v>278</v>
      </c>
      <c r="C18" s="11" t="s">
        <v>279</v>
      </c>
    </row>
    <row r="20" customFormat="false" ht="15" hidden="false" customHeight="false" outlineLevel="0" collapsed="false">
      <c r="A20" s="17" t="s">
        <v>280</v>
      </c>
      <c r="B20" s="17"/>
      <c r="C20" s="17"/>
      <c r="D20" s="17"/>
      <c r="E20" s="17"/>
    </row>
    <row r="21" customFormat="false" ht="30" hidden="false" customHeight="true" outlineLevel="0" collapsed="false">
      <c r="A21" s="6" t="s">
        <v>281</v>
      </c>
      <c r="B21" s="6" t="s">
        <v>282</v>
      </c>
      <c r="C21" s="6" t="s">
        <v>43</v>
      </c>
      <c r="D21" s="6" t="s">
        <v>283</v>
      </c>
      <c r="E21" s="6" t="s">
        <v>9</v>
      </c>
    </row>
    <row r="22" customFormat="false" ht="15" hidden="false" customHeight="false" outlineLevel="0" collapsed="false">
      <c r="A22" s="13" t="s">
        <v>284</v>
      </c>
      <c r="B22" s="9" t="n">
        <v>1</v>
      </c>
      <c r="C22" s="9" t="n">
        <v>5</v>
      </c>
      <c r="D22" s="8" t="s">
        <v>117</v>
      </c>
      <c r="E22" s="9" t="n">
        <v>0</v>
      </c>
    </row>
    <row r="23" customFormat="false" ht="15" hidden="false" customHeight="false" outlineLevel="0" collapsed="false">
      <c r="A23" s="13" t="s">
        <v>285</v>
      </c>
      <c r="B23" s="9" t="n">
        <v>6</v>
      </c>
      <c r="C23" s="9" t="n">
        <v>10</v>
      </c>
      <c r="D23" s="8" t="s">
        <v>149</v>
      </c>
      <c r="E23" s="9" t="n">
        <v>15</v>
      </c>
    </row>
    <row r="24" customFormat="false" ht="15" hidden="false" customHeight="false" outlineLevel="0" collapsed="false">
      <c r="A24" s="13" t="s">
        <v>286</v>
      </c>
      <c r="B24" s="9" t="n">
        <v>11</v>
      </c>
      <c r="C24" s="9" t="n">
        <v>15</v>
      </c>
      <c r="D24" s="8" t="s">
        <v>155</v>
      </c>
      <c r="E24" s="9" t="n">
        <v>30</v>
      </c>
    </row>
    <row r="25" customFormat="false" ht="15" hidden="false" customHeight="false" outlineLevel="0" collapsed="false">
      <c r="A25" s="13" t="s">
        <v>287</v>
      </c>
      <c r="B25" s="9" t="n">
        <v>16</v>
      </c>
      <c r="C25" s="9" t="n">
        <v>20</v>
      </c>
      <c r="D25" s="8" t="s">
        <v>161</v>
      </c>
      <c r="E25" s="9" t="n">
        <v>50</v>
      </c>
    </row>
    <row r="26" customFormat="false" ht="15" hidden="false" customHeight="false" outlineLevel="0" collapsed="false">
      <c r="A26" s="13" t="s">
        <v>288</v>
      </c>
      <c r="B26" s="9" t="n">
        <v>21</v>
      </c>
      <c r="C26" s="9" t="n">
        <v>25</v>
      </c>
      <c r="D26" s="8" t="s">
        <v>169</v>
      </c>
      <c r="E26" s="9" t="n">
        <v>70</v>
      </c>
    </row>
    <row r="27" customFormat="false" ht="15" hidden="false" customHeight="false" outlineLevel="0" collapsed="false">
      <c r="A27" s="12" t="s">
        <v>289</v>
      </c>
    </row>
    <row r="29" customFormat="false" ht="15" hidden="false" customHeight="false" outlineLevel="0" collapsed="false">
      <c r="A29" s="17" t="s">
        <v>290</v>
      </c>
      <c r="B29" s="17"/>
      <c r="C29" s="17"/>
    </row>
    <row r="30" customFormat="false" ht="15" hidden="false" customHeight="false" outlineLevel="0" collapsed="false">
      <c r="A30" s="13" t="s">
        <v>291</v>
      </c>
      <c r="B30" s="9" t="n">
        <v>1000</v>
      </c>
      <c r="C30" s="11" t="s">
        <v>292</v>
      </c>
    </row>
    <row r="31" customFormat="false" ht="15" hidden="false" customHeight="false" outlineLevel="0" collapsed="false">
      <c r="A31" s="13" t="s">
        <v>293</v>
      </c>
      <c r="B31" s="30" t="n">
        <v>1.5</v>
      </c>
      <c r="C31" s="11"/>
    </row>
    <row r="32" customFormat="false" ht="15" hidden="false" customHeight="false" outlineLevel="0" collapsed="false">
      <c r="A32" s="13" t="s">
        <v>294</v>
      </c>
      <c r="B32" s="9" t="n">
        <v>6</v>
      </c>
      <c r="C32" s="11" t="s">
        <v>295</v>
      </c>
    </row>
    <row r="33" customFormat="false" ht="15" hidden="false" customHeight="false" outlineLevel="0" collapsed="false">
      <c r="A33" s="13" t="s">
        <v>296</v>
      </c>
      <c r="B33" s="9" t="n">
        <v>4</v>
      </c>
      <c r="C33" s="11" t="s">
        <v>297</v>
      </c>
    </row>
    <row r="34" customFormat="false" ht="15" hidden="false" customHeight="false" outlineLevel="0" collapsed="false">
      <c r="A34" s="13" t="s">
        <v>298</v>
      </c>
      <c r="B34" s="26" t="n">
        <v>0.02</v>
      </c>
      <c r="C34" s="11" t="s">
        <v>299</v>
      </c>
    </row>
    <row r="36" customFormat="false" ht="15" hidden="false" customHeight="false" outlineLevel="0" collapsed="false">
      <c r="A36" s="17" t="s">
        <v>300</v>
      </c>
      <c r="B36" s="17"/>
      <c r="C36" s="17"/>
    </row>
    <row r="37" customFormat="false" ht="30" hidden="false" customHeight="true" outlineLevel="0" collapsed="false">
      <c r="A37" s="6" t="s">
        <v>301</v>
      </c>
      <c r="B37" s="6" t="s">
        <v>302</v>
      </c>
      <c r="C37" s="6" t="s">
        <v>303</v>
      </c>
    </row>
    <row r="38" customFormat="false" ht="15" hidden="false" customHeight="false" outlineLevel="0" collapsed="false">
      <c r="A38" s="9" t="n">
        <v>5</v>
      </c>
      <c r="B38" s="10" t="n">
        <v>25255</v>
      </c>
      <c r="C38" s="13" t="s">
        <v>304</v>
      </c>
    </row>
    <row r="39" customFormat="false" ht="15" hidden="false" customHeight="false" outlineLevel="0" collapsed="false">
      <c r="A39" s="9" t="n">
        <v>10</v>
      </c>
      <c r="B39" s="10" t="n">
        <v>50401</v>
      </c>
      <c r="C39" s="13" t="s">
        <v>305</v>
      </c>
    </row>
    <row r="40" customFormat="false" ht="15" hidden="false" customHeight="false" outlineLevel="0" collapsed="false">
      <c r="A40" s="9" t="n">
        <v>15</v>
      </c>
      <c r="B40" s="10" t="n">
        <v>72612</v>
      </c>
      <c r="C40" s="13" t="s">
        <v>306</v>
      </c>
    </row>
    <row r="41" customFormat="false" ht="15" hidden="false" customHeight="false" outlineLevel="0" collapsed="false">
      <c r="A41" s="9" t="n">
        <v>20</v>
      </c>
      <c r="B41" s="10" t="n">
        <v>94477</v>
      </c>
      <c r="C41" s="13" t="s">
        <v>307</v>
      </c>
    </row>
    <row r="42" customFormat="false" ht="15" hidden="false" customHeight="false" outlineLevel="0" collapsed="false">
      <c r="A42" s="9" t="n">
        <v>25</v>
      </c>
      <c r="B42" s="10" t="n">
        <v>100072</v>
      </c>
      <c r="C42" s="13" t="s">
        <v>308</v>
      </c>
    </row>
    <row r="43" customFormat="false" ht="15" hidden="false" customHeight="false" outlineLevel="0" collapsed="false">
      <c r="A43" s="9" t="n">
        <v>30</v>
      </c>
      <c r="B43" s="10" t="n">
        <v>154944</v>
      </c>
      <c r="C43" s="13" t="s">
        <v>309</v>
      </c>
    </row>
    <row r="44" customFormat="false" ht="15" hidden="false" customHeight="false" outlineLevel="0" collapsed="false">
      <c r="A44" s="9" t="n">
        <v>35</v>
      </c>
      <c r="B44" s="10" t="n">
        <v>233978</v>
      </c>
      <c r="C44" s="13" t="s">
        <v>310</v>
      </c>
    </row>
    <row r="45" customFormat="false" ht="15" hidden="false" customHeight="false" outlineLevel="0" collapsed="false">
      <c r="A45" s="9" t="n">
        <v>40</v>
      </c>
      <c r="B45" s="10" t="n">
        <v>184235</v>
      </c>
      <c r="C45" s="13" t="s">
        <v>311</v>
      </c>
    </row>
    <row r="46" customFormat="false" ht="15" hidden="false" customHeight="false" outlineLevel="0" collapsed="false">
      <c r="A46" s="9" t="n">
        <v>45</v>
      </c>
      <c r="B46" s="10" t="n">
        <v>260010</v>
      </c>
      <c r="C46" s="13" t="s">
        <v>312</v>
      </c>
    </row>
    <row r="47" customFormat="false" ht="15" hidden="false" customHeight="false" outlineLevel="0" collapsed="false">
      <c r="A47" s="9" t="n">
        <v>50</v>
      </c>
      <c r="B47" s="10" t="n">
        <v>224109</v>
      </c>
      <c r="C47" s="13" t="s">
        <v>313</v>
      </c>
    </row>
    <row r="48" customFormat="false" ht="15" hidden="false" customHeight="false" outlineLevel="0" collapsed="false">
      <c r="A48" s="9" t="n">
        <v>55</v>
      </c>
      <c r="B48" s="10" t="n">
        <v>301518</v>
      </c>
      <c r="C48" s="13" t="s">
        <v>314</v>
      </c>
    </row>
    <row r="49" customFormat="false" ht="15" hidden="false" customHeight="false" outlineLevel="0" collapsed="false">
      <c r="A49" s="9" t="n">
        <v>60</v>
      </c>
      <c r="B49" s="10" t="n">
        <v>380431</v>
      </c>
      <c r="C49" s="13" t="s">
        <v>315</v>
      </c>
    </row>
    <row r="50" customFormat="false" ht="15" hidden="false" customHeight="false" outlineLevel="0" collapsed="false">
      <c r="A50" s="9" t="n">
        <v>65</v>
      </c>
      <c r="B50" s="10" t="n">
        <v>298292</v>
      </c>
      <c r="C50" s="13" t="s">
        <v>316</v>
      </c>
    </row>
    <row r="51" customFormat="false" ht="15" hidden="false" customHeight="false" outlineLevel="0" collapsed="false">
      <c r="A51" s="9" t="n">
        <v>70</v>
      </c>
      <c r="B51" s="10" t="n">
        <v>476368</v>
      </c>
      <c r="C51" s="13" t="s">
        <v>317</v>
      </c>
    </row>
    <row r="52" customFormat="false" ht="15" hidden="false" customHeight="false" outlineLevel="0" collapsed="false">
      <c r="A52" s="9" t="n">
        <v>75</v>
      </c>
      <c r="B52" s="10" t="n">
        <v>393371</v>
      </c>
      <c r="C52" s="13" t="s">
        <v>318</v>
      </c>
    </row>
    <row r="53" customFormat="false" ht="15" hidden="false" customHeight="false" outlineLevel="0" collapsed="false">
      <c r="A53" s="9" t="n">
        <v>80</v>
      </c>
      <c r="B53" s="10" t="n">
        <v>563702</v>
      </c>
      <c r="C53" s="13" t="s">
        <v>319</v>
      </c>
    </row>
    <row r="54" customFormat="false" ht="15" hidden="false" customHeight="false" outlineLevel="0" collapsed="false">
      <c r="A54" s="9" t="n">
        <v>85</v>
      </c>
      <c r="B54" s="10" t="n">
        <v>495760</v>
      </c>
      <c r="C54" s="13" t="s">
        <v>320</v>
      </c>
    </row>
    <row r="55" customFormat="false" ht="15" hidden="false" customHeight="false" outlineLevel="0" collapsed="false">
      <c r="A55" s="9" t="n">
        <v>90</v>
      </c>
      <c r="B55" s="10" t="n">
        <v>644013</v>
      </c>
      <c r="C55" s="13" t="s">
        <v>321</v>
      </c>
    </row>
    <row r="56" customFormat="false" ht="15" hidden="false" customHeight="false" outlineLevel="0" collapsed="false">
      <c r="A56" s="9" t="n">
        <v>95</v>
      </c>
      <c r="B56" s="10" t="n">
        <v>561743</v>
      </c>
      <c r="C56" s="13" t="s">
        <v>322</v>
      </c>
    </row>
    <row r="57" customFormat="false" ht="15" hidden="false" customHeight="false" outlineLevel="0" collapsed="false">
      <c r="A57" s="9" t="n">
        <v>100</v>
      </c>
      <c r="B57" s="10" t="n">
        <v>691659</v>
      </c>
      <c r="C57" s="13" t="s">
        <v>323</v>
      </c>
    </row>
    <row r="58" customFormat="false" ht="15" hidden="false" customHeight="false" outlineLevel="0" collapsed="false">
      <c r="A58" s="12" t="s">
        <v>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2026-10-12T19:34:59Z</dcterms:created>
  <dc:creator>openpyxl</dc:creator>
  <dc:description/>
  <dc:language>en-US</dc:language>
  <cp:lastModifiedBy/>
  <dcterms:modified xsi:type="dcterms:W3CDTF">2026-10-12T19:34:59Z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