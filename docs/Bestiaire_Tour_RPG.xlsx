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Monstres" sheetId="2" state="visible" r:id="rId4"/>
    <sheet name="Calculateur" sheetId="3" state="visible" r:id="rId5"/>
    <sheet name="Zones" sheetId="4" state="visible" r:id="rId6"/>
    <sheet name="Étages" sheetId="5" state="visible" r:id="rId7"/>
    <sheet name="Simulation" sheetId="6" state="visible" r:id="rId8"/>
    <sheet name="Récompenses" sheetId="7" state="visible" r:id="rId9"/>
    <sheet name="Boutique" sheetId="8" state="visible" r:id="rId10"/>
    <sheet name="Butin" sheetId="9" state="visible" r:id="rId11"/>
    <sheet name="Altérations" sheetId="10" state="visible" r:id="rId12"/>
    <sheet name="Éléments" sheetId="11" state="visible" r:id="rId13"/>
    <sheet name="Rôles" sheetId="12" state="visible" r:id="rId14"/>
    <sheet name="Paramètres" sheetId="13" state="visible" r:id="rId15"/>
  </sheets>
  <definedNames>
    <definedName function="false" hidden="true" localSheetId="1" name="_xlnm._FilterDatabase" vbProcedure="false">Monstres!$A$6:$AZ$98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<sst xmlns="http://schemas.openxmlformats.org/spreadsheetml/2006/main" count="1830" uniqueCount="989">
  <si>
    <t xml:space="preserve">RPG tour par tour : bestiaire de la tour et zones de chasse</t>
  </si>
  <si>
    <t xml:space="preserve">Stats des monstres, altérations, dégâts élémentaires, zones de chasse, XP, or et butin, d'après le diagramme du projet.</t>
  </si>
  <si>
    <t xml:space="preserve">OBJECTIF</t>
  </si>
  <si>
    <t xml:space="preserve">Contenu</t>
  </si>
  <si>
    <t xml:space="preserve">92 monstres répartis en 30 zones et 10 biomes (un élément par biome). Chaque monstre a ses stats (proportionnelles à son niveau), ses altérations, son élément de dégâts, ses faiblesses ses récompenses et son butin (chance de drop et rareté des objets).</t>
  </si>
  <si>
    <t xml:space="preserve">Principe de niveau</t>
  </si>
  <si>
    <t xml:space="preserve">Un monstre a le niveau de son étage (étage 84 → niveau 84). En zone de chasse, son niveau est tiré entre l'étage de la zone et cet étage + 10 (étage 55 → niveaux 55 à 65).</t>
  </si>
  <si>
    <t xml:space="preserve">ONGLETS</t>
  </si>
  <si>
    <t xml:space="preserve">Monstres</t>
  </si>
  <si>
    <t xml:space="preserve">Les 92 monstres. Les stats sont calculées au niveau d'étage de la zone ; la cellule jaune du haut force un autre niveau pour tous. Colonnes « Butin » : chance de drop et probabilité de chaque rareté.</t>
  </si>
  <si>
    <t xml:space="preserve">Calculateur</t>
  </si>
  <si>
    <t xml:space="preserve">Un monstre à un niveau choisi, plus ses stats aux niveaux minimum et maximum de sa zone de chasse, et la chance réelle d'appliquer ses altérations.</t>
  </si>
  <si>
    <t xml:space="preserve">Zones</t>
  </si>
  <si>
    <t xml:space="preserve">Les 30 zones : étages concernés, déblocage de la zone de chasse, niveaux, XP et or par heure de chasse.</t>
  </si>
  <si>
    <t xml:space="preserve">Étages</t>
  </si>
  <si>
    <t xml:space="preserve">Les 100 étages : type (normal, boss, dragon), durée, dégâts subis estimés et récompenses.</t>
  </si>
  <si>
    <t xml:space="preserve">Simulation</t>
  </si>
  <si>
    <t xml:space="preserve">Combien de temps faut-il pour atteindre l'étage 100 ? Le joueur farme les zones de chasse quand il est en retard de niveau.</t>
  </si>
  <si>
    <t xml:space="preserve">Récompenses</t>
  </si>
  <si>
    <t xml:space="preserve">Courbes d'XP et d'or par niveau (1 à 110), XP pour monter de niveau et prix des équipements (Commun → Légendaire), repris dans l'onglet Boutique.</t>
  </si>
  <si>
    <t xml:space="preserve">Butin</t>
  </si>
  <si>
    <t xml:space="preserve">Chance de drop par rang, rareté des objets par biome (monstres, boss, dragons), Uniques par biome et butin attendu pendant la montée.</t>
  </si>
  <si>
    <t xml:space="preserve">Altérations</t>
  </si>
  <si>
    <t xml:space="preserve">Les 17 altérations (debuffs) avec effet, durée, cumul maximum et limites.</t>
  </si>
  <si>
    <t xml:space="preserve">Éléments</t>
  </si>
  <si>
    <t xml:space="preserve">Biomes, faiblesses et résistances de chaque élément (source : fichier Éléments/Fusions).</t>
  </si>
  <si>
    <t xml:space="preserve">Rôles</t>
  </si>
  <si>
    <t xml:space="preserve">Multiplicateurs de stats par rôle (bête, brute, mage…) et par rang (faible, normal, fort, boss, dragon).</t>
  </si>
  <si>
    <t xml:space="preserve">Paramètres</t>
  </si>
  <si>
    <t xml:space="preserve">Tous les chiffres d'équilibrage : courbe de niveau, joueur de référence, composition des étages, XP, or, durée de jeu.</t>
  </si>
  <si>
    <t xml:space="preserve">RÈGLES DE LA TOUR</t>
  </si>
  <si>
    <t xml:space="preserve">Étage normal</t>
  </si>
  <si>
    <t xml:space="preserve">3 vagues de 3 monstres tirés dans la zone de la tranche de 5 étages (étages 1–4 : Forêt de chasse, 6–8 : Village gobelin, etc.).</t>
  </si>
  <si>
    <t xml:space="preserve">Étage boss (×5)</t>
  </si>
  <si>
    <t xml:space="preserve">5 vagues : 4 vagues normales, puis le boss accompagné de 2 escortes. Battre l'étage débloque la zone de chasse de même numéro.</t>
  </si>
  <si>
    <t xml:space="preserve">Étage dragon (×9)</t>
  </si>
  <si>
    <t xml:space="preserve">Une seule vague : le dragon de l'élément du biome, un sac à PV (20 tours pour le tuer, coups modérés).</t>
  </si>
  <si>
    <t xml:space="preserve">Zones de chasse</t>
  </si>
  <si>
    <t xml:space="preserve">Mêmes monstres que la zone, sans le boss, affrontables à l'infini. Les tannières de dragon n'ont que le boss : pas de zone de chasse.</t>
  </si>
  <si>
    <t xml:space="preserve">Faible 3 %, Normal 5 %, Fort 8 % de chance d'objet ; boss 1,4 objet, dragon 2,5 objets. La rareté dépend du biome : Super rare dès l'étage 11, Épique 21, Mythique 31, Légendaire 51 ; boss et dragons ont de l'avance et font tomber les Uniques de leur biome.</t>
  </si>
  <si>
    <t xml:space="preserve">FORMULES</t>
  </si>
  <si>
    <t xml:space="preserve">Facteur de niveau</t>
  </si>
  <si>
    <t xml:space="preserve">a + (1 − a) × ((N − 1) / 99) ^ p, avec a = 5 % et p = 1,2. Même courbe que les équipements : 1,00 au niveau 100.</t>
  </si>
  <si>
    <t xml:space="preserve">PV</t>
  </si>
  <si>
    <t xml:space="preserve">Dégâts moyens du joueur par tour (niveau 100 : 788) × facteur de niveau × tours pour tuer (rang) × PV du rôle.</t>
  </si>
  <si>
    <t xml:space="preserve">Force / Magie</t>
  </si>
  <si>
    <t xml:space="preserve">PV du joueur de référence × facteur de niveau × dégâts par coup (rang) × attaque du rôle ÷ (1 − réduction moyenne du joueur). Les attaques Mixtes donnent 75 % en Force et 75 % en Magie.</t>
  </si>
  <si>
    <t xml:space="preserve">Défenses</t>
  </si>
  <si>
    <t xml:space="preserve">Résistance, Armure et Agilité étalon × facteur de niveau × rôle (× rang pour les défenses). Précision, critique et pénétration ne dépendent pas du niveau.</t>
  </si>
  <si>
    <t xml:space="preserve">Dégâts élémentaires</t>
  </si>
  <si>
    <t xml:space="preserve">Chaque monstre inflige l'élément de son biome. La part élémentaire de ses dégâts dépend du rôle (100 % pour un élémentaire, 40 % pour une brute) ; seule cette part subit les avantages ×1,5 / ×0,75 et la Résistance élémentaire du joueur. Biome Neutre : 0 %.</t>
  </si>
  <si>
    <t xml:space="preserve">XP et or</t>
  </si>
  <si>
    <t xml:space="preserve">XP et or d'un monstre Normal = coefficient × niveau ^ exposant ; × rang (faible 0,7 ; fort 1,4 ; boss 8 ; dragon 12). XP pour monter = XP monstre × (10 + 0,7 × niveau).</t>
  </si>
  <si>
    <t xml:space="preserve">HYPOTHÈSES À VALIDER</t>
  </si>
  <si>
    <t xml:space="preserve">Joueur de référence</t>
  </si>
  <si>
    <t xml:space="preserve">Le diagramme ne donne pas les stats du joueur : niveau 100 = 1 600 Vitalité (PV = Vitalité × 10), 700 en Force/Magie. Les monstres sont calibrés dessus ; modifiez-les dans Paramètres §2.</t>
  </si>
  <si>
    <t xml:space="preserve">Composition des vagues</t>
  </si>
  <si>
    <t xml:space="preserve">3 monstres par vague, 2 escortes avec le boss : à confirmer. Les attaques de zone économisent 25 % des tours.</t>
  </si>
  <si>
    <t xml:space="preserve">Zones et étages</t>
  </si>
  <si>
    <t xml:space="preserve">Les étages intermédiaires utilisent les monstres de la zone de leur tranche de 5 (hypothèse). L'étage ×9 est la tannière du dragon.</t>
  </si>
  <si>
    <t xml:space="preserve">Durée de jeu</t>
  </si>
  <si>
    <t xml:space="preserve">Résultat de la simulation : environ 7 h pour atteindre l'étage 100 (3 h de combats + 4 h de farm). En 1 h, c'est impossible : même sans farmer, les combats de la tour durent plus de 3 h.</t>
  </si>
  <si>
    <t xml:space="preserve">Difficulté</t>
  </si>
  <si>
    <t xml:space="preserve">Le seuil « Trop dur » (70 % des PV perdus sur la pire vague) ne tient pas compte des soins entre vagues ni des boucliers, non définis dans le diagramme.</t>
  </si>
  <si>
    <t xml:space="preserve">Prix</t>
  </si>
  <si>
    <t xml:space="preserve">Boutique de la taverne détaillée dans l'onglet Boutique : renouvellement toutes les heures, ressources, équipements (Commun → Épique) et personnages, avec le temps de chasse équivalent.</t>
  </si>
  <si>
    <t xml:space="preserve">Objet pour la classe du joueur, slot au hasard, amélioration +0, matériau du palier de l'étage. Taux de départ calibrés pour ~1 objet par slot et par biome pendant la montée : à ajuster après tests.</t>
  </si>
  <si>
    <t xml:space="preserve">POINTS À VÉRIFIER DANS LE DIAGRAMME</t>
  </si>
  <si>
    <t xml:space="preserve">Noms de zones</t>
  </si>
  <si>
    <t xml:space="preserve">« Orage » apparaît pour les étages 80 et 90 : la zone 90 (anges) s'appelle ici « Orage (90) » comme dans le diagramme, à renommer (Palais céleste ?). « Maris des morts » est lu « Marais des morts ».</t>
  </si>
  <si>
    <t xml:space="preserve">Fautes corrigées</t>
  </si>
  <si>
    <t xml:space="preserve">Gobbelin/Bobbelin → Gobelin, humaniode → humanoïde, Annubis → Anubis, Démoniqua → démoniaque, etc. La colonne « Nom dans le diagramme » garde l'orthographe d'origine.</t>
  </si>
  <si>
    <t xml:space="preserve">Noms existants</t>
  </si>
  <si>
    <t xml:space="preserve">À vérifier avant publication : Jésus et Michel (références religieuses), Malphite (personnage de League of Legends), Anubis, Arrakis (Dune).</t>
  </si>
  <si>
    <t xml:space="preserve">LÉGENDE</t>
  </si>
  <si>
    <t xml:space="preserve">Cellule jaune, texte bleu</t>
  </si>
  <si>
    <t xml:space="preserve">Donnée modifiable. Les autres cellules sont des formules : ne pas les écraser. Lignes orange = boss, violettes = dragons.</t>
  </si>
  <si>
    <t xml:space="preserve">MISE À JOUR</t>
  </si>
  <si>
    <t xml:space="preserve">Initiative</t>
  </si>
  <si>
    <t xml:space="preserve">Monstres (colonne R), Calculateur, Rôles (colonnes N et I) et Paramètres §9 : initiative des monstres et des classes. Le camp à la plus haute initiative moyenne joue en premier à chaque manche.</t>
  </si>
  <si>
    <t xml:space="preserve">Boutique</t>
  </si>
  <si>
    <t xml:space="preserve">Nouvel onglet : prix des ressources, des équipements et des 2e et 3e personnages, calés sur l'or gagné en chasse.</t>
  </si>
  <si>
    <t xml:space="preserve">Bestiaire : stats, altérations, dégâts élémentaires et butin des 92 monstres</t>
  </si>
  <si>
    <t xml:space="preserve">Les stats sont calculées au niveau d'étage de la zone (étage 84 → niveau 84). Pour un autre niveau, utilisez la cellule jaune ou le Calculateur. Colonnes AK à AT : chance de butin et rareté de l'objet (réglages dans l'onglet Butin).</t>
  </si>
  <si>
    <t xml:space="preserve">Niveau forcé (laisser vide = niveau d'étage de la zone)</t>
  </si>
  <si>
    <t xml:space="preserve">Légende : texte bleu sur fond jaune = donnée modifiable ; le reste est calculé. Altérations : chance d'application avant résistance du joueur.</t>
  </si>
  <si>
    <t xml:space="preserve">ID</t>
  </si>
  <si>
    <t xml:space="preserve">Étage de la zone</t>
  </si>
  <si>
    <t xml:space="preserve">Zone</t>
  </si>
  <si>
    <t xml:space="preserve">Biome</t>
  </si>
  <si>
    <t xml:space="preserve">Élément</t>
  </si>
  <si>
    <t xml:space="preserve">Monstre</t>
  </si>
  <si>
    <t xml:space="preserve">Boss ?</t>
  </si>
  <si>
    <t xml:space="preserve">Rang</t>
  </si>
  <si>
    <t xml:space="preserve">Rôle</t>
  </si>
  <si>
    <t xml:space="preserve">Type d'attaque</t>
  </si>
  <si>
    <t xml:space="preserve">Niveau</t>
  </si>
  <si>
    <t xml:space="preserve">Force</t>
  </si>
  <si>
    <t xml:space="preserve">Magie</t>
  </si>
  <si>
    <t xml:space="preserve">Résistance</t>
  </si>
  <si>
    <t xml:space="preserve">Armure</t>
  </si>
  <si>
    <t xml:space="preserve">Agilité</t>
  </si>
  <si>
    <t xml:space="preserve">Précision</t>
  </si>
  <si>
    <t xml:space="preserve">Chance de critique</t>
  </si>
  <si>
    <t xml:space="preserve">Dégâts critiques</t>
  </si>
  <si>
    <t xml:space="preserve">Pénétration</t>
  </si>
  <si>
    <t xml:space="preserve">Rés. aux altérations</t>
  </si>
  <si>
    <t xml:space="preserve">Réduction physique (estim.)</t>
  </si>
  <si>
    <t xml:space="preserve">Réduction magique (estim.)</t>
  </si>
  <si>
    <t xml:space="preserve">Part de dégâts élémentaires</t>
  </si>
  <si>
    <t xml:space="preserve">Dégâts par coup (% PV joueur)</t>
  </si>
  <si>
    <t xml:space="preserve">Tours pour le tuer</t>
  </si>
  <si>
    <t xml:space="preserve">Récompenses ×</t>
  </si>
  <si>
    <t xml:space="preserve">Faible contre (×1,5)</t>
  </si>
  <si>
    <t xml:space="preserve">Résiste à (×0,75)</t>
  </si>
  <si>
    <t xml:space="preserve">Altération 1</t>
  </si>
  <si>
    <t xml:space="preserve">Chance 1</t>
  </si>
  <si>
    <t xml:space="preserve">Altération 2</t>
  </si>
  <si>
    <t xml:space="preserve">Chance 2</t>
  </si>
  <si>
    <t xml:space="preserve">XP</t>
  </si>
  <si>
    <t xml:space="preserve">Or</t>
  </si>
  <si>
    <t xml:space="preserve">Chance de butin</t>
  </si>
  <si>
    <t xml:space="preserve">Objets attendus / victoire</t>
  </si>
  <si>
    <t xml:space="preserve">% Commun</t>
  </si>
  <si>
    <t xml:space="preserve">% Rare</t>
  </si>
  <si>
    <t xml:space="preserve">% Super rare</t>
  </si>
  <si>
    <t xml:space="preserve">% Épique</t>
  </si>
  <si>
    <t xml:space="preserve">% Mythique</t>
  </si>
  <si>
    <t xml:space="preserve">% Légendaire</t>
  </si>
  <si>
    <t xml:space="preserve">% Unique</t>
  </si>
  <si>
    <t xml:space="preserve">Unique possible (Guerrier · Mage · Tireur)</t>
  </si>
  <si>
    <t xml:space="preserve">Nom dans le diagramme</t>
  </si>
  <si>
    <t xml:space="preserve">(aide) Clé</t>
  </si>
  <si>
    <t xml:space="preserve">(aide) Facteur niveau</t>
  </si>
  <si>
    <t xml:space="preserve">(aide) N° rôle</t>
  </si>
  <si>
    <t xml:space="preserve">(aide) N° rang</t>
  </si>
  <si>
    <t xml:space="preserve">MON-001</t>
  </si>
  <si>
    <t xml:space="preserve">Sanglier</t>
  </si>
  <si>
    <t xml:space="preserve">Normal</t>
  </si>
  <si>
    <t xml:space="preserve">Bête</t>
  </si>
  <si>
    <t xml:space="preserve">Physique</t>
  </si>
  <si>
    <t xml:space="preserve">Saignement</t>
  </si>
  <si>
    <t xml:space="preserve">Assommé</t>
  </si>
  <si>
    <t xml:space="preserve">MON-002</t>
  </si>
  <si>
    <t xml:space="preserve">Loup</t>
  </si>
  <si>
    <t xml:space="preserve">Assassin</t>
  </si>
  <si>
    <t xml:space="preserve">MON-003</t>
  </si>
  <si>
    <t xml:space="preserve">Ours</t>
  </si>
  <si>
    <t xml:space="preserve">Fort</t>
  </si>
  <si>
    <t xml:space="preserve">Brute</t>
  </si>
  <si>
    <t xml:space="preserve">MON-004</t>
  </si>
  <si>
    <t xml:space="preserve">Ours enragé</t>
  </si>
  <si>
    <t xml:space="preserve">Boss</t>
  </si>
  <si>
    <t xml:space="preserve">Ours enragé (Boss)</t>
  </si>
  <si>
    <t xml:space="preserve">MON-005</t>
  </si>
  <si>
    <t xml:space="preserve">Dragon (Neutre)</t>
  </si>
  <si>
    <t xml:space="preserve">Dragon</t>
  </si>
  <si>
    <t xml:space="preserve">Mixte</t>
  </si>
  <si>
    <t xml:space="preserve">MON-006</t>
  </si>
  <si>
    <t xml:space="preserve">Chef gobelin</t>
  </si>
  <si>
    <t xml:space="preserve">Guerrier</t>
  </si>
  <si>
    <t xml:space="preserve">Intimidé</t>
  </si>
  <si>
    <t xml:space="preserve">Chef  Gobbelin (Boss)</t>
  </si>
  <si>
    <t xml:space="preserve">MON-007</t>
  </si>
  <si>
    <t xml:space="preserve">Gobelin</t>
  </si>
  <si>
    <t xml:space="preserve">Faible</t>
  </si>
  <si>
    <t xml:space="preserve">Gobbelin</t>
  </si>
  <si>
    <t xml:space="preserve">MON-008</t>
  </si>
  <si>
    <t xml:space="preserve">Guerrier gobelin</t>
  </si>
  <si>
    <t xml:space="preserve">Guerrier Gobbelin</t>
  </si>
  <si>
    <t xml:space="preserve">MON-009</t>
  </si>
  <si>
    <t xml:space="preserve">Chaman gobelin</t>
  </si>
  <si>
    <t xml:space="preserve">Soutien</t>
  </si>
  <si>
    <t xml:space="preserve">Magique</t>
  </si>
  <si>
    <t xml:space="preserve">Chaman Gobbelin</t>
  </si>
  <si>
    <t xml:space="preserve">MON-010</t>
  </si>
  <si>
    <t xml:space="preserve">Archer gobelin</t>
  </si>
  <si>
    <t xml:space="preserve">Tireur</t>
  </si>
  <si>
    <t xml:space="preserve">Archer gobbelin</t>
  </si>
  <si>
    <t xml:space="preserve">MON-011</t>
  </si>
  <si>
    <t xml:space="preserve">Haut chaman gobelin</t>
  </si>
  <si>
    <t xml:space="preserve">Garde brisée</t>
  </si>
  <si>
    <t xml:space="preserve">Haut Chaman Gobbelin (Boss)</t>
  </si>
  <si>
    <t xml:space="preserve">MON-012</t>
  </si>
  <si>
    <t xml:space="preserve">Haut gobelin</t>
  </si>
  <si>
    <t xml:space="preserve">Haut Gobbelin</t>
  </si>
  <si>
    <t xml:space="preserve">MON-013</t>
  </si>
  <si>
    <t xml:space="preserve">Haut archer gobelin</t>
  </si>
  <si>
    <t xml:space="preserve">Enraciné</t>
  </si>
  <si>
    <t xml:space="preserve">Haut Archer Bobbelin</t>
  </si>
  <si>
    <t xml:space="preserve">MON-014</t>
  </si>
  <si>
    <t xml:space="preserve">Haut guerrier gobelin</t>
  </si>
  <si>
    <t xml:space="preserve">Haut guerrier Gobbelin</t>
  </si>
  <si>
    <t xml:space="preserve">MON-015</t>
  </si>
  <si>
    <t xml:space="preserve">Haut shaman gobelin</t>
  </si>
  <si>
    <t xml:space="preserve">Mage</t>
  </si>
  <si>
    <t xml:space="preserve">Haut Shaman Bobbelin</t>
  </si>
  <si>
    <t xml:space="preserve">MON-016</t>
  </si>
  <si>
    <t xml:space="preserve">Dragon (Terre)</t>
  </si>
  <si>
    <t xml:space="preserve">MON-017</t>
  </si>
  <si>
    <t xml:space="preserve">Chef orc</t>
  </si>
  <si>
    <t xml:space="preserve">MON-018</t>
  </si>
  <si>
    <t xml:space="preserve">Orc</t>
  </si>
  <si>
    <t xml:space="preserve">MON-019</t>
  </si>
  <si>
    <t xml:space="preserve">Guerrier orc</t>
  </si>
  <si>
    <t xml:space="preserve">MON-020</t>
  </si>
  <si>
    <t xml:space="preserve">Chaman orc</t>
  </si>
  <si>
    <t xml:space="preserve">MON-021</t>
  </si>
  <si>
    <t xml:space="preserve">Salamandre</t>
  </si>
  <si>
    <t xml:space="preserve">Brûlure</t>
  </si>
  <si>
    <t xml:space="preserve">MON-022</t>
  </si>
  <si>
    <t xml:space="preserve">Malphite</t>
  </si>
  <si>
    <t xml:space="preserve">MON-023</t>
  </si>
  <si>
    <t xml:space="preserve">Golem de feu</t>
  </si>
  <si>
    <t xml:space="preserve">MON-024</t>
  </si>
  <si>
    <t xml:space="preserve">Dragon (Feu)</t>
  </si>
  <si>
    <t xml:space="preserve">MON-025</t>
  </si>
  <si>
    <t xml:space="preserve">Ifrit</t>
  </si>
  <si>
    <t xml:space="preserve">MON-026</t>
  </si>
  <si>
    <t xml:space="preserve">Diablotin</t>
  </si>
  <si>
    <t xml:space="preserve">MON-027</t>
  </si>
  <si>
    <t xml:space="preserve">Chien des enfers</t>
  </si>
  <si>
    <t xml:space="preserve">MON-028</t>
  </si>
  <si>
    <t xml:space="preserve">Élémentaire de feu</t>
  </si>
  <si>
    <t xml:space="preserve">Élémentaire</t>
  </si>
  <si>
    <t xml:space="preserve">MON-029</t>
  </si>
  <si>
    <t xml:space="preserve">Ver des sables</t>
  </si>
  <si>
    <t xml:space="preserve">Désorienté</t>
  </si>
  <si>
    <t xml:space="preserve">Ver des sable (Boss)</t>
  </si>
  <si>
    <t xml:space="preserve">MON-030</t>
  </si>
  <si>
    <t xml:space="preserve">Djin</t>
  </si>
  <si>
    <t xml:space="preserve">MON-031</t>
  </si>
  <si>
    <t xml:space="preserve">Souffleur</t>
  </si>
  <si>
    <t xml:space="preserve">MON-032</t>
  </si>
  <si>
    <t xml:space="preserve">Harpie</t>
  </si>
  <si>
    <t xml:space="preserve">MON-033</t>
  </si>
  <si>
    <t xml:space="preserve">Dragon (Vent)</t>
  </si>
  <si>
    <t xml:space="preserve">MON-034</t>
  </si>
  <si>
    <t xml:space="preserve">Anubis</t>
  </si>
  <si>
    <t xml:space="preserve">Annubis (Boss)</t>
  </si>
  <si>
    <t xml:space="preserve">MON-035</t>
  </si>
  <si>
    <t xml:space="preserve">Lion humanoïde</t>
  </si>
  <si>
    <t xml:space="preserve">Lion humaniode</t>
  </si>
  <si>
    <t xml:space="preserve">MON-036</t>
  </si>
  <si>
    <t xml:space="preserve">Chien humanoïde</t>
  </si>
  <si>
    <t xml:space="preserve">Chien humaniode</t>
  </si>
  <si>
    <t xml:space="preserve">MON-037</t>
  </si>
  <si>
    <t xml:space="preserve">Ours humanoïde</t>
  </si>
  <si>
    <t xml:space="preserve">Ours humaniode</t>
  </si>
  <si>
    <t xml:space="preserve">MON-038</t>
  </si>
  <si>
    <t xml:space="preserve">Roi slime</t>
  </si>
  <si>
    <t xml:space="preserve">Corrosion</t>
  </si>
  <si>
    <t xml:space="preserve">Poison</t>
  </si>
  <si>
    <t xml:space="preserve">MON-039</t>
  </si>
  <si>
    <t xml:space="preserve">Serpent géant</t>
  </si>
  <si>
    <t xml:space="preserve">MON-040</t>
  </si>
  <si>
    <t xml:space="preserve">Cracheur toxique</t>
  </si>
  <si>
    <t xml:space="preserve">Cracheur toxic</t>
  </si>
  <si>
    <t xml:space="preserve">MON-041</t>
  </si>
  <si>
    <t xml:space="preserve">Slime</t>
  </si>
  <si>
    <t xml:space="preserve">MON-042</t>
  </si>
  <si>
    <t xml:space="preserve">Dragon (Acide)</t>
  </si>
  <si>
    <t xml:space="preserve">MON-043</t>
  </si>
  <si>
    <t xml:space="preserve">Nurgol le zombie</t>
  </si>
  <si>
    <t xml:space="preserve">Nurgol Zombie (Boss)</t>
  </si>
  <si>
    <t xml:space="preserve">MON-044</t>
  </si>
  <si>
    <t xml:space="preserve">Zombie</t>
  </si>
  <si>
    <t xml:space="preserve">MON-045</t>
  </si>
  <si>
    <t xml:space="preserve">Claqueur</t>
  </si>
  <si>
    <t xml:space="preserve">MON-046</t>
  </si>
  <si>
    <t xml:space="preserve">Zombie renforcé</t>
  </si>
  <si>
    <t xml:space="preserve">MON-047</t>
  </si>
  <si>
    <t xml:space="preserve">Kraken</t>
  </si>
  <si>
    <t xml:space="preserve">Mouillé</t>
  </si>
  <si>
    <t xml:space="preserve">MON-048</t>
  </si>
  <si>
    <t xml:space="preserve">Sirène</t>
  </si>
  <si>
    <t xml:space="preserve">Sirene</t>
  </si>
  <si>
    <t xml:space="preserve">MON-049</t>
  </si>
  <si>
    <t xml:space="preserve">Crabe géant</t>
  </si>
  <si>
    <t xml:space="preserve">Crabes Geant</t>
  </si>
  <si>
    <t xml:space="preserve">MON-050</t>
  </si>
  <si>
    <t xml:space="preserve">Requin</t>
  </si>
  <si>
    <t xml:space="preserve">Requins</t>
  </si>
  <si>
    <t xml:space="preserve">MON-051</t>
  </si>
  <si>
    <t xml:space="preserve">Dragon (Eau)</t>
  </si>
  <si>
    <t xml:space="preserve">MON-052</t>
  </si>
  <si>
    <t xml:space="preserve">Roi triton</t>
  </si>
  <si>
    <t xml:space="preserve">MON-053</t>
  </si>
  <si>
    <t xml:space="preserve">Triton</t>
  </si>
  <si>
    <t xml:space="preserve">MON-054</t>
  </si>
  <si>
    <t xml:space="preserve">Lancier triton</t>
  </si>
  <si>
    <t xml:space="preserve">MON-055</t>
  </si>
  <si>
    <t xml:space="preserve">Mage des eaux triton</t>
  </si>
  <si>
    <t xml:space="preserve">Mage eau triton</t>
  </si>
  <si>
    <t xml:space="preserve">MON-056</t>
  </si>
  <si>
    <t xml:space="preserve">Yéti</t>
  </si>
  <si>
    <t xml:space="preserve">Froid</t>
  </si>
  <si>
    <t xml:space="preserve">Yeti (Boss)</t>
  </si>
  <si>
    <t xml:space="preserve">MON-057</t>
  </si>
  <si>
    <t xml:space="preserve">Mammouth de glace</t>
  </si>
  <si>
    <t xml:space="preserve">MON-058</t>
  </si>
  <si>
    <t xml:space="preserve">Loup givré</t>
  </si>
  <si>
    <t xml:space="preserve">loup givré</t>
  </si>
  <si>
    <t xml:space="preserve">MON-059</t>
  </si>
  <si>
    <t xml:space="preserve">Zombie gelé</t>
  </si>
  <si>
    <t xml:space="preserve">MON-060</t>
  </si>
  <si>
    <t xml:space="preserve">Dragon (Glace)</t>
  </si>
  <si>
    <t xml:space="preserve">Gel</t>
  </si>
  <si>
    <t xml:space="preserve">MON-061</t>
  </si>
  <si>
    <t xml:space="preserve">Roi elfique</t>
  </si>
  <si>
    <t xml:space="preserve">MON-062</t>
  </si>
  <si>
    <t xml:space="preserve">Elfe</t>
  </si>
  <si>
    <t xml:space="preserve">MON-063</t>
  </si>
  <si>
    <t xml:space="preserve">Guerrier elfe</t>
  </si>
  <si>
    <t xml:space="preserve">MON-064</t>
  </si>
  <si>
    <t xml:space="preserve">Archer elfe</t>
  </si>
  <si>
    <t xml:space="preserve">MON-065</t>
  </si>
  <si>
    <t xml:space="preserve">Élémentaliste elfe</t>
  </si>
  <si>
    <t xml:space="preserve">MON-066</t>
  </si>
  <si>
    <t xml:space="preserve">Géant électrique</t>
  </si>
  <si>
    <t xml:space="preserve">Étourdissement</t>
  </si>
  <si>
    <t xml:space="preserve">MON-067</t>
  </si>
  <si>
    <t xml:space="preserve">Géant</t>
  </si>
  <si>
    <t xml:space="preserve">MON-068</t>
  </si>
  <si>
    <t xml:space="preserve">Géant tireur</t>
  </si>
  <si>
    <t xml:space="preserve">Éblouissement</t>
  </si>
  <si>
    <t xml:space="preserve">Geant tireur (Caillou electrique)</t>
  </si>
  <si>
    <t xml:space="preserve">MON-069</t>
  </si>
  <si>
    <t xml:space="preserve">Dragon (Électricité)</t>
  </si>
  <si>
    <t xml:space="preserve">MON-070</t>
  </si>
  <si>
    <t xml:space="preserve">Wyverne mutante</t>
  </si>
  <si>
    <t xml:space="preserve">MON-071</t>
  </si>
  <si>
    <t xml:space="preserve">Wyverne</t>
  </si>
  <si>
    <t xml:space="preserve">MON-072</t>
  </si>
  <si>
    <t xml:space="preserve">Oiseau électrique</t>
  </si>
  <si>
    <t xml:space="preserve">MON-073</t>
  </si>
  <si>
    <t xml:space="preserve">Jésus</t>
  </si>
  <si>
    <t xml:space="preserve">Marqué</t>
  </si>
  <si>
    <t xml:space="preserve">Jesus (Boss)</t>
  </si>
  <si>
    <t xml:space="preserve">MON-074</t>
  </si>
  <si>
    <t xml:space="preserve">Croyant</t>
  </si>
  <si>
    <t xml:space="preserve">MON-075</t>
  </si>
  <si>
    <t xml:space="preserve">Apôtre</t>
  </si>
  <si>
    <t xml:space="preserve">Apotres</t>
  </si>
  <si>
    <t xml:space="preserve">MON-076</t>
  </si>
  <si>
    <t xml:space="preserve">Dragon (Lumière)</t>
  </si>
  <si>
    <t xml:space="preserve">MON-077</t>
  </si>
  <si>
    <t xml:space="preserve">Michel</t>
  </si>
  <si>
    <t xml:space="preserve">MON-078</t>
  </si>
  <si>
    <t xml:space="preserve">Ange</t>
  </si>
  <si>
    <t xml:space="preserve">MON-079</t>
  </si>
  <si>
    <t xml:space="preserve">Archange</t>
  </si>
  <si>
    <t xml:space="preserve">MON-080</t>
  </si>
  <si>
    <t xml:space="preserve">Séraphin</t>
  </si>
  <si>
    <t xml:space="preserve">Seraphin</t>
  </si>
  <si>
    <t xml:space="preserve">MON-081</t>
  </si>
  <si>
    <t xml:space="preserve">Wyverne des ténèbres</t>
  </si>
  <si>
    <t xml:space="preserve">Corruption</t>
  </si>
  <si>
    <t xml:space="preserve">Terreur</t>
  </si>
  <si>
    <t xml:space="preserve">Wyverne Tenebre (Boss)</t>
  </si>
  <si>
    <t xml:space="preserve">MON-082</t>
  </si>
  <si>
    <t xml:space="preserve">Orc démoniaque</t>
  </si>
  <si>
    <t xml:space="preserve">Orc Démoniqua</t>
  </si>
  <si>
    <t xml:space="preserve">MON-083</t>
  </si>
  <si>
    <t xml:space="preserve">Gobelin démoniaque</t>
  </si>
  <si>
    <t xml:space="preserve">Gobbelin démoniaque</t>
  </si>
  <si>
    <t xml:space="preserve">MON-084</t>
  </si>
  <si>
    <t xml:space="preserve">Triton démoniaque</t>
  </si>
  <si>
    <t xml:space="preserve">Triton Demoniaque</t>
  </si>
  <si>
    <t xml:space="preserve">MON-085</t>
  </si>
  <si>
    <t xml:space="preserve">Elfe démoniaque</t>
  </si>
  <si>
    <t xml:space="preserve">Elfe Démonique</t>
  </si>
  <si>
    <t xml:space="preserve">MON-086</t>
  </si>
  <si>
    <t xml:space="preserve">Zombie démoniaque</t>
  </si>
  <si>
    <t xml:space="preserve">Zombie Demoniaque</t>
  </si>
  <si>
    <t xml:space="preserve">MON-087</t>
  </si>
  <si>
    <t xml:space="preserve">Dragon (Ombre)</t>
  </si>
  <si>
    <t xml:space="preserve">MON-088</t>
  </si>
  <si>
    <t xml:space="preserve">Roi démon</t>
  </si>
  <si>
    <t xml:space="preserve">MON-089</t>
  </si>
  <si>
    <t xml:space="preserve">Archidémon</t>
  </si>
  <si>
    <t xml:space="preserve">MON-090</t>
  </si>
  <si>
    <t xml:space="preserve">Démon inférieur</t>
  </si>
  <si>
    <t xml:space="preserve">MON-091</t>
  </si>
  <si>
    <t xml:space="preserve">Démon</t>
  </si>
  <si>
    <t xml:space="preserve">MON-092</t>
  </si>
  <si>
    <t xml:space="preserve">Démon supérieur</t>
  </si>
  <si>
    <t xml:space="preserve">Calculateur d'un monstre</t>
  </si>
  <si>
    <t xml:space="preserve">Choisissez un monstre et un niveau. Les colonnes « chasse » donnent les stats aux niveaux extrêmes de sa zone de chasse.</t>
  </si>
  <si>
    <t xml:space="preserve">Niveau (1 à 110)</t>
  </si>
  <si>
    <t xml:space="preserve">Résistance aux altérations du joueur</t>
  </si>
  <si>
    <t xml:space="preserve">Fiche</t>
  </si>
  <si>
    <t xml:space="preserve">N° du monstre</t>
  </si>
  <si>
    <t xml:space="preserve">Biome / élément</t>
  </si>
  <si>
    <t xml:space="preserve">Rang · rôle · attaque</t>
  </si>
  <si>
    <t xml:space="preserve">Statistique</t>
  </si>
  <si>
    <t xml:space="preserve">Niveau choisi</t>
  </si>
  <si>
    <t xml:space="preserve">Chasse : niveau min</t>
  </si>
  <si>
    <t xml:space="preserve">Chasse : niveau max</t>
  </si>
  <si>
    <t xml:space="preserve">Résistance aux altérations</t>
  </si>
  <si>
    <t xml:space="preserve">Altérations infligées</t>
  </si>
  <si>
    <t xml:space="preserve">Altération</t>
  </si>
  <si>
    <t xml:space="preserve">Chance (avant rés.)</t>
  </si>
  <si>
    <t xml:space="preserve">Chance effective</t>
  </si>
  <si>
    <t xml:space="preserve">Effet / durée / cumul</t>
  </si>
  <si>
    <t xml:space="preserve">Chasse : disponible seulement pour les zones de type « Zone » (pas les tannières de dragon). Niveaux de chasse = étage de la zone → étage + 10.</t>
  </si>
  <si>
    <t xml:space="preserve">Rareté</t>
  </si>
  <si>
    <t xml:space="preserve">Si un objet tombe</t>
  </si>
  <si>
    <t xml:space="preserve">Par victoire</t>
  </si>
  <si>
    <t xml:space="preserve">Biome = celui de la zone du monstre</t>
  </si>
  <si>
    <t xml:space="preserve">Objets attendus par victoire</t>
  </si>
  <si>
    <t xml:space="preserve">Commun</t>
  </si>
  <si>
    <t xml:space="preserve">Rare</t>
  </si>
  <si>
    <t xml:space="preserve">Super rare</t>
  </si>
  <si>
    <t xml:space="preserve">Épique</t>
  </si>
  <si>
    <t xml:space="preserve">Mythique</t>
  </si>
  <si>
    <t xml:space="preserve">Légendaire</t>
  </si>
  <si>
    <t xml:space="preserve">Unique</t>
  </si>
  <si>
    <t xml:space="preserve">Unique possible</t>
  </si>
  <si>
    <t xml:space="preserve">Zones : tour et zones de chasse</t>
  </si>
  <si>
    <t xml:space="preserve">Chaque zone du diagramme. Battre l'étage de la zone débloque sa zone de chasse (mêmes monstres, sans le boss, niveau = étage à étage + 10).</t>
  </si>
  <si>
    <t xml:space="preserve">Colonnes Z à AD : butin en zone de chasse (table « monstres » du biome de la zone ; l'Unique y reste très rare).</t>
  </si>
  <si>
    <t xml:space="preserve">Étage</t>
  </si>
  <si>
    <t xml:space="preserve">Type</t>
  </si>
  <si>
    <t xml:space="preserve">Étages de la tour concernés</t>
  </si>
  <si>
    <t xml:space="preserve">Zone de chasse ?</t>
  </si>
  <si>
    <t xml:space="preserve">Débloquée en battant l'étage</t>
  </si>
  <si>
    <t xml:space="preserve">Niveau min. chasse</t>
  </si>
  <si>
    <t xml:space="preserve">Niveau max. chasse</t>
  </si>
  <si>
    <t xml:space="preserve">Monstres de chasse</t>
  </si>
  <si>
    <t xml:space="preserve">Boss / dragon</t>
  </si>
  <si>
    <t xml:space="preserve">Tours pour tuer (moy.)</t>
  </si>
  <si>
    <t xml:space="preserve">Dégâts par coup (moy., % PV)</t>
  </si>
  <si>
    <t xml:space="preserve">Récompenses × (moy.)</t>
  </si>
  <si>
    <t xml:space="preserve">Tours boss</t>
  </si>
  <si>
    <t xml:space="preserve">Coup boss (% PV)</t>
  </si>
  <si>
    <t xml:space="preserve">Récompenses × boss</t>
  </si>
  <si>
    <t xml:space="preserve">Niveau moyen de chasse</t>
  </si>
  <si>
    <t xml:space="preserve">XP / monstre</t>
  </si>
  <si>
    <t xml:space="preserve">Or / monstre</t>
  </si>
  <si>
    <t xml:space="preserve">Secondes / monstre</t>
  </si>
  <si>
    <t xml:space="preserve">Monstres / heure</t>
  </si>
  <si>
    <t xml:space="preserve">XP / heure</t>
  </si>
  <si>
    <t xml:space="preserve">Or / heure</t>
  </si>
  <si>
    <t xml:space="preserve">Chance de butin (moy.)</t>
  </si>
  <si>
    <t xml:space="preserve">Objets / heure de chasse</t>
  </si>
  <si>
    <t xml:space="preserve">Épiques ou mieux / h</t>
  </si>
  <si>
    <t xml:space="preserve">Légendaires / h</t>
  </si>
  <si>
    <t xml:space="preserve">Heures de chasse pour 1 Unique</t>
  </si>
  <si>
    <t xml:space="preserve">Forêt de chasse</t>
  </si>
  <si>
    <t xml:space="preserve">1–4 (normaux) · 5 (boss)</t>
  </si>
  <si>
    <t xml:space="preserve">Tannière du dragon (9)</t>
  </si>
  <si>
    <t xml:space="preserve">Tannière</t>
  </si>
  <si>
    <t xml:space="preserve">9 (dragon, 1 vague)</t>
  </si>
  <si>
    <t xml:space="preserve">Village gobelin</t>
  </si>
  <si>
    <t xml:space="preserve">6–8 (normaux) · 10 (boss)</t>
  </si>
  <si>
    <t xml:space="preserve">Mine abandonnée</t>
  </si>
  <si>
    <t xml:space="preserve">11–14 (normaux) · 15 (boss)</t>
  </si>
  <si>
    <t xml:space="preserve">Tannière du dragon (19)</t>
  </si>
  <si>
    <t xml:space="preserve">19 (dragon, 1 vague)</t>
  </si>
  <si>
    <t xml:space="preserve">Grotte profonde</t>
  </si>
  <si>
    <t xml:space="preserve">16–18 (normaux) · 20 (boss)</t>
  </si>
  <si>
    <t xml:space="preserve">Océan de lave</t>
  </si>
  <si>
    <t xml:space="preserve">21–24 (normaux) · 25 (boss)</t>
  </si>
  <si>
    <t xml:space="preserve">Tannière du dragon (29)</t>
  </si>
  <si>
    <t xml:space="preserve">29 (dragon, 1 vague)</t>
  </si>
  <si>
    <t xml:space="preserve">Cœur du volcan</t>
  </si>
  <si>
    <t xml:space="preserve">26–28 (normaux) · 30 (boss)</t>
  </si>
  <si>
    <t xml:space="preserve">Désert d'Arrakis</t>
  </si>
  <si>
    <t xml:space="preserve">31–34 (normaux) · 35 (boss)</t>
  </si>
  <si>
    <t xml:space="preserve">Tannière du dragon (39)</t>
  </si>
  <si>
    <t xml:space="preserve">39 (dragon, 1 vague)</t>
  </si>
  <si>
    <t xml:space="preserve">Pyramide</t>
  </si>
  <si>
    <t xml:space="preserve">36–38 (normaux) · 40 (boss)</t>
  </si>
  <si>
    <t xml:space="preserve">Ancienne tour</t>
  </si>
  <si>
    <t xml:space="preserve">41–44 (normaux) · 45 (boss)</t>
  </si>
  <si>
    <t xml:space="preserve">Tannière du dragon (49)</t>
  </si>
  <si>
    <t xml:space="preserve">49 (dragon, 1 vague)</t>
  </si>
  <si>
    <t xml:space="preserve">Marais des morts</t>
  </si>
  <si>
    <t xml:space="preserve">46–48 (normaux) · 50 (boss)</t>
  </si>
  <si>
    <t xml:space="preserve">Océan profond</t>
  </si>
  <si>
    <t xml:space="preserve">51–54 (normaux) · 55 (boss)</t>
  </si>
  <si>
    <t xml:space="preserve">Tannière du dragon (59)</t>
  </si>
  <si>
    <t xml:space="preserve">59 (dragon, 1 vague)</t>
  </si>
  <si>
    <t xml:space="preserve">Palais des Atlantes</t>
  </si>
  <si>
    <t xml:space="preserve">56–58 (normaux) · 60 (boss)</t>
  </si>
  <si>
    <t xml:space="preserve">Plaine enneigée</t>
  </si>
  <si>
    <t xml:space="preserve">61–64 (normaux) · 65 (boss)</t>
  </si>
  <si>
    <t xml:space="preserve">Tannière du dragon (69)</t>
  </si>
  <si>
    <t xml:space="preserve">69 (dragon, 1 vague)</t>
  </si>
  <si>
    <t xml:space="preserve">Palais des glaces</t>
  </si>
  <si>
    <t xml:space="preserve">66–68 (normaux) · 70 (boss)</t>
  </si>
  <si>
    <t xml:space="preserve">Sommet des montagnes</t>
  </si>
  <si>
    <t xml:space="preserve">71–74 (normaux) · 75 (boss)</t>
  </si>
  <si>
    <t xml:space="preserve">Tannière du dragon (79)</t>
  </si>
  <si>
    <t xml:space="preserve">79 (dragon, 1 vague)</t>
  </si>
  <si>
    <t xml:space="preserve">Orage (80)</t>
  </si>
  <si>
    <t xml:space="preserve">76–78 (normaux) · 80 (boss)</t>
  </si>
  <si>
    <t xml:space="preserve">Ciel</t>
  </si>
  <si>
    <t xml:space="preserve">81–84 (normaux) · 85 (boss)</t>
  </si>
  <si>
    <t xml:space="preserve">Tannière du dragon (89)</t>
  </si>
  <si>
    <t xml:space="preserve">89 (dragon, 1 vague)</t>
  </si>
  <si>
    <t xml:space="preserve">Paradis(90)</t>
  </si>
  <si>
    <t xml:space="preserve">86–88 (normaux) · 90 (boss)</t>
  </si>
  <si>
    <t xml:space="preserve">Plaine démoniaque</t>
  </si>
  <si>
    <t xml:space="preserve">91–94 (normaux) · 95 (boss)</t>
  </si>
  <si>
    <t xml:space="preserve">Tannière du dragon (99)</t>
  </si>
  <si>
    <t xml:space="preserve">99 (dragon, 1 vague)</t>
  </si>
  <si>
    <t xml:space="preserve">Palais démoniaque</t>
  </si>
  <si>
    <t xml:space="preserve">96–98 (normaux) · 100 (boss)</t>
  </si>
  <si>
    <t xml:space="preserve">Les tannières de dragon (étages ×9) n'ont que le dragon, qui est un boss : pas de zone de chasse sans boss. Pour en proposer une, il faudrait y ajouter des monstres.</t>
  </si>
  <si>
    <t xml:space="preserve">Le niveau d'un monstre de zone de chasse est tiré entre le niveau min et le niveau max (hypothèse : tirage uniforme, donc niveau moyen = étage + 5). Les zones de chasse sont affrontables à l'infini.</t>
  </si>
  <si>
    <t xml:space="preserve">Les 100 étages de la tour</t>
  </si>
  <si>
    <t xml:space="preserve">Chaque étage a le niveau de son étage (étage 84 → monstres niveau 84). Durée, pression et récompenses estimées à partir des monstres de la zone.</t>
  </si>
  <si>
    <t xml:space="preserve">Étages normaux : monstres de la zone de leur tranche de 5 (étages 1–4 → Forêt de chasse). Étages ×5 : boss. Étages ×9 : tannière du dragon. Dégâts en % des PV du joueur de référence, avant soins et boucliers. Colonnes U à AD : objets attendus (espérance) par étage et par rareté, voir l'onglet Butin.</t>
  </si>
  <si>
    <t xml:space="preserve">Niveau des monstres</t>
  </si>
  <si>
    <t xml:space="preserve">Type d'étage</t>
  </si>
  <si>
    <t xml:space="preserve">Zone (étage)</t>
  </si>
  <si>
    <t xml:space="preserve">Vagues</t>
  </si>
  <si>
    <t xml:space="preserve">Tours estimés</t>
  </si>
  <si>
    <t xml:space="preserve">Durée (s)</t>
  </si>
  <si>
    <t xml:space="preserve">Dégâts vague normale (% PV)</t>
  </si>
  <si>
    <t xml:space="preserve">Dégâts vague boss/dragon (% PV)</t>
  </si>
  <si>
    <t xml:space="preserve">Pire vague (% PV)</t>
  </si>
  <si>
    <t xml:space="preserve">Total étage (% PV)</t>
  </si>
  <si>
    <t xml:space="preserve">XP de l'étage</t>
  </si>
  <si>
    <t xml:space="preserve">Or de l'étage</t>
  </si>
  <si>
    <t xml:space="preserve">Zone de chasse débloquée</t>
  </si>
  <si>
    <t xml:space="preserve">Objets (monstres)</t>
  </si>
  <si>
    <t xml:space="preserve">Objets (boss / dragon)</t>
  </si>
  <si>
    <t xml:space="preserve">Objets attendus</t>
  </si>
  <si>
    <t xml:space="preserve">Simulation : combien de temps pour atteindre l'étage 100 ?</t>
  </si>
  <si>
    <t xml:space="preserve">Un joueur doit avoir au moins (étage − écart toléré) niveaux. S'il est en retard, il farme la dernière zone de chasse débloquée. Temps de jeu actif uniquement.</t>
  </si>
  <si>
    <t xml:space="preserve">Synthèse</t>
  </si>
  <si>
    <t xml:space="preserve">Temps total pour atteindre l'étage 100</t>
  </si>
  <si>
    <t xml:space="preserve">Hypothèses : le joueur ne perd jamais un combat, ne dépense pas d'or, joue en continu. Réglez la durée avec k1 (Paramètres §7) et l'écart toléré (§8).</t>
  </si>
  <si>
    <t xml:space="preserve">dont combats dans la tour (sans farm)</t>
  </si>
  <si>
    <t xml:space="preserve">dont farm en zones de chasse</t>
  </si>
  <si>
    <t xml:space="preserve">Monstres farmés au total</t>
  </si>
  <si>
    <t xml:space="preserve">Niveau du joueur à l'étage 100</t>
  </si>
  <si>
    <t xml:space="preserve">Or cumulé</t>
  </si>
  <si>
    <t xml:space="preserve">Atteignable en 1 h ?</t>
  </si>
  <si>
    <t xml:space="preserve">Niveau requis</t>
  </si>
  <si>
    <t xml:space="preserve">XP au départ</t>
  </si>
  <si>
    <t xml:space="preserve">Niveau du joueur avant</t>
  </si>
  <si>
    <t xml:space="preserve">XP requise pour le niveau requis</t>
  </si>
  <si>
    <t xml:space="preserve">XP manquante</t>
  </si>
  <si>
    <t xml:space="preserve">Zone de chasse farmée</t>
  </si>
  <si>
    <t xml:space="preserve">Niveau moyen des monstres farmés</t>
  </si>
  <si>
    <t xml:space="preserve">XP par monstre farmé</t>
  </si>
  <si>
    <t xml:space="preserve">Monstres à farmer</t>
  </si>
  <si>
    <t xml:space="preserve">Temps de farm (s)</t>
  </si>
  <si>
    <t xml:space="preserve">XP à l'étage suivant</t>
  </si>
  <si>
    <t xml:space="preserve">Durée de l'étage (s)</t>
  </si>
  <si>
    <t xml:space="preserve">Temps cumulé (h)</t>
  </si>
  <si>
    <t xml:space="preserve">Niveau du joueur après</t>
  </si>
  <si>
    <t xml:space="preserve">Courbes d'XP et d'or par niveau</t>
  </si>
  <si>
    <t xml:space="preserve">XP et or d'un monstre Normal (rang ×1,0), XP nécessaire pour monter, et prix des équipements en boutique (onglet Boutique).</t>
  </si>
  <si>
    <t xml:space="preserve">XP / monstre Normal</t>
  </si>
  <si>
    <t xml:space="preserve">Or / monstre Normal</t>
  </si>
  <si>
    <t xml:space="preserve">XP pour passer au niveau suivant</t>
  </si>
  <si>
    <t xml:space="preserve">XP cumulée pour atteindre ce niveau</t>
  </si>
  <si>
    <t xml:space="preserve">Monstres à tuer pour monter</t>
  </si>
  <si>
    <t xml:space="preserve">Prix Commun</t>
  </si>
  <si>
    <t xml:space="preserve">Prix Rare</t>
  </si>
  <si>
    <t xml:space="preserve">Prix Super rare</t>
  </si>
  <si>
    <t xml:space="preserve">Prix Épique</t>
  </si>
  <si>
    <t xml:space="preserve">Prix Mythique</t>
  </si>
  <si>
    <t xml:space="preserve">Prix Légendaire</t>
  </si>
  <si>
    <t xml:space="preserve">Lecture : « Monstres à tuer pour monter » = XP du niveau / XP d'un monstre Normal du même niveau.</t>
  </si>
  <si>
    <t xml:space="preserve">Les niveaux 101 à 110 ne servent qu'aux monstres des zones de chasse du palier 100.</t>
  </si>
  <si>
    <t xml:space="preserve">Prix de la boutique (onglet Boutique). Commun = 8 monstres du même niveau ; chaque rareté ×3.</t>
  </si>
  <si>
    <t xml:space="preserve">Unique : jamais vendu en boutique, uniquement en butin (boss, dragons, très rarement en chasse).</t>
  </si>
  <si>
    <t xml:space="preserve">—</t>
  </si>
  <si>
    <t xml:space="preserve">Boutique de la taverne : prix</t>
  </si>
  <si>
    <t xml:space="preserve">Le marchand se renouvelle toutes les heures. Prix calés sur l'or gagné (onglets Récompenses et Zones). Cellules jaunes = réglages ; le reste est calculé.</t>
  </si>
  <si>
    <t xml:space="preserve">1. Réglages</t>
  </si>
  <si>
    <t xml:space="preserve">Réglage</t>
  </si>
  <si>
    <t xml:space="preserve">Valeur</t>
  </si>
  <si>
    <t xml:space="preserve">Explication</t>
  </si>
  <si>
    <t xml:space="preserve">Renouvellement de la boutique (minutes)</t>
  </si>
  <si>
    <t xml:space="preserve">Nouvel assortiment d'objets et de ressources toutes les heures (temps réel, même hors ligne).</t>
  </si>
  <si>
    <t xml:space="preserve">Objets d'équipement proposés</t>
  </si>
  <si>
    <t xml:space="preserve">Pour les classes possédées, paliers déjà débloqués (étage atteint), raretés Commun à Épique, toujours à +0.</t>
  </si>
  <si>
    <t xml:space="preserve">Lots de ressources proposés</t>
  </si>
  <si>
    <t xml:space="preserve">Ressources des paliers débloqués (toile, verre et cuivre sont toujours en vente : seule source).</t>
  </si>
  <si>
    <t xml:space="preserve">Unités par lot</t>
  </si>
  <si>
    <t xml:space="preserve">Prix d'une ressource (en or d'un monstre Normal du niveau de référence)</t>
  </si>
  <si>
    <t xml:space="preserve">Calé pour qu'un lot de 10 coûte environ 1 minute de chasse dans la zone du palier : la production du village reste la source principale.</t>
  </si>
  <si>
    <t xml:space="preserve">Revente d'un objet au marchand (part du prix d'achat)</t>
  </si>
  <si>
    <t xml:space="preserve">Proposition à valider : un objet revendu rapporte 20 % du prix boutique de sa rareté (Mythique et plus : base du prix Épique).</t>
  </si>
  <si>
    <t xml:space="preserve">2. Personnages (les 2 classes non possédées)</t>
  </si>
  <si>
    <t xml:space="preserve">Achat</t>
  </si>
  <si>
    <t xml:space="preserve">Étage repère</t>
  </si>
  <si>
    <t xml:space="preserve">Heures de chasse</t>
  </si>
  <si>
    <t xml:space="preserve">Or / heure (zone repère)</t>
  </si>
  <si>
    <t xml:space="preserve">Prix (or)</t>
  </si>
  <si>
    <t xml:space="preserve">2e personnage</t>
  </si>
  <si>
    <t xml:space="preserve">Prix fixe, quelle que soit la classe. Arrive au niveau 1 et disparaît de la boutique une fois acheté.</t>
  </si>
  <si>
    <t xml:space="preserve">3e personnage</t>
  </si>
  <si>
    <t xml:space="preserve">Toujours en vente tant qu'une classe manque. Prix = heures de chasse × or/heure de la zone repère.</t>
  </si>
  <si>
    <t xml:space="preserve">3. Ressources (prix unitaire)</t>
  </si>
  <si>
    <t xml:space="preserve">Ressource</t>
  </si>
  <si>
    <t xml:space="preserve">Palier</t>
  </si>
  <si>
    <t xml:space="preserve">Source au village</t>
  </si>
  <si>
    <t xml:space="preserve">Étage de déblocage</t>
  </si>
  <si>
    <t xml:space="preserve">Niveau de référence</t>
  </si>
  <si>
    <t xml:space="preserve">Or / monstre Normal (niv. réf.)</t>
  </si>
  <si>
    <t xml:space="preserve">Prix unitaire</t>
  </si>
  <si>
    <t xml:space="preserve">Prix du lot</t>
  </si>
  <si>
    <t xml:space="preserve">Minutes de chasse pour un lot</t>
  </si>
  <si>
    <t xml:space="preserve">bois</t>
  </si>
  <si>
    <t xml:space="preserve">Scierie</t>
  </si>
  <si>
    <t xml:space="preserve">cuir</t>
  </si>
  <si>
    <t xml:space="preserve">Terrain de chasse</t>
  </si>
  <si>
    <t xml:space="preserve">lin</t>
  </si>
  <si>
    <t xml:space="preserve">Champs</t>
  </si>
  <si>
    <t xml:space="preserve">toile</t>
  </si>
  <si>
    <t xml:space="preserve">Taverne (marchand)</t>
  </si>
  <si>
    <t xml:space="preserve">verre</t>
  </si>
  <si>
    <t xml:space="preserve">cuivre</t>
  </si>
  <si>
    <t xml:space="preserve">fer</t>
  </si>
  <si>
    <t xml:space="preserve">Mine</t>
  </si>
  <si>
    <t xml:space="preserve">laine</t>
  </si>
  <si>
    <t xml:space="preserve">chêne</t>
  </si>
  <si>
    <t xml:space="preserve">frêne</t>
  </si>
  <si>
    <t xml:space="preserve">quartz</t>
  </si>
  <si>
    <t xml:space="preserve">argent</t>
  </si>
  <si>
    <t xml:space="preserve">acier</t>
  </si>
  <si>
    <t xml:space="preserve">cuir clouté</t>
  </si>
  <si>
    <t xml:space="preserve">soie</t>
  </si>
  <si>
    <t xml:space="preserve">ébène</t>
  </si>
  <si>
    <t xml:space="preserve">if</t>
  </si>
  <si>
    <t xml:space="preserve">améthyste</t>
  </si>
  <si>
    <t xml:space="preserve">or</t>
  </si>
  <si>
    <t xml:space="preserve">mithril</t>
  </si>
  <si>
    <t xml:space="preserve">écailles</t>
  </si>
  <si>
    <t xml:space="preserve">velours enchanté</t>
  </si>
  <si>
    <t xml:space="preserve">cristal</t>
  </si>
  <si>
    <t xml:space="preserve">saphir</t>
  </si>
  <si>
    <t xml:space="preserve">platine</t>
  </si>
  <si>
    <t xml:space="preserve">adamantite</t>
  </si>
  <si>
    <t xml:space="preserve">peau de dragon</t>
  </si>
  <si>
    <t xml:space="preserve">étoffe astrale</t>
  </si>
  <si>
    <t xml:space="preserve">diamant</t>
  </si>
  <si>
    <t xml:space="preserve">os de dragon</t>
  </si>
  <si>
    <t xml:space="preserve">orichalque</t>
  </si>
  <si>
    <t xml:space="preserve">éther</t>
  </si>
  <si>
    <t xml:space="preserve">Tour d'alchimie</t>
  </si>
  <si>
    <t xml:space="preserve">Minutes de chasse = prix du lot ÷ or gagné par heure dans la zone de chasse débloquée en même temps que la ressource (zone 5 pour les ressources du village).</t>
  </si>
  <si>
    <t xml:space="preserve">4. Équipements vendus à +0 (prix = onglet Récompenses au niveau de référence du palier : Commun = 8 monstres, chaque rareté ×3)</t>
  </si>
  <si>
    <t xml:space="preserve">Niveau de référence du prix</t>
  </si>
  <si>
    <t xml:space="preserve">Mythique / Légendaire / Unique</t>
  </si>
  <si>
    <t xml:space="preserve">Revente Épique</t>
  </si>
  <si>
    <t xml:space="preserve">Minutes de chasse (Épique)</t>
  </si>
  <si>
    <t xml:space="preserve">Non vendu (butin seulement)</t>
  </si>
  <si>
    <t xml:space="preserve">5. Niveaux de référence par palier (fichier équipements &gt; Matériaux)</t>
  </si>
  <si>
    <t xml:space="preserve">Plage de niveau des objets</t>
  </si>
  <si>
    <t xml:space="preserve">Niveau de base des objets (= étage de déblocage)</t>
  </si>
  <si>
    <t xml:space="preserve">1 → 20</t>
  </si>
  <si>
    <t xml:space="preserve">15 → 35</t>
  </si>
  <si>
    <t xml:space="preserve">30 → 55</t>
  </si>
  <si>
    <t xml:space="preserve">50 → 75</t>
  </si>
  <si>
    <t xml:space="preserve">70 → 100</t>
  </si>
  <si>
    <t xml:space="preserve">Butin : chance de drop et rareté des objets</t>
  </si>
  <si>
    <t xml:space="preserve">Chaque victoire peut faire tomber un équipement. 1) Le rang du monstre décide s'il y a un objet ; 2) le biome (et le type : monstre, boss, dragon) décide sa rareté. Cellules jaunes = réglages.</t>
  </si>
  <si>
    <t xml:space="preserve">Objet lâché : pour la classe du joueur, slot tiré au hasard, à l'amélioration +0, dans le matériau du palier de l'étage (bois étages 1–14, fer 15–29, acier 30–49, mithril 50–69, adamantite 70+). La rareté est tirée à part.</t>
  </si>
  <si>
    <t xml:space="preserve">1. Chance de butin par rang du monstre</t>
  </si>
  <si>
    <t xml:space="preserve">Objets par butin</t>
  </si>
  <si>
    <t xml:space="preserve">Chance d'un objet bonus</t>
  </si>
  <si>
    <t xml:space="preserve">Table de rareté utilisée</t>
  </si>
  <si>
    <t xml:space="preserve">Commentaire</t>
  </si>
  <si>
    <t xml:space="preserve">Tombe vite : petite chance.</t>
  </si>
  <si>
    <t xml:space="preserve">Référence : 1 objet toutes les 20 victoires.</t>
  </si>
  <si>
    <t xml:space="preserve">Plus robuste : meilleure chance, même table de rareté.</t>
  </si>
  <si>
    <t xml:space="preserve">Objet garanti, 40 % de chance d'en avoir un 2e. Table décalée vers le haut + Uniques.</t>
  </si>
  <si>
    <t xml:space="preserve">2 objets garantis + 50 % pour un 3e. Meilleure table de la tour.</t>
  </si>
  <si>
    <t xml:space="preserve">2. Rareté si un objet tombe : monstres (Faible, Normal, Fort, et monstres des zones de chasse)</t>
  </si>
  <si>
    <t xml:space="preserve">N°</t>
  </si>
  <si>
    <t xml:space="preserve">Total</t>
  </si>
  <si>
    <t xml:space="preserve">Rare dès l'étage 1, Super rare dès 11, Épique dès 21, Mythique dès 31, Légendaire dès 51. Unique : quasi nul (0,1 % → 0,7 % des objets, dès l'étage 41). Le total doit faire 100 %.</t>
  </si>
  <si>
    <t xml:space="preserve">3. Rareté si un objet tombe : boss de zone (étages ×5)</t>
  </si>
  <si>
    <t xml:space="preserve">Les boss ont toujours environ un biome d'avance sur les monstres, et 1 % → 7 % de chance que l'objet soit un Unique du biome.</t>
  </si>
  <si>
    <t xml:space="preserve">4. Rareté si un objet tombe : dragons (étages ×9)</t>
  </si>
  <si>
    <t xml:space="preserve">Les dragons (sac à PV, une seule vague) ont la meilleure table : 2 % → 10 % d'Unique par objet, et 2,5 objets en moyenne.</t>
  </si>
  <si>
    <t xml:space="preserve">5. Objets Uniques par biome (1 par classe ; liste du fichier Équipements, onglet Uniques)</t>
  </si>
  <si>
    <t xml:space="preserve">Lâchés par</t>
  </si>
  <si>
    <t xml:space="preserve">Heaume du Roi Déchu</t>
  </si>
  <si>
    <t xml:space="preserve">Bâton de la Singularité</t>
  </si>
  <si>
    <t xml:space="preserve">Bague du Dernier Souffle</t>
  </si>
  <si>
    <t xml:space="preserve">Ours enragé (5), Dragon (9), Chef gobelin (10)</t>
  </si>
  <si>
    <t xml:space="preserve">Plastron du Titan de Pierre</t>
  </si>
  <si>
    <t xml:space="preserve">Sceau de la Terre Ancestrale</t>
  </si>
  <si>
    <t xml:space="preserve">Pendentif de la Sentinelle de Pierre</t>
  </si>
  <si>
    <t xml:space="preserve">Haut chaman gobelin (15), Dragon (19), Chef orc (20)</t>
  </si>
  <si>
    <t xml:space="preserve">Jambières du Brasier Marchant</t>
  </si>
  <si>
    <t xml:space="preserve">Ceinture du Feu Intérieur</t>
  </si>
  <si>
    <t xml:space="preserve">Anneau des Flèches Ardentes</t>
  </si>
  <si>
    <t xml:space="preserve">Malphite (25), Dragon (29), Ifrit (30)</t>
  </si>
  <si>
    <t xml:space="preserve">Médaillon du Serment Brisé *</t>
  </si>
  <si>
    <t xml:space="preserve">Chapeau du Sage des Cieux</t>
  </si>
  <si>
    <t xml:space="preserve">Arc des Mille Tempêtes</t>
  </si>
  <si>
    <t xml:space="preserve">Ver des sables (35), Dragon (39), Anubis (40)</t>
  </si>
  <si>
    <t xml:space="preserve">Anneau du Briseur de Remparts</t>
  </si>
  <si>
    <t xml:space="preserve">Anneau de l'Alchimiste Fou</t>
  </si>
  <si>
    <t xml:space="preserve">Ceinture de l'Alchimiste Chasseur</t>
  </si>
  <si>
    <t xml:space="preserve">Roi slime (45), Dragon (49), Nurgol le zombie (50)</t>
  </si>
  <si>
    <t xml:space="preserve">Chevalière du Gardien des Marées</t>
  </si>
  <si>
    <t xml:space="preserve">Bottes du Voyageur des Eaux</t>
  </si>
  <si>
    <t xml:space="preserve">Veste du Brouillard Mouvant</t>
  </si>
  <si>
    <t xml:space="preserve">Kraken (55), Dragon (59), Roi triton (60)</t>
  </si>
  <si>
    <t xml:space="preserve">Bottes du Marcheur Glacé</t>
  </si>
  <si>
    <t xml:space="preserve">Robe du Givre Éternel</t>
  </si>
  <si>
    <t xml:space="preserve">Pantalon du Pisteur Givré</t>
  </si>
  <si>
    <t xml:space="preserve">Yéti (65), Dragon (69), Roi elfique (70)</t>
  </si>
  <si>
    <t xml:space="preserve">Ceinturon du Tonnerre Rugissant</t>
  </si>
  <si>
    <t xml:space="preserve">Pantalon du Tisseur de Tempêtes</t>
  </si>
  <si>
    <t xml:space="preserve">Bottes du Chasseur de Foudre</t>
  </si>
  <si>
    <t xml:space="preserve">Géant électrique (75), Dragon (79), Wyverne mutante (80)</t>
  </si>
  <si>
    <t xml:space="preserve">Rempart de l'Aube Éternelle</t>
  </si>
  <si>
    <t xml:space="preserve">Orbe de l'Éclipse</t>
  </si>
  <si>
    <t xml:space="preserve">Capuche de l'Œil du Faucon</t>
  </si>
  <si>
    <t xml:space="preserve">Jésus (85), Dragon (89), Michel (90)</t>
  </si>
  <si>
    <t xml:space="preserve">Épée de la Mort</t>
  </si>
  <si>
    <t xml:space="preserve">Amulette de l'Œil Maudit</t>
  </si>
  <si>
    <t xml:space="preserve">Carquois du Chasseur de Spectres</t>
  </si>
  <si>
    <t xml:space="preserve">Wyverne des ténèbres (95), Dragon (99), Roi démon (100)</t>
  </si>
  <si>
    <t xml:space="preserve">* Le Guerrier n'a pas d'Unique de Vent : son Médaillon (élément Neutre) tombe dans le Désert. Un Unique tombe toujours pour la classe du joueur : chaque biome a donc exactement 1 Unique possible par classe.</t>
  </si>
  <si>
    <t xml:space="preserve">6. Butin attendu en montant la tour une fois (sans farm) — calculé dans l'onglet Étages</t>
  </si>
  <si>
    <t xml:space="preserve">Objets</t>
  </si>
  <si>
    <t xml:space="preserve">Par slot</t>
  </si>
  <si>
    <t xml:space="preserve">« Par slot » = objets du biome ÷ 10 slots. Le farm en zone de chasse s'ajoute (voir Zones : objets / heure). Repère : ~1 objet par slot et par biome pendant la montée, l'équipement se renouvelle donc à chaque biome.</t>
  </si>
  <si>
    <t xml:space="preserve">7. Règles de butin (à implémenter dans le jeu)</t>
  </si>
  <si>
    <t xml:space="preserve">Tirage</t>
  </si>
  <si>
    <t xml:space="preserve">À chaque victoire : tirage « chance de butin » du rang. Si réussi : nombre d'objets, puis pour chaque objet un tirage de rareté dans la table du biome.</t>
  </si>
  <si>
    <t xml:space="preserve">Le biome est celui de l'étage (ou de la zone de chasse) : zone de chasse 55 → table Océan, même si le monstre est niveau 65.</t>
  </si>
  <si>
    <t xml:space="preserve">Objet</t>
  </si>
  <si>
    <t xml:space="preserve">Classe du joueur, slot au hasard (10 slots équiprobables). Matériau = palier de l'étage ou de la zone (zone 55 → mithril), amélioration +0. Le joueur l'améliore ensuite avec ce matériau (fichier Équipements).</t>
  </si>
  <si>
    <t xml:space="preserve">Si la rareté tirée est Unique : l'Unique du biome pour la classe du joueur (section 5). S'il le possède déjà, il peut être revendu ou recyclé (à décider).</t>
  </si>
  <si>
    <t xml:space="preserve">Progression</t>
  </si>
  <si>
    <t xml:space="preserve">Raretés débloquées par biome : les monstres ont un biome de retard sur les boss, les dragons un peu d'avance. Les Uniques sont surtout une récompense de boss/dragon.</t>
  </si>
  <si>
    <t xml:space="preserve">Altérations (debuffs) infligées par les monstres</t>
  </si>
  <si>
    <t xml:space="preserve">Chaque élément a ses altérations signature. Les règles de plafond suivent le fichier Éléments/Fusions (durée, cumul max, rafraîchissement).</t>
  </si>
  <si>
    <t xml:space="preserve">Catégorie</t>
  </si>
  <si>
    <t xml:space="preserve">Effet sur le joueur</t>
  </si>
  <si>
    <t xml:space="preserve">Unité</t>
  </si>
  <si>
    <t xml:space="preserve">Durée (tours)</t>
  </si>
  <si>
    <t xml:space="preserve">Cumul max</t>
  </si>
  <si>
    <t xml:space="preserve">Limite / immunité</t>
  </si>
  <si>
    <t xml:space="preserve">Sur les boss</t>
  </si>
  <si>
    <t xml:space="preserve">Neutre</t>
  </si>
  <si>
    <t xml:space="preserve">Dégâts sur la durée</t>
  </si>
  <si>
    <t xml:space="preserve">Perd 5 % de la Force du monstre par tour.</t>
  </si>
  <si>
    <t xml:space="preserve">% Force monstre / tour</t>
  </si>
  <si>
    <t xml:space="preserve">3 piles max ; durée rafraîchie.</t>
  </si>
  <si>
    <t xml:space="preserve">Identique.</t>
  </si>
  <si>
    <t xml:space="preserve">Contrôle</t>
  </si>
  <si>
    <t xml:space="preserve">Le joueur perd son prochain tour.</t>
  </si>
  <si>
    <t xml:space="preserve">tours perdus</t>
  </si>
  <si>
    <t xml:space="preserve">Immunité 2 tours ensuite ; durée /2 en cas de résistance.</t>
  </si>
  <si>
    <t xml:space="preserve">Durée des contrôles réduite de moitié ; jamais d'immunité totale.</t>
  </si>
  <si>
    <t xml:space="preserve">Affaiblissement</t>
  </si>
  <si>
    <t xml:space="preserve">−10 % de dégâts infligés.</t>
  </si>
  <si>
    <t xml:space="preserve">% dégâts infligés</t>
  </si>
  <si>
    <t xml:space="preserve">Non cumulable.</t>
  </si>
  <si>
    <t xml:space="preserve">Terre</t>
  </si>
  <si>
    <t xml:space="preserve">−15 % de Résistance.</t>
  </si>
  <si>
    <t xml:space="preserve">% Résistance</t>
  </si>
  <si>
    <t xml:space="preserve">−15 % d'Agilité.</t>
  </si>
  <si>
    <t xml:space="preserve">% Agilité</t>
  </si>
  <si>
    <t xml:space="preserve">Feu</t>
  </si>
  <si>
    <t xml:space="preserve">Perd 8 % de l'attaque du monstre par tour ; retirée par Mouillé.</t>
  </si>
  <si>
    <t xml:space="preserve">% attaque monstre / tour</t>
  </si>
  <si>
    <t xml:space="preserve">Non cumulable ; durée rafraîchie.</t>
  </si>
  <si>
    <t xml:space="preserve">Vent</t>
  </si>
  <si>
    <t xml:space="preserve">−15 % de Précision.</t>
  </si>
  <si>
    <t xml:space="preserve">% Précision</t>
  </si>
  <si>
    <t xml:space="preserve">Acide</t>
  </si>
  <si>
    <t xml:space="preserve">Perd 2 % des PV max par tour.</t>
  </si>
  <si>
    <t xml:space="preserve">% PV max / tour</t>
  </si>
  <si>
    <t xml:space="preserve">3 piles max ; sans effet de burst.</t>
  </si>
  <si>
    <t xml:space="preserve">−5 % d'Armure par pile.</t>
  </si>
  <si>
    <t xml:space="preserve">% Armure / pile</t>
  </si>
  <si>
    <t xml:space="preserve">4 piles max (−20 %).</t>
  </si>
  <si>
    <t xml:space="preserve">Eau</t>
  </si>
  <si>
    <t xml:space="preserve">Préparation</t>
  </si>
  <si>
    <t xml:space="preserve">+25 % de dégâts d'Électricité subis ; retire Brûlure.</t>
  </si>
  <si>
    <t xml:space="preserve">% dégâts Électricité subis</t>
  </si>
  <si>
    <t xml:space="preserve">Glace</t>
  </si>
  <si>
    <t xml:space="preserve">−8 % d'Agilité par pile ; à 3 piles, déclenche Gel.</t>
  </si>
  <si>
    <t xml:space="preserve">% Agilité / pile</t>
  </si>
  <si>
    <t xml:space="preserve">3 piles max puis Gel.</t>
  </si>
  <si>
    <t xml:space="preserve">Électricité</t>
  </si>
  <si>
    <t xml:space="preserve">Lumière</t>
  </si>
  <si>
    <t xml:space="preserve">−10 % de Précision et −20 % de Chance de critique.</t>
  </si>
  <si>
    <t xml:space="preserve">% Chance de critique</t>
  </si>
  <si>
    <t xml:space="preserve">L'Esquive du joueur est annulée.</t>
  </si>
  <si>
    <t xml:space="preserve">esquive annulée</t>
  </si>
  <si>
    <t xml:space="preserve">Ombre</t>
  </si>
  <si>
    <t xml:space="preserve">+10 % de dégâts subis.</t>
  </si>
  <si>
    <t xml:space="preserve">% dégâts subis</t>
  </si>
  <si>
    <t xml:space="preserve">1 pile max, non cumulable.</t>
  </si>
  <si>
    <t xml:space="preserve">25 % de chance de perdre son tour.</t>
  </si>
  <si>
    <t xml:space="preserve">% de perdre son tour</t>
  </si>
  <si>
    <t xml:space="preserve">Non cumulable ; jamais 2 tours de suite.</t>
  </si>
  <si>
    <t xml:space="preserve">La chance d'application réelle = chance du monstre × (1 − Résistance aux altérations du joueur), plafonnée côté joueur par l'équipement (30 % conseillé).</t>
  </si>
  <si>
    <t xml:space="preserve">Éléments et biomes</t>
  </si>
  <si>
    <t xml:space="preserve">Source : fichier Éléments/Fusions. Les faiblesses (×1,5) et résistances (×0,75) sont lues dans la matrice « Avantages ».</t>
  </si>
  <si>
    <t xml:space="preserve">Étage min</t>
  </si>
  <si>
    <t xml:space="preserve">Étage max</t>
  </si>
  <si>
    <t xml:space="preserve">Effet de base</t>
  </si>
  <si>
    <t xml:space="preserve">Altérations infligées dans ce biome</t>
  </si>
  <si>
    <t xml:space="preserve">Forêt</t>
  </si>
  <si>
    <t xml:space="preserve">Dégâts fiables, sans altération élémentaire native.</t>
  </si>
  <si>
    <t xml:space="preserve">Saignement, Assommé, Intimidé</t>
  </si>
  <si>
    <t xml:space="preserve">Montagne</t>
  </si>
  <si>
    <t xml:space="preserve">Stabilité : défense, rupture de garde.</t>
  </si>
  <si>
    <t xml:space="preserve">Acide, Vent</t>
  </si>
  <si>
    <t xml:space="preserve">Garde brisée, Enraciné</t>
  </si>
  <si>
    <t xml:space="preserve">Volcan</t>
  </si>
  <si>
    <t xml:space="preserve">Brûlure : dégâts sur plusieurs tours.</t>
  </si>
  <si>
    <t xml:space="preserve">Désert</t>
  </si>
  <si>
    <t xml:space="preserve">Rafale : repousse, déplace, désoriente.</t>
  </si>
  <si>
    <t xml:space="preserve">Marais</t>
  </si>
  <si>
    <t xml:space="preserve">Corrosion : réduit l'armure.</t>
  </si>
  <si>
    <t xml:space="preserve">Terre, Lumière</t>
  </si>
  <si>
    <t xml:space="preserve">Poison, Corrosion</t>
  </si>
  <si>
    <t xml:space="preserve">Océan / Île</t>
  </si>
  <si>
    <t xml:space="preserve">Imprégnation : mouille la cible, facilite l'Électricité, atténue le Feu.</t>
  </si>
  <si>
    <t xml:space="preserve">Iceberg</t>
  </si>
  <si>
    <t xml:space="preserve">Froid : réduit l'agilité ; plusieurs applications gèlent.</t>
  </si>
  <si>
    <t xml:space="preserve">Froid, Gel</t>
  </si>
  <si>
    <t xml:space="preserve">Haute montagne</t>
  </si>
  <si>
    <t xml:space="preserve">Conductivité : les attaques rebondissent ; étourdissement.</t>
  </si>
  <si>
    <t xml:space="preserve">Palais céleste</t>
  </si>
  <si>
    <t xml:space="preserve">Radiance : soigne, protège, révèle.</t>
  </si>
  <si>
    <t xml:space="preserve">Éblouissement, Marqué</t>
  </si>
  <si>
    <t xml:space="preserve">Corruption : malédiction qui amplifie les dégâts subis.</t>
  </si>
  <si>
    <t xml:space="preserve">Corruption, Terreur</t>
  </si>
  <si>
    <t xml:space="preserve">Matrice des multiplicateurs (défenseur en ligne, attaquant en colonne)</t>
  </si>
  <si>
    <t xml:space="preserve">Défenseur ↓ / Attaquant →</t>
  </si>
  <si>
    <t xml:space="preserve">Rouge = le défenseur subit ×1,5 (faiblesse). Vert = le défenseur subit ×0,75 (résistance). Copie du fichier Éléments/Fusions, onglet Avantages.</t>
  </si>
  <si>
    <t xml:space="preserve">Rôles et rangs des monstres</t>
  </si>
  <si>
    <t xml:space="preserve">Les stats d'un monstre = stat étalon du niveau × multiplicateur du rôle × multiplicateur du rang.</t>
  </si>
  <si>
    <t xml:space="preserve">Rôles (style de combat)</t>
  </si>
  <si>
    <t xml:space="preserve">PV ×</t>
  </si>
  <si>
    <t xml:space="preserve">Attaque ×</t>
  </si>
  <si>
    <t xml:space="preserve">Résistance ×</t>
  </si>
  <si>
    <t xml:space="preserve">Armure ×</t>
  </si>
  <si>
    <t xml:space="preserve">Agilité ×</t>
  </si>
  <si>
    <t xml:space="preserve">Précision ×</t>
  </si>
  <si>
    <t xml:space="preserve">Critique ×</t>
  </si>
  <si>
    <t xml:space="preserve">Dégâts crit. ×</t>
  </si>
  <si>
    <t xml:space="preserve">Pénétration ×</t>
  </si>
  <si>
    <t xml:space="preserve">Rés. altérations ×</t>
  </si>
  <si>
    <t xml:space="preserve">Part des dégâts élémentaires</t>
  </si>
  <si>
    <t xml:space="preserve">Comportement</t>
  </si>
  <si>
    <t xml:space="preserve">Initiative ×</t>
  </si>
  <si>
    <t xml:space="preserve">Attaques directes et rapides ; peut enchaîner.</t>
  </si>
  <si>
    <t xml:space="preserve">Encaisse beaucoup ; coups lourds mais peu précis.</t>
  </si>
  <si>
    <t xml:space="preserve">Équilibré, combat au corps à corps.</t>
  </si>
  <si>
    <t xml:space="preserve">Attaque à distance, critiques fréquents.</t>
  </si>
  <si>
    <t xml:space="preserve">Dégâts magiques élevés, très fragile en défense physique.</t>
  </si>
  <si>
    <t xml:space="preserve">Soigne ou renforce ses alliés : à cibler en priorité.</t>
  </si>
  <si>
    <t xml:space="preserve">Rapide et fragile ; critiques très fréquents.</t>
  </si>
  <si>
    <t xml:space="preserve">Créature d'élément pur ; dégâts 100 % élémentaires.</t>
  </si>
  <si>
    <t xml:space="preserve">Sac à PV : souffle de zone toutes les 3 tours.</t>
  </si>
  <si>
    <t xml:space="preserve">Rangs (puissance)</t>
  </si>
  <si>
    <t xml:space="preserve">Tours pour tuer</t>
  </si>
  <si>
    <t xml:space="preserve">Défenses ×</t>
  </si>
  <si>
    <t xml:space="preserve">Bonus part élémentaire</t>
  </si>
  <si>
    <t xml:space="preserve">Bonus rés. altérations</t>
  </si>
  <si>
    <t xml:space="preserve">Description</t>
  </si>
  <si>
    <t xml:space="preserve">Monstre de base, tombe vite.</t>
  </si>
  <si>
    <t xml:space="preserve">Monstre standard de la zone.</t>
  </si>
  <si>
    <t xml:space="preserve">Membre robuste de la zone (plus de PV et de dégâts).</t>
  </si>
  <si>
    <t xml:space="preserve">Boss de zone : 5ᵉ vague des étages ×5. Résistance partielle aux altérations.</t>
  </si>
  <si>
    <t xml:space="preserve">Sac à PV des tannières (étages ×9) : une seule vague.</t>
  </si>
  <si>
    <t xml:space="preserve">« Tours pour tuer » = tours qu'un joueur de référence met à tuer le monstre : PV = dégâts moyens du joueur par tour × tours pour tuer × PV du rôle.</t>
  </si>
  <si>
    <t xml:space="preserve">« Dégâts par coup » = part des PV du joueur de référence perdue à chaque coup (avant esquive) : Force/Magie du monstre = PV joueur × ce % × attaque du rôle.</t>
  </si>
  <si>
    <t xml:space="preserve">Paramètres d'équilibrage</t>
  </si>
  <si>
    <t xml:space="preserve">Cellules jaunes / texte bleu = modifiables. Tout le classeur se recalcule à partir d'ici, de « Rôles » et de « Altérations ».</t>
  </si>
  <si>
    <t xml:space="preserve">Paramètre</t>
  </si>
  <si>
    <t xml:space="preserve">1. Courbe de niveau (identique à celle des équipements)</t>
  </si>
  <si>
    <t xml:space="preserve">Part de la valeur au niveau 1 (a)</t>
  </si>
  <si>
    <t xml:space="preserve">Un monstre de niveau 1 a 5 % des stats d'un monstre de niveau 100.</t>
  </si>
  <si>
    <t xml:space="preserve">Exposant de la courbe (p)</t>
  </si>
  <si>
    <t xml:space="preserve">p &gt; 1 : progression lente au début, plus rapide à haut niveau.</t>
  </si>
  <si>
    <t xml:space="preserve">Niveau minimum</t>
  </si>
  <si>
    <t xml:space="preserve">Niveau maximum de référence</t>
  </si>
  <si>
    <t xml:space="preserve">Facteur(N) = a + (1 − a) × ((N − min) / (max − min)) ^ p. Vaut 1,00 au niveau 100 (et plus de 1 en zone de chasse jusqu'au niveau 110).</t>
  </si>
  <si>
    <t xml:space="preserve">2. Joueur de référence au niveau 100 (sert à calibrer les monstres)</t>
  </si>
  <si>
    <t xml:space="preserve">Vitalité du joueur</t>
  </si>
  <si>
    <t xml:space="preserve">Niveau + équipement mythique/légendaire environ (cf. fichier équipements).</t>
  </si>
  <si>
    <t xml:space="preserve">PV par point de Vitalité</t>
  </si>
  <si>
    <t xml:space="preserve">Hypothèse : PV max = Vitalité × 10.</t>
  </si>
  <si>
    <t xml:space="preserve">PV du joueur</t>
  </si>
  <si>
    <t xml:space="preserve">Calculé.</t>
  </si>
  <si>
    <t xml:space="preserve">Stat offensive du joueur (Force ou Magie)</t>
  </si>
  <si>
    <t xml:space="preserve">Niveau + équipement.</t>
  </si>
  <si>
    <t xml:space="preserve">Puissance moyenne d'une attaque du joueur</t>
  </si>
  <si>
    <t xml:space="preserve">Multiplicateur moyen des compétences.</t>
  </si>
  <si>
    <t xml:space="preserve">Réduction moyenne subie par le joueur côté monstre</t>
  </si>
  <si>
    <t xml:space="preserve">Part des dégâts absorbée en moyenne par la défense d'un monstre.</t>
  </si>
  <si>
    <t xml:space="preserve">Dégâts moyens du joueur par tour</t>
  </si>
  <si>
    <t xml:space="preserve">Calculé. Sert à fixer les PV des monstres (PV = dégâts/tour × tours pour tuer).</t>
  </si>
  <si>
    <t xml:space="preserve">3. Monstre étalon (rang Normal, niveau 100, avant rôle et rang)</t>
  </si>
  <si>
    <t xml:space="preserve">Multipliée ensuite par le rôle et le rang.</t>
  </si>
  <si>
    <t xml:space="preserve">Précision de base</t>
  </si>
  <si>
    <t xml:space="preserve">Ne dépend pas du niveau.</t>
  </si>
  <si>
    <t xml:space="preserve">Chance de critique de base</t>
  </si>
  <si>
    <t xml:space="preserve">Bonus de dégâts critiques de base</t>
  </si>
  <si>
    <t xml:space="preserve">+50 % (coup critique = ×1,5).</t>
  </si>
  <si>
    <t xml:space="preserve">Pénétration de base</t>
  </si>
  <si>
    <t xml:space="preserve">Résistance aux altérations au niveau 1</t>
  </si>
  <si>
    <t xml:space="preserve">Augmente linéairement avec le niveau.</t>
  </si>
  <si>
    <t xml:space="preserve">Résistance aux altérations au niveau 100</t>
  </si>
  <si>
    <t xml:space="preserve">Les boss et dragons ont un bonus de rang (jamais d'immunité totale).</t>
  </si>
  <si>
    <t xml:space="preserve">Plafond de résistance aux altérations</t>
  </si>
  <si>
    <t xml:space="preserve">Plafond de chance de critique</t>
  </si>
  <si>
    <t xml:space="preserve">Plafond de pénétration</t>
  </si>
  <si>
    <t xml:space="preserve">Réduction physique de l'Armure étalon</t>
  </si>
  <si>
    <t xml:space="preserve">Réduction = Armure / (Armure + K) ; K fixé pour que l'étalon donne ce pourcentage, à tous les niveaux.</t>
  </si>
  <si>
    <t xml:space="preserve">Réduction de la Résistance étalon</t>
  </si>
  <si>
    <t xml:space="preserve">Même principe pour la Résistance (valable contre tous les dégâts).</t>
  </si>
  <si>
    <t xml:space="preserve">Part de l'attaque par stat pour une attaque Mixte</t>
  </si>
  <si>
    <t xml:space="preserve">Un monstre Mixte a Force et Magie égales à 75 % de son attaque.</t>
  </si>
  <si>
    <t xml:space="preserve">4. Combat (hypothèses de calibrage)</t>
  </si>
  <si>
    <t xml:space="preserve">Taux de touche moyen des monstres</t>
  </si>
  <si>
    <t xml:space="preserve">Sert aux estimations de PV perdus.</t>
  </si>
  <si>
    <t xml:space="preserve">Puissance moyenne d'une attaque de monstre</t>
  </si>
  <si>
    <t xml:space="preserve">Réduction moyenne des dégâts côté joueur</t>
  </si>
  <si>
    <t xml:space="preserve">Armure/Résistance du joueur : sert à déduire la Force/Magie des monstres.</t>
  </si>
  <si>
    <t xml:space="preserve">Seuil d'alerte : PV perdus sur la pire vague</t>
  </si>
  <si>
    <t xml:space="preserve">Au-delà, l'étage est signalé « Trop dur » (avant soins et boucliers).</t>
  </si>
  <si>
    <t xml:space="preserve">5. Composition des étages</t>
  </si>
  <si>
    <t xml:space="preserve">Monstres par vague</t>
  </si>
  <si>
    <t xml:space="preserve">Le diagramme ne le précise pas.</t>
  </si>
  <si>
    <t xml:space="preserve">Vagues d'un étage normal</t>
  </si>
  <si>
    <t xml:space="preserve">Diagramme : 3 vagues.</t>
  </si>
  <si>
    <t xml:space="preserve">Vagues d'un étage boss</t>
  </si>
  <si>
    <t xml:space="preserve">Diagramme : 5 vagues (les 4 premières normales, la dernière avec le boss).</t>
  </si>
  <si>
    <t xml:space="preserve">Escortes dans la vague du boss</t>
  </si>
  <si>
    <t xml:space="preserve">Monstres normaux qui accompagnent le boss.</t>
  </si>
  <si>
    <t xml:space="preserve">Écart de niveau maximum en zone de chasse</t>
  </si>
  <si>
    <t xml:space="preserve">Diagramme : niveau d'étage + 10 max.</t>
  </si>
  <si>
    <t xml:space="preserve">6. Rythme de jeu</t>
  </si>
  <si>
    <t xml:space="preserve">Secondes par tour de combat</t>
  </si>
  <si>
    <t xml:space="preserve">Animations et choix du joueur.</t>
  </si>
  <si>
    <t xml:space="preserve">Tours économisés grâce aux attaques de zone</t>
  </si>
  <si>
    <t xml:space="preserve">Réduit le temps pour tuer un groupe.</t>
  </si>
  <si>
    <t xml:space="preserve">Temps mort par vague (s)</t>
  </si>
  <si>
    <t xml:space="preserve">Transitions, ramassage, etc.</t>
  </si>
  <si>
    <t xml:space="preserve">7. Récompenses (XP et or)</t>
  </si>
  <si>
    <t xml:space="preserve">XP d'un monstre Normal : coefficient</t>
  </si>
  <si>
    <t xml:space="preserve">XP = coefficient × niveau ^ exposant.</t>
  </si>
  <si>
    <t xml:space="preserve">XP d'un monstre Normal : exposant</t>
  </si>
  <si>
    <t xml:space="preserve">Monstres à tuer pour monter de niveau (niveau 1)</t>
  </si>
  <si>
    <t xml:space="preserve">XP pour passer de N à N+1 = XP d'un monstre Normal × (k0 + k1 × N).</t>
  </si>
  <si>
    <t xml:space="preserve">Monstres supplémentaires par niveau (k1)</t>
  </si>
  <si>
    <t xml:space="preserve">Principal réglage de la durée de jeu : plus k1 est grand, plus il faut farmer.</t>
  </si>
  <si>
    <t xml:space="preserve">Or d'un monstre Normal : coefficient</t>
  </si>
  <si>
    <t xml:space="preserve">Or = coefficient × niveau ^ exposant.</t>
  </si>
  <si>
    <t xml:space="preserve">Or d'un monstre Normal : exposant</t>
  </si>
  <si>
    <t xml:space="preserve">Écart de niveau : variation d'XP par niveau</t>
  </si>
  <si>
    <t xml:space="preserve">XP × (1 + 10 % × (niveau monstre − niveau joueur)), borné ci-dessous.</t>
  </si>
  <si>
    <t xml:space="preserve">Écart de niveau : facteur minimum</t>
  </si>
  <si>
    <t xml:space="preserve">Un monstre trop faible rapporte au moins 25 % de l'XP.</t>
  </si>
  <si>
    <t xml:space="preserve">Écart de niveau : facteur maximum</t>
  </si>
  <si>
    <t xml:space="preserve">Un monstre bien plus fort rapporte au plus 150 % de l'XP.</t>
  </si>
  <si>
    <t xml:space="preserve">Prix d'un objet Commun (en monstres du même niveau)</t>
  </si>
  <si>
    <t xml:space="preserve">Prix indicatif : la boutique n'est pas détaillée dans le diagramme.</t>
  </si>
  <si>
    <t xml:space="preserve">Multiplicateur de prix par rareté</t>
  </si>
  <si>
    <t xml:space="preserve">Rare = ×3, Super rare = ×9, Épique = ×27, Mythique = ×81, Légendaire = ×243. Unique : non vendu.</t>
  </si>
  <si>
    <t xml:space="preserve">8. Simulation de progression</t>
  </si>
  <si>
    <t xml:space="preserve">Écart de niveau toléré (niveau joueur ≥ étage − X)</t>
  </si>
  <si>
    <t xml:space="preserve">Le joueur farme en zone de chasse tant qu'il a plus de X niveaux de retard sur l'étage.</t>
  </si>
  <si>
    <t xml:space="preserve">9. Initiative (ordre des camps)</t>
  </si>
  <si>
    <t xml:space="preserve">Initiative étalon d'un monstre (niveau 100, rang Normal, rôle ×1)</t>
  </si>
  <si>
    <t xml:space="preserve">× facteur de niveau × rôle (Rôles, colonne N) × rang (Rôles, colonne I).</t>
  </si>
  <si>
    <t xml:space="preserve">Initiative de base du Guerrier au niveau 100</t>
  </si>
  <si>
    <t xml:space="preserve">× facteur de niveau, puis + initiative de l'équipement (fichier équipements).</t>
  </si>
  <si>
    <t xml:space="preserve">Initiative de base du Mage au niveau 100</t>
  </si>
  <si>
    <t xml:space="preserve">Même calcul.</t>
  </si>
  <si>
    <t xml:space="preserve">Initiative de base du Tireur au niveau 100</t>
  </si>
  <si>
    <t xml:space="preserve">Classe la plus rapide.</t>
  </si>
  <si>
    <t xml:space="preserve">Règle d'ordre</t>
  </si>
  <si>
    <t xml:space="preserve">Moyenne</t>
  </si>
  <si>
    <t xml:space="preserve">À chaque manche : moyenne de l'initiative des héros vivants contre celle des monstres vivants de la vague. Le camp le plus haut joue en entier, puis l'autre. Égalité : les héros commencent.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</si>
</sst>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"/>
    <numFmt numFmtId="166" formatCode="General"/>
    <numFmt numFmtId="167" formatCode="#,##0;\-#,##0;\-"/>
    <numFmt numFmtId="168" formatCode="0.0%;\-0.0%;\-"/>
    <numFmt numFmtId="169" formatCode="0%;\-0%;\-"/>
    <numFmt numFmtId="170" formatCode="0.0%"/>
    <numFmt numFmtId="171" formatCode="0.0"/>
    <numFmt numFmtId="172" formatCode="0%"/>
    <numFmt numFmtId="173" formatCode="0.00"/>
    <numFmt numFmtId="174" formatCode="0.000"/>
    <numFmt numFmtId="175" formatCode="0.00%;\-0.00%;\-"/>
    <numFmt numFmtId="176" formatCode="0;\-0;\-"/>
    <numFmt numFmtId="177" formatCode="0.00%"/>
    <numFmt numFmtId="178" formatCode="0.00;\-0.00;\-"/>
    <numFmt numFmtId="179" formatCode="0.000;\-0.000;\-"/>
    <numFmt numFmtId="180" formatCode="0.0&quot; h&quot;"/>
    <numFmt numFmtId="181" formatCode="#,##0"/>
    <numFmt numFmtId="182" formatCode="#,##0.0"/>
    <numFmt numFmtId="183" formatCode="@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0739E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1F2937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008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FF6C8"/>
      </patternFill>
    </fill>
    <fill>
      <patternFill patternType="solid">
        <fgColor rgb="FFFFFFFF"/>
        <bgColor rgb="FFFFF6C8"/>
      </patternFill>
    </fill>
    <fill>
      <patternFill patternType="solid">
        <fgColor rgb="FF4E8A0B"/>
        <bgColor rgb="FF339966"/>
      </patternFill>
    </fill>
    <fill>
      <patternFill patternType="solid">
        <fgColor rgb="FF1E90D0"/>
        <bgColor rgb="FF10739E"/>
      </patternFill>
    </fill>
    <fill>
      <patternFill patternType="solid">
        <fgColor rgb="FFFFA3FF"/>
        <bgColor rgb="FFF8B4B4"/>
      </patternFill>
    </fill>
    <fill>
      <patternFill patternType="solid">
        <fgColor rgb="FFFF9183"/>
        <bgColor rgb="FFF8B4A0"/>
      </patternFill>
    </fill>
    <fill>
      <patternFill patternType="solid">
        <fgColor rgb="FFF0A30A"/>
        <bgColor rgb="FFFF9183"/>
      </patternFill>
    </fill>
    <fill>
      <patternFill patternType="solid">
        <fgColor rgb="FFB1DDF0"/>
        <bgColor rgb="FFA9D6F5"/>
      </patternFill>
    </fill>
    <fill>
      <patternFill patternType="solid">
        <fgColor rgb="FFE5E7EB"/>
        <bgColor rgb="FFEADCF8"/>
      </patternFill>
    </fill>
    <fill>
      <patternFill patternType="solid">
        <fgColor rgb="FFD6B88A"/>
        <bgColor rgb="FFF8B4A0"/>
      </patternFill>
    </fill>
    <fill>
      <patternFill patternType="solid">
        <fgColor rgb="FFF8B4A0"/>
        <bgColor rgb="FFF8B4B4"/>
      </patternFill>
    </fill>
    <fill>
      <patternFill patternType="solid">
        <fgColor rgb="FFCDEBD6"/>
        <bgColor rgb="FFCFEFFA"/>
      </patternFill>
    </fill>
    <fill>
      <patternFill patternType="solid">
        <fgColor rgb="FFD9F0A3"/>
        <bgColor rgb="FFCDEBD6"/>
      </patternFill>
    </fill>
    <fill>
      <patternFill patternType="solid">
        <fgColor rgb="FFA9D6F5"/>
        <bgColor rgb="FFB1DDF0"/>
      </patternFill>
    </fill>
    <fill>
      <patternFill patternType="solid">
        <fgColor rgb="FFCFEFFA"/>
        <bgColor rgb="FFCDEBD6"/>
      </patternFill>
    </fill>
    <fill>
      <patternFill patternType="solid">
        <fgColor rgb="FFFFF08A"/>
        <bgColor rgb="FFFFF6C8"/>
      </patternFill>
    </fill>
    <fill>
      <patternFill patternType="solid">
        <fgColor rgb="FFFFF6C8"/>
        <bgColor rgb="FFFFF2CC"/>
      </patternFill>
    </fill>
    <fill>
      <patternFill patternType="solid">
        <fgColor rgb="FFC9B8E6"/>
        <bgColor rgb="FFD1D5DB"/>
      </patternFill>
    </fill>
    <fill>
      <patternFill patternType="solid">
        <fgColor rgb="FFB7E4C7"/>
        <bgColor rgb="FFCDEBD6"/>
      </patternFill>
    </fill>
    <fill>
      <patternFill patternType="solid">
        <fgColor rgb="FFF8B4B4"/>
        <bgColor rgb="FFF8B4A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DE7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6F5"/>
          <bgColor rgb="FF000000"/>
        </patternFill>
      </fill>
    </dxf>
    <dxf>
      <fill>
        <patternFill patternType="solid">
          <fgColor rgb="FFC9B8E6"/>
          <bgColor rgb="FF000000"/>
        </patternFill>
      </fill>
    </dxf>
    <dxf>
      <fill>
        <patternFill patternType="solid">
          <fgColor rgb="FFCDEBD6"/>
          <bgColor rgb="FF000000"/>
        </patternFill>
      </fill>
    </dxf>
    <dxf>
      <fill>
        <patternFill patternType="solid">
          <fgColor rgb="FFCFEFFA"/>
          <bgColor rgb="FF000000"/>
        </patternFill>
      </fill>
    </dxf>
    <dxf>
      <fill>
        <patternFill patternType="solid">
          <fgColor rgb="FFD6B88A"/>
          <bgColor rgb="FF000000"/>
        </patternFill>
      </fill>
    </dxf>
    <dxf>
      <fill>
        <patternFill patternType="solid">
          <fgColor rgb="FFD9F0A3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8B4A0"/>
          <bgColor rgb="FF000000"/>
        </patternFill>
      </fill>
    </dxf>
    <dxf>
      <fill>
        <patternFill patternType="solid">
          <fgColor rgb="FFFFF08A"/>
          <bgColor rgb="FF000000"/>
        </patternFill>
      </fill>
    </dxf>
    <dxf>
      <fill>
        <patternFill patternType="solid">
          <fgColor rgb="FFFFF6C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4E8A0B"/>
          <bgColor rgb="FF000000"/>
        </patternFill>
      </fill>
    </dxf>
    <dxf>
      <fill>
        <patternFill patternType="solid">
          <fgColor rgb="FF1E90D0"/>
          <bgColor rgb="FF000000"/>
        </patternFill>
      </fill>
    </dxf>
    <dxf>
      <fill>
        <patternFill patternType="solid">
          <fgColor rgb="FFFFA3FF"/>
          <bgColor rgb="FF000000"/>
        </patternFill>
      </fill>
    </dxf>
    <dxf>
      <fill>
        <patternFill patternType="solid">
          <fgColor rgb="FFFF9183"/>
          <bgColor rgb="FF000000"/>
        </patternFill>
      </fill>
    </dxf>
    <dxf>
      <fill>
        <patternFill patternType="solid">
          <fgColor rgb="FFF0A30A"/>
          <bgColor rgb="FF000000"/>
        </patternFill>
      </fill>
    </dxf>
    <dxf>
      <fill>
        <patternFill patternType="solid">
          <fgColor rgb="FFB1DDF0"/>
          <bgColor rgb="FF000000"/>
        </patternFill>
      </fill>
    </dxf>
    <dxf>
      <fill>
        <patternFill patternType="solid">
          <fgColor rgb="FF10739E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DE7C8"/>
        </patternFill>
      </fill>
    </dxf>
    <dxf>
      <font>
        <name val="Arial"/>
        <charset val="1"/>
        <family val="0"/>
        <i val="1"/>
        <color rgb="FF6B7280"/>
      </font>
    </dxf>
    <dxf>
      <fill>
        <patternFill>
          <bgColor rgb="FFFDE7C8"/>
        </patternFill>
      </fill>
    </dxf>
    <dxf>
      <fill>
        <patternFill>
          <bgColor rgb="FFEADCF8"/>
        </patternFill>
      </fill>
    </dxf>
    <dxf>
      <font>
        <name val="Arial"/>
        <charset val="1"/>
        <family val="0"/>
        <b val="1"/>
        <color rgb="FF9B1C1C"/>
      </font>
    </dxf>
    <dxf>
      <font>
        <b val="1"/>
        <color rgb="FF991B1B"/>
      </font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9F0A3"/>
      <rgbColor rgb="FFFF00FF"/>
      <rgbColor rgb="FF00FFFF"/>
      <rgbColor rgb="FF991B1B"/>
      <rgbColor rgb="FF008000"/>
      <rgbColor rgb="FF000080"/>
      <rgbColor rgb="FF4E8A0B"/>
      <rgbColor rgb="FF800080"/>
      <rgbColor rgb="FF10739E"/>
      <rgbColor rgb="FFC9B8E6"/>
      <rgbColor rgb="FFF8B4A0"/>
      <rgbColor rgb="FFB1DDF0"/>
      <rgbColor rgb="FF993366"/>
      <rgbColor rgb="FFFFF6C8"/>
      <rgbColor rgb="FFCFEFFA"/>
      <rgbColor rgb="FF660066"/>
      <rgbColor rgb="FFFF9183"/>
      <rgbColor rgb="FF0066CC"/>
      <rgbColor rgb="FFD1D5DB"/>
      <rgbColor rgb="FF000080"/>
      <rgbColor rgb="FFFF00FF"/>
      <rgbColor rgb="FFFFF2CC"/>
      <rgbColor rgb="FF00FFFF"/>
      <rgbColor rgb="FF800080"/>
      <rgbColor rgb="FF800000"/>
      <rgbColor rgb="FF1E90D0"/>
      <rgbColor rgb="FF0000FF"/>
      <rgbColor rgb="FF00CCFF"/>
      <rgbColor rgb="FFE5E7EB"/>
      <rgbColor rgb="FFCDEBD6"/>
      <rgbColor rgb="FFFFF08A"/>
      <rgbColor rgb="FFA9D6F5"/>
      <rgbColor rgb="FFFFA3FF"/>
      <rgbColor rgb="FFF8B4B4"/>
      <rgbColor rgb="FFFECACA"/>
      <rgbColor rgb="FF3366FF"/>
      <rgbColor rgb="FFEADCF8"/>
      <rgbColor rgb="FFB7E4C7"/>
      <rgbColor rgb="FFD6B88A"/>
      <rgbColor rgb="FFF0A30A"/>
      <rgbColor rgb="FFFDE7C8"/>
      <rgbColor rgb="FF6B7280"/>
      <rgbColor rgb="FF9CA3AF"/>
      <rgbColor rgb="FF003366"/>
      <rgbColor rgb="FF339966"/>
      <rgbColor rgb="FF003300"/>
      <rgbColor rgb="FF333300"/>
      <rgbColor rgb="FF9B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0"/>
    <col collapsed="false" customWidth="true" hidden="false" outlineLevel="0" max="26" min="3" style="1" width="8.71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45" hidden="false" customHeight="true" outlineLevel="0" collapsed="false">
      <c r="A5" s="6" t="s">
        <v>3</v>
      </c>
      <c r="B5" s="7" t="s">
        <v>4</v>
      </c>
    </row>
    <row r="6" customFormat="false" ht="30.75" hidden="false" customHeight="true" outlineLevel="0" collapsed="false">
      <c r="A6" s="6" t="s">
        <v>5</v>
      </c>
      <c r="B6" s="7" t="s">
        <v>6</v>
      </c>
    </row>
    <row r="7" customFormat="false" ht="15" hidden="false" customHeight="true" outlineLevel="0" collapsed="false">
      <c r="A7" s="4" t="s">
        <v>7</v>
      </c>
      <c r="B7" s="5"/>
    </row>
    <row r="8" customFormat="false" ht="30.75" hidden="false" customHeight="true" outlineLevel="0" collapsed="false">
      <c r="A8" s="6" t="s">
        <v>8</v>
      </c>
      <c r="B8" s="7" t="s">
        <v>9</v>
      </c>
    </row>
    <row r="9" customFormat="false" ht="30.75" hidden="false" customHeight="true" outlineLevel="0" collapsed="false">
      <c r="A9" s="6" t="s">
        <v>10</v>
      </c>
      <c r="B9" s="7" t="s">
        <v>11</v>
      </c>
    </row>
    <row r="10" customFormat="false" ht="16.5" hidden="false" customHeight="true" outlineLevel="0" collapsed="false">
      <c r="A10" s="6" t="s">
        <v>12</v>
      </c>
      <c r="B10" s="7" t="s">
        <v>13</v>
      </c>
    </row>
    <row r="11" customFormat="false" ht="16.5" hidden="false" customHeight="true" outlineLevel="0" collapsed="false">
      <c r="A11" s="6" t="s">
        <v>14</v>
      </c>
      <c r="B11" s="7" t="s">
        <v>15</v>
      </c>
    </row>
    <row r="12" customFormat="false" ht="30.75" hidden="false" customHeight="true" outlineLevel="0" collapsed="false">
      <c r="A12" s="6" t="s">
        <v>16</v>
      </c>
      <c r="B12" s="7" t="s">
        <v>17</v>
      </c>
    </row>
    <row r="13" customFormat="false" ht="30.75" hidden="false" customHeight="true" outlineLevel="0" collapsed="false">
      <c r="A13" s="6" t="s">
        <v>18</v>
      </c>
      <c r="B13" s="7" t="s">
        <v>19</v>
      </c>
    </row>
    <row r="14" customFormat="false" ht="30.75" hidden="false" customHeight="true" outlineLevel="0" collapsed="false">
      <c r="A14" s="6" t="s">
        <v>20</v>
      </c>
      <c r="B14" s="7" t="s">
        <v>21</v>
      </c>
    </row>
    <row r="15" customFormat="false" ht="16.5" hidden="false" customHeight="true" outlineLevel="0" collapsed="false">
      <c r="A15" s="6" t="s">
        <v>22</v>
      </c>
      <c r="B15" s="7" t="s">
        <v>23</v>
      </c>
    </row>
    <row r="16" customFormat="false" ht="16.5" hidden="false" customHeight="true" outlineLevel="0" collapsed="false">
      <c r="A16" s="6" t="s">
        <v>24</v>
      </c>
      <c r="B16" s="7" t="s">
        <v>25</v>
      </c>
    </row>
    <row r="17" customFormat="false" ht="16.5" hidden="false" customHeight="true" outlineLevel="0" collapsed="false">
      <c r="A17" s="6" t="s">
        <v>26</v>
      </c>
      <c r="B17" s="7" t="s">
        <v>27</v>
      </c>
    </row>
    <row r="18" customFormat="false" ht="30.75" hidden="false" customHeight="true" outlineLevel="0" collapsed="false">
      <c r="A18" s="6" t="s">
        <v>28</v>
      </c>
      <c r="B18" s="7" t="s">
        <v>29</v>
      </c>
    </row>
    <row r="19" customFormat="false" ht="15" hidden="false" customHeight="true" outlineLevel="0" collapsed="false">
      <c r="A19" s="4" t="s">
        <v>30</v>
      </c>
      <c r="B19" s="5"/>
    </row>
    <row r="20" customFormat="false" ht="30.75" hidden="false" customHeight="true" outlineLevel="0" collapsed="false">
      <c r="A20" s="6" t="s">
        <v>31</v>
      </c>
      <c r="B20" s="7" t="s">
        <v>32</v>
      </c>
    </row>
    <row r="21" customFormat="false" ht="30.75" hidden="false" customHeight="true" outlineLevel="0" collapsed="false">
      <c r="A21" s="6" t="s">
        <v>33</v>
      </c>
      <c r="B21" s="7" t="s">
        <v>34</v>
      </c>
    </row>
    <row r="22" customFormat="false" ht="16.5" hidden="false" customHeight="true" outlineLevel="0" collapsed="false">
      <c r="A22" s="6" t="s">
        <v>35</v>
      </c>
      <c r="B22" s="7" t="s">
        <v>36</v>
      </c>
    </row>
    <row r="23" customFormat="false" ht="30.75" hidden="false" customHeight="true" outlineLevel="0" collapsed="false">
      <c r="A23" s="6" t="s">
        <v>37</v>
      </c>
      <c r="B23" s="7" t="s">
        <v>38</v>
      </c>
    </row>
    <row r="24" customFormat="false" ht="45" hidden="false" customHeight="true" outlineLevel="0" collapsed="false">
      <c r="A24" s="6" t="s">
        <v>20</v>
      </c>
      <c r="B24" s="7" t="s">
        <v>39</v>
      </c>
    </row>
    <row r="25" customFormat="false" ht="15" hidden="false" customHeight="true" outlineLevel="0" collapsed="false">
      <c r="A25" s="4" t="s">
        <v>40</v>
      </c>
      <c r="B25" s="5"/>
    </row>
    <row r="26" customFormat="false" ht="16.5" hidden="false" customHeight="true" outlineLevel="0" collapsed="false">
      <c r="A26" s="6" t="s">
        <v>41</v>
      </c>
      <c r="B26" s="7" t="s">
        <v>42</v>
      </c>
    </row>
    <row r="27" customFormat="false" ht="16.5" hidden="false" customHeight="true" outlineLevel="0" collapsed="false">
      <c r="A27" s="6" t="s">
        <v>43</v>
      </c>
      <c r="B27" s="7" t="s">
        <v>44</v>
      </c>
    </row>
    <row r="28" customFormat="false" ht="30.75" hidden="false" customHeight="true" outlineLevel="0" collapsed="false">
      <c r="A28" s="6" t="s">
        <v>45</v>
      </c>
      <c r="B28" s="7" t="s">
        <v>46</v>
      </c>
    </row>
    <row r="29" customFormat="false" ht="30.75" hidden="false" customHeight="true" outlineLevel="0" collapsed="false">
      <c r="A29" s="6" t="s">
        <v>47</v>
      </c>
      <c r="B29" s="7" t="s">
        <v>48</v>
      </c>
    </row>
    <row r="30" customFormat="false" ht="45" hidden="false" customHeight="true" outlineLevel="0" collapsed="false">
      <c r="A30" s="6" t="s">
        <v>49</v>
      </c>
      <c r="B30" s="7" t="s">
        <v>50</v>
      </c>
    </row>
    <row r="31" customFormat="false" ht="30.75" hidden="false" customHeight="true" outlineLevel="0" collapsed="false">
      <c r="A31" s="6" t="s">
        <v>51</v>
      </c>
      <c r="B31" s="7" t="s">
        <v>52</v>
      </c>
    </row>
    <row r="32" customFormat="false" ht="15" hidden="false" customHeight="true" outlineLevel="0" collapsed="false">
      <c r="A32" s="4" t="s">
        <v>53</v>
      </c>
      <c r="B32" s="5"/>
    </row>
    <row r="33" customFormat="false" ht="30.75" hidden="false" customHeight="true" outlineLevel="0" collapsed="false">
      <c r="A33" s="6" t="s">
        <v>54</v>
      </c>
      <c r="B33" s="7" t="s">
        <v>55</v>
      </c>
    </row>
    <row r="34" customFormat="false" ht="16.5" hidden="false" customHeight="true" outlineLevel="0" collapsed="false">
      <c r="A34" s="6" t="s">
        <v>56</v>
      </c>
      <c r="B34" s="7" t="s">
        <v>57</v>
      </c>
    </row>
    <row r="35" customFormat="false" ht="30.75" hidden="false" customHeight="true" outlineLevel="0" collapsed="false">
      <c r="A35" s="6" t="s">
        <v>58</v>
      </c>
      <c r="B35" s="7" t="s">
        <v>59</v>
      </c>
    </row>
    <row r="36" customFormat="false" ht="30.75" hidden="false" customHeight="true" outlineLevel="0" collapsed="false">
      <c r="A36" s="6" t="s">
        <v>60</v>
      </c>
      <c r="B36" s="7" t="s">
        <v>61</v>
      </c>
    </row>
    <row r="37" customFormat="false" ht="30.75" hidden="false" customHeight="true" outlineLevel="0" collapsed="false">
      <c r="A37" s="6" t="s">
        <v>62</v>
      </c>
      <c r="B37" s="7" t="s">
        <v>63</v>
      </c>
    </row>
    <row r="38" customFormat="false" ht="16.5" hidden="false" customHeight="true" outlineLevel="0" collapsed="false">
      <c r="A38" s="6" t="s">
        <v>64</v>
      </c>
      <c r="B38" s="7" t="s">
        <v>65</v>
      </c>
    </row>
    <row r="39" customFormat="false" ht="30.75" hidden="false" customHeight="true" outlineLevel="0" collapsed="false">
      <c r="A39" s="6" t="s">
        <v>20</v>
      </c>
      <c r="B39" s="7" t="s">
        <v>66</v>
      </c>
    </row>
    <row r="40" customFormat="false" ht="15" hidden="false" customHeight="true" outlineLevel="0" collapsed="false">
      <c r="A40" s="4" t="s">
        <v>67</v>
      </c>
      <c r="B40" s="5"/>
    </row>
    <row r="41" customFormat="false" ht="30.75" hidden="false" customHeight="true" outlineLevel="0" collapsed="false">
      <c r="A41" s="6" t="s">
        <v>68</v>
      </c>
      <c r="B41" s="7" t="s">
        <v>69</v>
      </c>
    </row>
    <row r="42" customFormat="false" ht="30.75" hidden="false" customHeight="true" outlineLevel="0" collapsed="false">
      <c r="A42" s="6" t="s">
        <v>70</v>
      </c>
      <c r="B42" s="7" t="s">
        <v>71</v>
      </c>
    </row>
    <row r="43" customFormat="false" ht="30.75" hidden="false" customHeight="true" outlineLevel="0" collapsed="false">
      <c r="A43" s="6" t="s">
        <v>72</v>
      </c>
      <c r="B43" s="7" t="s">
        <v>73</v>
      </c>
    </row>
    <row r="44" customFormat="false" ht="15" hidden="false" customHeight="true" outlineLevel="0" collapsed="false">
      <c r="A44" s="4" t="s">
        <v>74</v>
      </c>
      <c r="B44" s="5"/>
    </row>
    <row r="45" customFormat="false" ht="30.75" hidden="false" customHeight="true" outlineLevel="0" collapsed="false">
      <c r="A45" s="6" t="s">
        <v>75</v>
      </c>
      <c r="B45" s="7" t="s">
        <v>76</v>
      </c>
    </row>
    <row r="47" customFormat="false" ht="15" hidden="false" customHeight="true" outlineLevel="0" collapsed="false">
      <c r="A47" s="4" t="s">
        <v>77</v>
      </c>
      <c r="B47" s="4"/>
    </row>
    <row r="48" customFormat="false" ht="23.25" hidden="false" customHeight="true" outlineLevel="0" collapsed="false">
      <c r="A48" s="6" t="s">
        <v>78</v>
      </c>
      <c r="B48" s="7" t="s">
        <v>79</v>
      </c>
    </row>
    <row r="49" customFormat="false" ht="15" hidden="false" customHeight="true" outlineLevel="0" collapsed="false">
      <c r="A49" s="6" t="s">
        <v>80</v>
      </c>
      <c r="B49" s="7" t="s">
        <v>81</v>
      </c>
    </row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G7" activeCellId="0" sqref="G7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26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4" min="13" style="1" width="9"/>
    <col collapsed="false" customWidth="true" hidden="false" outlineLevel="0" max="15" min="15" style="1" width="11"/>
    <col collapsed="false" customWidth="true" hidden="false" outlineLevel="0" max="17" min="16" style="1" width="9"/>
    <col collapsed="false" customWidth="true" hidden="false" outlineLevel="0" max="21" min="18" style="1" width="13"/>
    <col collapsed="false" customWidth="true" hidden="false" outlineLevel="0" max="23" min="22" style="1" width="11"/>
    <col collapsed="false" customWidth="true" hidden="false" outlineLevel="0" max="25" min="24" style="1" width="12"/>
    <col collapsed="false" customWidth="true" hidden="false" outlineLevel="0" max="27" min="26" style="1" width="13"/>
    <col collapsed="false" customWidth="true" hidden="false" outlineLevel="0" max="28" min="28" style="1" width="10"/>
    <col collapsed="false" customWidth="true" hidden="false" outlineLevel="0" max="29" min="29" style="1" width="11"/>
    <col collapsed="false" customWidth="true" hidden="false" outlineLevel="0" max="31" min="30" style="1" width="16"/>
    <col collapsed="false" customWidth="true" hidden="false" outlineLevel="0" max="32" min="32" style="1" width="15"/>
    <col collapsed="false" customWidth="true" hidden="false" outlineLevel="0" max="33" min="33" style="1" width="9"/>
    <col collapsed="false" customWidth="true" hidden="false" outlineLevel="0" max="34" min="34" style="1" width="15"/>
    <col collapsed="false" customWidth="true" hidden="false" outlineLevel="0" max="35" min="35" style="1" width="9"/>
    <col collapsed="false" customWidth="true" hidden="false" outlineLevel="0" max="38" min="36" style="1" width="10"/>
    <col collapsed="false" customWidth="true" hidden="false" outlineLevel="0" max="40" min="39" style="1" width="11"/>
    <col collapsed="false" customWidth="true" hidden="false" outlineLevel="0" max="44" min="41" style="1" width="9"/>
    <col collapsed="false" customWidth="true" hidden="false" outlineLevel="0" max="45" min="45" style="1" width="10"/>
    <col collapsed="false" customWidth="true" hidden="false" outlineLevel="0" max="46" min="46" style="1" width="9"/>
    <col collapsed="false" customWidth="true" hidden="false" outlineLevel="0" max="47" min="47" style="1" width="70"/>
    <col collapsed="false" customWidth="true" hidden="false" outlineLevel="0" max="48" min="48" style="1" width="30"/>
    <col collapsed="false" customWidth="true" hidden="false" outlineLevel="0" max="50" min="49" style="1" width="10"/>
    <col collapsed="false" customWidth="true" hidden="false" outlineLevel="0" max="52" min="51" style="1" width="9"/>
  </cols>
  <sheetData>
    <row r="1" customFormat="false" ht="17.25" hidden="false" customHeight="true" outlineLevel="0" collapsed="false">
      <c r="A1" s="8" t="s">
        <v>82</v>
      </c>
    </row>
    <row r="2" customFormat="false" ht="15" hidden="false" customHeight="true" outlineLevel="0" collapsed="false">
      <c r="A2" s="3" t="s">
        <v>83</v>
      </c>
    </row>
    <row r="3" customFormat="false" ht="15" hidden="false" customHeight="true" outlineLevel="0" collapsed="false">
      <c r="A3" s="9" t="s">
        <v>84</v>
      </c>
      <c r="F3" s="10"/>
    </row>
    <row r="4" customFormat="false" ht="15" hidden="false" customHeight="true" outlineLevel="0" collapsed="false">
      <c r="A4" s="11" t="s">
        <v>85</v>
      </c>
    </row>
    <row r="6" customFormat="false" ht="48" hidden="false" customHeight="true" outlineLevel="0" collapsed="false">
      <c r="A6" s="12" t="s">
        <v>86</v>
      </c>
      <c r="B6" s="12" t="s">
        <v>87</v>
      </c>
      <c r="C6" s="12" t="s">
        <v>88</v>
      </c>
      <c r="D6" s="12" t="s">
        <v>89</v>
      </c>
      <c r="E6" s="12" t="s">
        <v>90</v>
      </c>
      <c r="F6" s="12" t="s">
        <v>91</v>
      </c>
      <c r="G6" s="12" t="s">
        <v>92</v>
      </c>
      <c r="H6" s="12" t="s">
        <v>93</v>
      </c>
      <c r="I6" s="12" t="s">
        <v>94</v>
      </c>
      <c r="J6" s="12" t="s">
        <v>95</v>
      </c>
      <c r="K6" s="12" t="s">
        <v>96</v>
      </c>
      <c r="L6" s="12" t="s">
        <v>43</v>
      </c>
      <c r="M6" s="12" t="s">
        <v>97</v>
      </c>
      <c r="N6" s="12" t="s">
        <v>98</v>
      </c>
      <c r="O6" s="12" t="s">
        <v>99</v>
      </c>
      <c r="P6" s="12" t="s">
        <v>100</v>
      </c>
      <c r="Q6" s="12" t="s">
        <v>101</v>
      </c>
      <c r="R6" s="12" t="s">
        <v>78</v>
      </c>
      <c r="S6" s="12" t="s">
        <v>102</v>
      </c>
      <c r="T6" s="12" t="s">
        <v>103</v>
      </c>
      <c r="U6" s="12" t="s">
        <v>104</v>
      </c>
      <c r="V6" s="12" t="s">
        <v>105</v>
      </c>
      <c r="W6" s="12" t="s">
        <v>106</v>
      </c>
      <c r="X6" s="12" t="s">
        <v>107</v>
      </c>
      <c r="Y6" s="12" t="s">
        <v>108</v>
      </c>
      <c r="Z6" s="12" t="s">
        <v>109</v>
      </c>
      <c r="AA6" s="12" t="s">
        <v>110</v>
      </c>
      <c r="AB6" s="12" t="s">
        <v>111</v>
      </c>
      <c r="AC6" s="12" t="s">
        <v>112</v>
      </c>
      <c r="AD6" s="12" t="s">
        <v>113</v>
      </c>
      <c r="AE6" s="12" t="s">
        <v>114</v>
      </c>
      <c r="AF6" s="12" t="s">
        <v>115</v>
      </c>
      <c r="AG6" s="12" t="s">
        <v>116</v>
      </c>
      <c r="AH6" s="12" t="s">
        <v>117</v>
      </c>
      <c r="AI6" s="12" t="s">
        <v>118</v>
      </c>
      <c r="AJ6" s="12" t="s">
        <v>119</v>
      </c>
      <c r="AK6" s="12" t="s">
        <v>120</v>
      </c>
      <c r="AL6" s="12" t="s">
        <v>121</v>
      </c>
      <c r="AM6" s="12" t="s">
        <v>122</v>
      </c>
      <c r="AN6" s="13" t="s">
        <v>123</v>
      </c>
      <c r="AO6" s="14" t="s">
        <v>124</v>
      </c>
      <c r="AP6" s="15" t="s">
        <v>125</v>
      </c>
      <c r="AQ6" s="16" t="s">
        <v>126</v>
      </c>
      <c r="AR6" s="17" t="s">
        <v>127</v>
      </c>
      <c r="AS6" s="18" t="s">
        <v>128</v>
      </c>
      <c r="AT6" s="19" t="s">
        <v>129</v>
      </c>
      <c r="AU6" s="12" t="s">
        <v>130</v>
      </c>
      <c r="AV6" s="12" t="s">
        <v>131</v>
      </c>
      <c r="AW6" s="12" t="s">
        <v>132</v>
      </c>
      <c r="AX6" s="12" t="s">
        <v>133</v>
      </c>
      <c r="AY6" s="12" t="s">
        <v>134</v>
      </c>
      <c r="AZ6" s="12" t="s">
        <v>135</v>
      </c>
    </row>
    <row r="7" customFormat="false" ht="15" hidden="false" customHeight="true" outlineLevel="0" collapsed="false">
      <c r="A7" s="20" t="s">
        <v>136</v>
      </c>
      <c r="B7" s="21" t="n">
        <v>5</v>
      </c>
      <c r="C7" s="22" t="str">
        <f aca="false" t="array" ref="C7:C7">INDEX(Zones!$B$6:$B$35,MATCH(B7,Zones!$A$6:$A$35,0))</f>
        <v>Forêt de chasse</v>
      </c>
      <c r="D7" s="23" t="str">
        <f aca="false" t="array" ref="D7:D7">INDEX(Éléments!$B$5:$B$14,MATCH(B7,Éléments!$C$5:$C$14,1))</f>
        <v>Forêt</v>
      </c>
      <c r="E7" s="24" t="str">
        <f aca="false" t="array" ref="E7:E7">INDEX(Éléments!$A$5:$A$14,MATCH(B7,Éléments!$C$5:$C$14,1))</f>
        <v>Neutre</v>
      </c>
      <c r="F7" s="25" t="s">
        <v>137</v>
      </c>
      <c r="G7" s="23" t="str">
        <f aca="false">IF(OR(H7="Boss",H7="Dragon"),"Oui","Non")</f>
        <v>Non</v>
      </c>
      <c r="H7" s="26" t="s">
        <v>138</v>
      </c>
      <c r="I7" s="26" t="s">
        <v>139</v>
      </c>
      <c r="J7" s="26" t="s">
        <v>140</v>
      </c>
      <c r="K7" s="27" t="n">
        <f aca="false">IF($F$3="",B7,$F$3)</f>
        <v>5</v>
      </c>
      <c r="L7" s="28" t="n">
        <f aca="false" t="array" ref="L7:L7">ROUND(Paramètres!$B$16*(Paramètres!$B$5+(1-Paramètres!$B$5)*((K7-Paramètres!$B$7)/(Paramètres!$B$8-Paramètres!$B$7))^Paramètres!$B$6)*INDEX(Rôles!$B$18:$B$22,AZ7)*INDEX(Rôles!$B$5:$B$13,AY7),0)</f>
        <v>105</v>
      </c>
      <c r="M7" s="29" t="n">
        <f aca="false" t="array" ref="M7:M7">ROUND(IF(J7="Physique",1,IF(J7="Mixte",Paramètres!$B$32,0))*Paramètres!$B$12*(Paramètres!$B$5+(1-Paramètres!$B$5)*((K7-Paramètres!$B$7)/(Paramètres!$B$8-Paramètres!$B$7))^Paramètres!$B$6)*INDEX(Rôles!$C$18:$C$22,AZ7)*INDEX(Rôles!$C$5:$C$13,AY7)/(Paramètres!$B$35*(1-Paramètres!$B$36)),0)</f>
        <v>25</v>
      </c>
      <c r="N7" s="29" t="n">
        <f aca="false" t="array" ref="N7:N7">ROUND(IF(J7="Magique",1,IF(J7="Mixte",Paramètres!$B$32,0))*Paramètres!$B$12*(Paramètres!$B$5+(1-Paramètres!$B$5)*((K7-Paramètres!$B$7)/(Paramètres!$B$8-Paramètres!$B$7))^Paramètres!$B$6)*INDEX(Rôles!$C$18:$C$22,AZ7)*INDEX(Rôles!$C$5:$C$13,AY7)/(Paramètres!$B$35*(1-Paramètres!$B$36)),0)</f>
        <v>0</v>
      </c>
      <c r="O7" s="29" t="n">
        <f aca="false" t="array" ref="O7:O7">ROUND(Paramètres!$B$18*(Paramètres!$B$5+(1-Paramètres!$B$5)*((K7-Paramètres!$B$7)/(Paramètres!$B$8-Paramètres!$B$7))^Paramètres!$B$6)*INDEX(Rôles!$D$5:$D$13,AY7)*INDEX(Rôles!$D$18:$D$22,AZ7),0)</f>
        <v>19</v>
      </c>
      <c r="P7" s="29" t="n">
        <f aca="false" t="array" ref="P7:P7">ROUND(Paramètres!$B$19*(Paramètres!$B$5+(1-Paramètres!$B$5)*((K7-Paramètres!$B$7)/(Paramètres!$B$8-Paramètres!$B$7))^Paramètres!$B$6)*INDEX(Rôles!$E$5:$E$13,AY7)*INDEX(Rôles!$D$18:$D$22,AZ7),0)</f>
        <v>20</v>
      </c>
      <c r="Q7" s="29" t="n">
        <f aca="false" t="array" ref="Q7:Q7">ROUND(Paramètres!$B$20*(Paramètres!$B$5+(1-Paramètres!$B$5)*((K7-Paramètres!$B$7)/(Paramètres!$B$8-Paramètres!$B$7))^Paramètres!$B$6)*INDEX(Rôles!$F$5:$F$13,AY7),0)</f>
        <v>10</v>
      </c>
      <c r="R7" s="29" t="n">
        <f aca="false">ROUND(Paramètres!$B$64*$AX7*INDEX(Rôles!$N$5:$N$13,$AY7)*INDEX(Rôles!$I$18:$I$22,$AZ7),0)</f>
        <v>8</v>
      </c>
      <c r="S7" s="30" t="n">
        <f aca="false" t="array" ref="S7:S7">MIN(1,ROUND(Paramètres!$B$21*INDEX(Rôles!$G$5:$G$13,AY7),3))</f>
        <v>0.9</v>
      </c>
      <c r="T7" s="30" t="n">
        <f aca="false" t="array" ref="T7:T7">MIN(Paramètres!$B$28,ROUND(Paramètres!$B$22*INDEX(Rôles!$H$5:$H$13,AY7),3))</f>
        <v>0.05</v>
      </c>
      <c r="U7" s="30" t="n">
        <f aca="false" t="array" ref="U7:U7">ROUND(Paramètres!$B$23*INDEX(Rôles!$I$5:$I$13,AY7),3)</f>
        <v>0.5</v>
      </c>
      <c r="V7" s="30" t="n">
        <f aca="false" t="array" ref="V7:V7">MIN(Paramètres!$B$29,ROUND(Paramètres!$B$24*INDEX(Rôles!$J$5:$J$13,AY7),3))</f>
        <v>0.025</v>
      </c>
      <c r="W7" s="30" t="n">
        <f aca="false" t="array" ref="W7:W7">MIN(Paramètres!$B$27,ROUND((Paramètres!$B$25+(Paramètres!$B$26-Paramètres!$B$25)*(K7-Paramètres!$B$7)/(Paramètres!$B$8-Paramètres!$B$7))*INDEX(Rôles!$K$5:$K$13,AY7)+INDEX(Rôles!$G$18:$G$22,AZ7),3))</f>
        <v>0.048</v>
      </c>
      <c r="X7" s="30" t="n">
        <f aca="false">ROUND(1-(1-P7/(P7+(Paramètres!$B$19*(Paramètres!$B$5+(1-Paramètres!$B$5)*((K7-Paramètres!$B$7)/(Paramètres!$B$8-Paramètres!$B$7))^Paramètres!$B$6)*(1-Paramètres!$B$30)/Paramètres!$B$30)))*(1-O7/(O7+(Paramètres!$B$18*(Paramètres!$B$5+(1-Paramètres!$B$5)*((K7-Paramètres!$B$7)/(Paramètres!$B$8-Paramètres!$B$7))^Paramètres!$B$6)*(1-Paramètres!$B$31)/Paramètres!$B$31))),3)</f>
        <v>0.233</v>
      </c>
      <c r="Y7" s="30" t="n">
        <f aca="false">ROUND(O7/(O7+(Paramètres!$B$18*(Paramètres!$B$5+(1-Paramètres!$B$5)*((K7-Paramètres!$B$7)/(Paramètres!$B$8-Paramètres!$B$7))^Paramètres!$B$6)*(1-Paramètres!$B$31)/Paramètres!$B$31)),3)</f>
        <v>0.096</v>
      </c>
      <c r="Z7" s="31" t="n">
        <f aca="false" t="array" ref="Z7:Z7">IF(E7="Neutre",0,MIN(1,INDEX(Rôles!$L$5:$L$13,AY7)+INDEX(Rôles!$F$18:$F$22,AZ7)))</f>
        <v>0</v>
      </c>
      <c r="AA7" s="32" t="n">
        <f aca="false" t="array" ref="AA7:AA7">ROUND(INDEX(Rôles!$C$18:$C$22,AZ7)*INDEX(Rôles!$C$5:$C$13,AY7),4)</f>
        <v>0.0158</v>
      </c>
      <c r="AB7" s="33" t="n">
        <f aca="false" t="array" ref="AB7:AB7">ROUND(INDEX(Rôles!$B$18:$B$22,AZ7)*INDEX(Rôles!$B$5:$B$13,AY7),2)</f>
        <v>1.9</v>
      </c>
      <c r="AC7" s="33" t="n">
        <f aca="false" t="array" ref="AC7:AC7">INDEX(Rôles!$E$18:$E$22,AZ7)</f>
        <v>1</v>
      </c>
      <c r="AD7" s="23" t="str">
        <f aca="false" t="array" ref="AD7:AD7">INDEX(Éléments!$F$5:$F$14,MATCH(E7,Éléments!$A$5:$A$14,0))</f>
        <v>—</v>
      </c>
      <c r="AE7" s="23" t="str">
        <f aca="false" t="array" ref="AE7:AE7">INDEX(Éléments!$G$5:$G$14,MATCH(E7,Éléments!$A$5:$A$14,0))</f>
        <v>—</v>
      </c>
      <c r="AF7" s="34" t="s">
        <v>141</v>
      </c>
      <c r="AG7" s="35" t="n">
        <v>0.2</v>
      </c>
      <c r="AH7" s="34" t="s">
        <v>142</v>
      </c>
      <c r="AI7" s="35" t="n">
        <v>0.08</v>
      </c>
      <c r="AJ7" s="29" t="n">
        <f aca="false" t="array" ref="AJ7:AJ7">ROUND(ROUND(Paramètres!$B$49*K7^Paramètres!$B$50,0)*INDEX(Rôles!$E$18:$E$22,AZ7),0)</f>
        <v>45</v>
      </c>
      <c r="AK7" s="29" t="n">
        <f aca="false" t="array" ref="AK7:AK7">ROUND(ROUND(Paramètres!$B$53*K7^Paramètres!$B$54,0)*INDEX(Rôles!$E$18:$E$22,AZ7),0)</f>
        <v>26</v>
      </c>
      <c r="AL7" s="36" t="n">
        <f aca="false">INDEX(Butin!$B$7:$B$11,AZ7)</f>
        <v>0.05</v>
      </c>
      <c r="AM7" s="37" t="n">
        <f aca="false">INDEX(Butin!$E$7:$E$11,AZ7)</f>
        <v>0.05</v>
      </c>
      <c r="AN7" s="30" t="n">
        <f aca="false">IF($H7="Boss",INDEX(Butin!$E$28:$K$37,MATCH($B7,Éléments!$C$5:$C$14,1),1),IF($H7="Dragon",INDEX(Butin!$E$41:$K$50,MATCH($B7,Éléments!$C$5:$C$14,1),1),INDEX(Butin!$E$15:$K$24,MATCH($B7,Éléments!$C$5:$C$14,1),1)))</f>
        <v>0.8</v>
      </c>
      <c r="AO7" s="30" t="n">
        <f aca="false">IF($H7="Boss",INDEX(Butin!$E$28:$K$37,MATCH($B7,Éléments!$C$5:$C$14,1),2),IF($H7="Dragon",INDEX(Butin!$E$41:$K$50,MATCH($B7,Éléments!$C$5:$C$14,1),2),INDEX(Butin!$E$15:$K$24,MATCH($B7,Éléments!$C$5:$C$14,1),2)))</f>
        <v>0.2</v>
      </c>
      <c r="AP7" s="30" t="n">
        <f aca="false">IF($H7="Boss",INDEX(Butin!$E$28:$K$37,MATCH($B7,Éléments!$C$5:$C$14,1),3),IF($H7="Dragon",INDEX(Butin!$E$41:$K$50,MATCH($B7,Éléments!$C$5:$C$14,1),3),INDEX(Butin!$E$15:$K$24,MATCH($B7,Éléments!$C$5:$C$14,1),3)))</f>
        <v>0</v>
      </c>
      <c r="AQ7" s="30" t="n">
        <f aca="false">IF($H7="Boss",INDEX(Butin!$E$28:$K$37,MATCH($B7,Éléments!$C$5:$C$14,1),4),IF($H7="Dragon",INDEX(Butin!$E$41:$K$50,MATCH($B7,Éléments!$C$5:$C$14,1),4),INDEX(Butin!$E$15:$K$24,MATCH($B7,Éléments!$C$5:$C$14,1),4)))</f>
        <v>0</v>
      </c>
      <c r="AR7" s="30" t="n">
        <f aca="false">IF($H7="Boss",INDEX(Butin!$E$28:$K$37,MATCH($B7,Éléments!$C$5:$C$14,1),5),IF($H7="Dragon",INDEX(Butin!$E$41:$K$50,MATCH($B7,Éléments!$C$5:$C$14,1),5),INDEX(Butin!$E$15:$K$24,MATCH($B7,Éléments!$C$5:$C$14,1),5)))</f>
        <v>0</v>
      </c>
      <c r="AS7" s="30" t="n">
        <f aca="false">IF($H7="Boss",INDEX(Butin!$E$28:$K$37,MATCH($B7,Éléments!$C$5:$C$14,1),6),IF($H7="Dragon",INDEX(Butin!$E$41:$K$50,MATCH($B7,Éléments!$C$5:$C$14,1),6),INDEX(Butin!$E$15:$K$24,MATCH($B7,Éléments!$C$5:$C$14,1),6)))</f>
        <v>0</v>
      </c>
      <c r="AT7" s="30" t="n">
        <f aca="false">IF($H7="Boss",INDEX(Butin!$E$28:$K$37,MATCH($B7,Éléments!$C$5:$C$14,1),7),IF($H7="Dragon",INDEX(Butin!$E$41:$K$50,MATCH($B7,Éléments!$C$5:$C$14,1),7),INDEX(Butin!$E$15:$K$24,MATCH($B7,Éléments!$C$5:$C$14,1),7)))</f>
        <v>0</v>
      </c>
      <c r="AU7" s="38" t="str">
        <f aca="false">IF(AT7=0,"—",INDEX(Butin!$D$54:$D$63,MATCH($B7,Éléments!$C$5:$C$14,1))&amp;" · "&amp;INDEX(Butin!$F$54:$F$63,MATCH($B7,Éléments!$C$5:$C$14,1))&amp;" · "&amp;INDEX(Butin!$H$54:$H$63,MATCH($B7,Éléments!$C$5:$C$14,1)))</f>
        <v>—</v>
      </c>
      <c r="AV7" s="20" t="s">
        <v>137</v>
      </c>
      <c r="AW7" s="39" t="str">
        <f aca="false">B7&amp;IF(G7="Oui","|B","|N")</f>
        <v>5|N</v>
      </c>
      <c r="AX7" s="40" t="n">
        <f aca="false">(Paramètres!$B$5+(1-Paramètres!$B$5)*((K7-Paramètres!$B$7)/(Paramètres!$B$8-Paramètres!$B$7))^Paramètres!$B$6)</f>
        <v>0.0702038139860861</v>
      </c>
      <c r="AY7" s="39" t="n">
        <f aca="false">MATCH(I7,Rôles!$A$5:$A$13,0)</f>
        <v>1</v>
      </c>
      <c r="AZ7" s="39" t="n">
        <f aca="false">MATCH(H7,Rôles!$A$18:$A$22,0)</f>
        <v>2</v>
      </c>
    </row>
    <row r="8" customFormat="false" ht="15" hidden="false" customHeight="true" outlineLevel="0" collapsed="false">
      <c r="A8" s="20" t="s">
        <v>143</v>
      </c>
      <c r="B8" s="21" t="n">
        <v>5</v>
      </c>
      <c r="C8" s="22" t="str">
        <f aca="false" t="array" ref="C8:C8">INDEX(Zones!$B$6:$B$35,MATCH(B8,Zones!$A$6:$A$35,0))</f>
        <v>Forêt de chasse</v>
      </c>
      <c r="D8" s="23" t="str">
        <f aca="false" t="array" ref="D8:D8">INDEX(Éléments!$B$5:$B$14,MATCH(B8,Éléments!$C$5:$C$14,1))</f>
        <v>Forêt</v>
      </c>
      <c r="E8" s="24" t="str">
        <f aca="false" t="array" ref="E8:E8">INDEX(Éléments!$A$5:$A$14,MATCH(B8,Éléments!$C$5:$C$14,1))</f>
        <v>Neutre</v>
      </c>
      <c r="F8" s="25" t="s">
        <v>144</v>
      </c>
      <c r="G8" s="23" t="str">
        <f aca="false">IF(OR(H8="Boss",H8="Dragon"),"Oui","Non")</f>
        <v>Non</v>
      </c>
      <c r="H8" s="26" t="s">
        <v>138</v>
      </c>
      <c r="I8" s="26" t="s">
        <v>145</v>
      </c>
      <c r="J8" s="26" t="s">
        <v>140</v>
      </c>
      <c r="K8" s="27" t="n">
        <f aca="false">IF($F$3="",B8,$F$3)</f>
        <v>5</v>
      </c>
      <c r="L8" s="28" t="n">
        <f aca="false" t="array" ref="L8:L8">ROUND(Paramètres!$B$16*(Paramètres!$B$5+(1-Paramètres!$B$5)*((K8-Paramètres!$B$7)/(Paramètres!$B$8-Paramètres!$B$7))^Paramètres!$B$6)*INDEX(Rôles!$B$18:$B$22,AZ8)*INDEX(Rôles!$B$5:$B$13,AY8),0)</f>
        <v>83</v>
      </c>
      <c r="M8" s="29" t="n">
        <f aca="false" t="array" ref="M8:M8">ROUND(IF(J8="Physique",1,IF(J8="Mixte",Paramètres!$B$32,0))*Paramètres!$B$12*(Paramètres!$B$5+(1-Paramètres!$B$5)*((K8-Paramètres!$B$7)/(Paramètres!$B$8-Paramètres!$B$7))^Paramètres!$B$6)*INDEX(Rôles!$C$18:$C$22,AZ8)*INDEX(Rôles!$C$5:$C$13,AY8)/(Paramètres!$B$35*(1-Paramètres!$B$36)),0)</f>
        <v>29</v>
      </c>
      <c r="N8" s="29" t="n">
        <f aca="false" t="array" ref="N8:N8">ROUND(IF(J8="Magique",1,IF(J8="Mixte",Paramètres!$B$32,0))*Paramètres!$B$12*(Paramètres!$B$5+(1-Paramètres!$B$5)*((K8-Paramètres!$B$7)/(Paramètres!$B$8-Paramètres!$B$7))^Paramètres!$B$6)*INDEX(Rôles!$C$18:$C$22,AZ8)*INDEX(Rôles!$C$5:$C$13,AY8)/(Paramètres!$B$35*(1-Paramètres!$B$36)),0)</f>
        <v>0</v>
      </c>
      <c r="O8" s="29" t="n">
        <f aca="false" t="array" ref="O8:O8">ROUND(Paramètres!$B$18*(Paramètres!$B$5+(1-Paramètres!$B$5)*((K8-Paramètres!$B$7)/(Paramètres!$B$8-Paramètres!$B$7))^Paramètres!$B$6)*INDEX(Rôles!$D$5:$D$13,AY8)*INDEX(Rôles!$D$18:$D$22,AZ8),0)</f>
        <v>19</v>
      </c>
      <c r="P8" s="29" t="n">
        <f aca="false" t="array" ref="P8:P8">ROUND(Paramètres!$B$19*(Paramètres!$B$5+(1-Paramètres!$B$5)*((K8-Paramètres!$B$7)/(Paramètres!$B$8-Paramètres!$B$7))^Paramètres!$B$6)*INDEX(Rôles!$E$5:$E$13,AY8)*INDEX(Rôles!$D$18:$D$22,AZ8),0)</f>
        <v>14</v>
      </c>
      <c r="Q8" s="29" t="n">
        <f aca="false" t="array" ref="Q8:Q8">ROUND(Paramètres!$B$20*(Paramètres!$B$5+(1-Paramètres!$B$5)*((K8-Paramètres!$B$7)/(Paramètres!$B$8-Paramètres!$B$7))^Paramètres!$B$6)*INDEX(Rôles!$F$5:$F$13,AY8),0)</f>
        <v>13</v>
      </c>
      <c r="R8" s="29" t="n">
        <f aca="false">ROUND(Paramètres!$B$64*$AX8*INDEX(Rôles!$N$5:$N$13,$AY8)*INDEX(Rôles!$I$18:$I$22,$AZ8),0)</f>
        <v>11</v>
      </c>
      <c r="S8" s="30" t="n">
        <f aca="false" t="array" ref="S8:S8">MIN(1,ROUND(Paramètres!$B$21*INDEX(Rôles!$G$5:$G$13,AY8),3))</f>
        <v>1</v>
      </c>
      <c r="T8" s="30" t="n">
        <f aca="false" t="array" ref="T8:T8">MIN(Paramètres!$B$28,ROUND(Paramètres!$B$22*INDEX(Rôles!$H$5:$H$13,AY8),3))</f>
        <v>0.08</v>
      </c>
      <c r="U8" s="30" t="n">
        <f aca="false" t="array" ref="U8:U8">ROUND(Paramètres!$B$23*INDEX(Rôles!$I$5:$I$13,AY8),3)</f>
        <v>0.7</v>
      </c>
      <c r="V8" s="30" t="n">
        <f aca="false" t="array" ref="V8:V8">MIN(Paramètres!$B$29,ROUND(Paramètres!$B$24*INDEX(Rôles!$J$5:$J$13,AY8),3))</f>
        <v>0.06</v>
      </c>
      <c r="W8" s="30" t="n">
        <f aca="false" t="array" ref="W8:W8">MIN(Paramètres!$B$27,ROUND((Paramètres!$B$25+(Paramètres!$B$26-Paramètres!$B$25)*(K8-Paramètres!$B$7)/(Paramètres!$B$8-Paramètres!$B$7))*INDEX(Rôles!$K$5:$K$13,AY8)+INDEX(Rôles!$G$18:$G$22,AZ8),3))</f>
        <v>0.048</v>
      </c>
      <c r="X8" s="30" t="n">
        <f aca="false">ROUND(1-(1-P8/(P8+(Paramètres!$B$19*(Paramètres!$B$5+(1-Paramètres!$B$5)*((K8-Paramètres!$B$7)/(Paramètres!$B$8-Paramètres!$B$7))^Paramètres!$B$6)*(1-Paramètres!$B$30)/Paramètres!$B$30)))*(1-O8/(O8+(Paramètres!$B$18*(Paramètres!$B$5+(1-Paramètres!$B$5)*((K8-Paramètres!$B$7)/(Paramètres!$B$8-Paramètres!$B$7))^Paramètres!$B$6)*(1-Paramètres!$B$31)/Paramètres!$B$31))),3)</f>
        <v>0.196</v>
      </c>
      <c r="Y8" s="30" t="n">
        <f aca="false">ROUND(O8/(O8+(Paramètres!$B$18*(Paramètres!$B$5+(1-Paramètres!$B$5)*((K8-Paramètres!$B$7)/(Paramètres!$B$8-Paramètres!$B$7))^Paramètres!$B$6)*(1-Paramètres!$B$31)/Paramètres!$B$31)),3)</f>
        <v>0.096</v>
      </c>
      <c r="Z8" s="31" t="n">
        <f aca="false" t="array" ref="Z8:Z8">IF(E8="Neutre",0,MIN(1,INDEX(Rôles!$L$5:$L$13,AY8)+INDEX(Rôles!$F$18:$F$22,AZ8)))</f>
        <v>0</v>
      </c>
      <c r="AA8" s="32" t="n">
        <f aca="false" t="array" ref="AA8:AA8">ROUND(INDEX(Rôles!$C$18:$C$22,AZ8)*INDEX(Rôles!$C$5:$C$13,AY8),4)</f>
        <v>0.018</v>
      </c>
      <c r="AB8" s="33" t="n">
        <f aca="false" t="array" ref="AB8:AB8">ROUND(INDEX(Rôles!$B$18:$B$22,AZ8)*INDEX(Rôles!$B$5:$B$13,AY8),2)</f>
        <v>1.5</v>
      </c>
      <c r="AC8" s="33" t="n">
        <f aca="false" t="array" ref="AC8:AC8">INDEX(Rôles!$E$18:$E$22,AZ8)</f>
        <v>1</v>
      </c>
      <c r="AD8" s="23" t="str">
        <f aca="false" t="array" ref="AD8:AD8">INDEX(Éléments!$F$5:$F$14,MATCH(E8,Éléments!$A$5:$A$14,0))</f>
        <v>—</v>
      </c>
      <c r="AE8" s="23" t="str">
        <f aca="false" t="array" ref="AE8:AE8">INDEX(Éléments!$G$5:$G$14,MATCH(E8,Éléments!$A$5:$A$14,0))</f>
        <v>—</v>
      </c>
      <c r="AF8" s="34" t="s">
        <v>141</v>
      </c>
      <c r="AG8" s="35" t="n">
        <v>0.3</v>
      </c>
      <c r="AH8" s="34"/>
      <c r="AI8" s="35"/>
      <c r="AJ8" s="29" t="n">
        <f aca="false" t="array" ref="AJ8:AJ8">ROUND(ROUND(Paramètres!$B$49*K8^Paramètres!$B$50,0)*INDEX(Rôles!$E$18:$E$22,AZ8),0)</f>
        <v>45</v>
      </c>
      <c r="AK8" s="29" t="n">
        <f aca="false" t="array" ref="AK8:AK8">ROUND(ROUND(Paramètres!$B$53*K8^Paramètres!$B$54,0)*INDEX(Rôles!$E$18:$E$22,AZ8),0)</f>
        <v>26</v>
      </c>
      <c r="AL8" s="36" t="n">
        <f aca="false">INDEX(Butin!$B$7:$B$11,AZ8)</f>
        <v>0.05</v>
      </c>
      <c r="AM8" s="37" t="n">
        <f aca="false">INDEX(Butin!$E$7:$E$11,AZ8)</f>
        <v>0.05</v>
      </c>
      <c r="AN8" s="30" t="n">
        <f aca="false">IF($H8="Boss",INDEX(Butin!$E$28:$K$37,MATCH($B8,Éléments!$C$5:$C$14,1),1),IF($H8="Dragon",INDEX(Butin!$E$41:$K$50,MATCH($B8,Éléments!$C$5:$C$14,1),1),INDEX(Butin!$E$15:$K$24,MATCH($B8,Éléments!$C$5:$C$14,1),1)))</f>
        <v>0.8</v>
      </c>
      <c r="AO8" s="30" t="n">
        <f aca="false">IF($H8="Boss",INDEX(Butin!$E$28:$K$37,MATCH($B8,Éléments!$C$5:$C$14,1),2),IF($H8="Dragon",INDEX(Butin!$E$41:$K$50,MATCH($B8,Éléments!$C$5:$C$14,1),2),INDEX(Butin!$E$15:$K$24,MATCH($B8,Éléments!$C$5:$C$14,1),2)))</f>
        <v>0.2</v>
      </c>
      <c r="AP8" s="30" t="n">
        <f aca="false">IF($H8="Boss",INDEX(Butin!$E$28:$K$37,MATCH($B8,Éléments!$C$5:$C$14,1),3),IF($H8="Dragon",INDEX(Butin!$E$41:$K$50,MATCH($B8,Éléments!$C$5:$C$14,1),3),INDEX(Butin!$E$15:$K$24,MATCH($B8,Éléments!$C$5:$C$14,1),3)))</f>
        <v>0</v>
      </c>
      <c r="AQ8" s="30" t="n">
        <f aca="false">IF($H8="Boss",INDEX(Butin!$E$28:$K$37,MATCH($B8,Éléments!$C$5:$C$14,1),4),IF($H8="Dragon",INDEX(Butin!$E$41:$K$50,MATCH($B8,Éléments!$C$5:$C$14,1),4),INDEX(Butin!$E$15:$K$24,MATCH($B8,Éléments!$C$5:$C$14,1),4)))</f>
        <v>0</v>
      </c>
      <c r="AR8" s="30" t="n">
        <f aca="false">IF($H8="Boss",INDEX(Butin!$E$28:$K$37,MATCH($B8,Éléments!$C$5:$C$14,1),5),IF($H8="Dragon",INDEX(Butin!$E$41:$K$50,MATCH($B8,Éléments!$C$5:$C$14,1),5),INDEX(Butin!$E$15:$K$24,MATCH($B8,Éléments!$C$5:$C$14,1),5)))</f>
        <v>0</v>
      </c>
      <c r="AS8" s="30" t="n">
        <f aca="false">IF($H8="Boss",INDEX(Butin!$E$28:$K$37,MATCH($B8,Éléments!$C$5:$C$14,1),6),IF($H8="Dragon",INDEX(Butin!$E$41:$K$50,MATCH($B8,Éléments!$C$5:$C$14,1),6),INDEX(Butin!$E$15:$K$24,MATCH($B8,Éléments!$C$5:$C$14,1),6)))</f>
        <v>0</v>
      </c>
      <c r="AT8" s="30" t="n">
        <f aca="false">IF($H8="Boss",INDEX(Butin!$E$28:$K$37,MATCH($B8,Éléments!$C$5:$C$14,1),7),IF($H8="Dragon",INDEX(Butin!$E$41:$K$50,MATCH($B8,Éléments!$C$5:$C$14,1),7),INDEX(Butin!$E$15:$K$24,MATCH($B8,Éléments!$C$5:$C$14,1),7)))</f>
        <v>0</v>
      </c>
      <c r="AU8" s="38" t="str">
        <f aca="false">IF(AT8=0,"—",INDEX(Butin!$D$54:$D$63,MATCH($B8,Éléments!$C$5:$C$14,1))&amp;" · "&amp;INDEX(Butin!$F$54:$F$63,MATCH($B8,Éléments!$C$5:$C$14,1))&amp;" · "&amp;INDEX(Butin!$H$54:$H$63,MATCH($B8,Éléments!$C$5:$C$14,1)))</f>
        <v>—</v>
      </c>
      <c r="AV8" s="20" t="s">
        <v>144</v>
      </c>
      <c r="AW8" s="39" t="str">
        <f aca="false">B8&amp;IF(G8="Oui","|B","|N")</f>
        <v>5|N</v>
      </c>
      <c r="AX8" s="40" t="n">
        <f aca="false">(Paramètres!$B$5+(1-Paramètres!$B$5)*((K8-Paramètres!$B$7)/(Paramètres!$B$8-Paramètres!$B$7))^Paramètres!$B$6)</f>
        <v>0.0702038139860861</v>
      </c>
      <c r="AY8" s="39" t="n">
        <f aca="false">MATCH(I8,Rôles!$A$5:$A$13,0)</f>
        <v>7</v>
      </c>
      <c r="AZ8" s="39" t="n">
        <f aca="false">MATCH(H8,Rôles!$A$18:$A$22,0)</f>
        <v>2</v>
      </c>
    </row>
    <row r="9" customFormat="false" ht="15" hidden="false" customHeight="true" outlineLevel="0" collapsed="false">
      <c r="A9" s="20" t="s">
        <v>146</v>
      </c>
      <c r="B9" s="21" t="n">
        <v>5</v>
      </c>
      <c r="C9" s="22" t="str">
        <f aca="false" t="array" ref="C9:C9">INDEX(Zones!$B$6:$B$35,MATCH(B9,Zones!$A$6:$A$35,0))</f>
        <v>Forêt de chasse</v>
      </c>
      <c r="D9" s="23" t="str">
        <f aca="false" t="array" ref="D9:D9">INDEX(Éléments!$B$5:$B$14,MATCH(B9,Éléments!$C$5:$C$14,1))</f>
        <v>Forêt</v>
      </c>
      <c r="E9" s="24" t="str">
        <f aca="false" t="array" ref="E9:E9">INDEX(Éléments!$A$5:$A$14,MATCH(B9,Éléments!$C$5:$C$14,1))</f>
        <v>Neutre</v>
      </c>
      <c r="F9" s="25" t="s">
        <v>147</v>
      </c>
      <c r="G9" s="23" t="str">
        <f aca="false">IF(OR(H9="Boss",H9="Dragon"),"Oui","Non")</f>
        <v>Non</v>
      </c>
      <c r="H9" s="26" t="s">
        <v>148</v>
      </c>
      <c r="I9" s="26" t="s">
        <v>149</v>
      </c>
      <c r="J9" s="26" t="s">
        <v>140</v>
      </c>
      <c r="K9" s="27" t="n">
        <f aca="false">IF($F$3="",B9,$F$3)</f>
        <v>5</v>
      </c>
      <c r="L9" s="28" t="n">
        <f aca="false" t="array" ref="L9:L9">ROUND(Paramètres!$B$16*(Paramètres!$B$5+(1-Paramètres!$B$5)*((K9-Paramètres!$B$7)/(Paramètres!$B$8-Paramètres!$B$7))^Paramètres!$B$6)*INDEX(Rôles!$B$18:$B$22,AZ9)*INDEX(Rôles!$B$5:$B$13,AY9),0)</f>
        <v>232</v>
      </c>
      <c r="M9" s="29" t="n">
        <f aca="false" t="array" ref="M9:M9">ROUND(IF(J9="Physique",1,IF(J9="Mixte",Paramètres!$B$32,0))*Paramètres!$B$12*(Paramètres!$B$5+(1-Paramètres!$B$5)*((K9-Paramètres!$B$7)/(Paramètres!$B$8-Paramètres!$B$7))^Paramètres!$B$6)*INDEX(Rôles!$C$18:$C$22,AZ9)*INDEX(Rôles!$C$5:$C$13,AY9)/(Paramètres!$B$35*(1-Paramètres!$B$36)),0)</f>
        <v>29</v>
      </c>
      <c r="N9" s="29" t="n">
        <f aca="false" t="array" ref="N9:N9">ROUND(IF(J9="Magique",1,IF(J9="Mixte",Paramètres!$B$32,0))*Paramètres!$B$12*(Paramètres!$B$5+(1-Paramètres!$B$5)*((K9-Paramètres!$B$7)/(Paramètres!$B$8-Paramètres!$B$7))^Paramètres!$B$6)*INDEX(Rôles!$C$18:$C$22,AZ9)*INDEX(Rôles!$C$5:$C$13,AY9)/(Paramètres!$B$35*(1-Paramètres!$B$36)),0)</f>
        <v>0</v>
      </c>
      <c r="O9" s="29" t="n">
        <f aca="false" t="array" ref="O9:O9">ROUND(Paramètres!$B$18*(Paramètres!$B$5+(1-Paramètres!$B$5)*((K9-Paramètres!$B$7)/(Paramètres!$B$8-Paramètres!$B$7))^Paramètres!$B$6)*INDEX(Rôles!$D$5:$D$13,AY9)*INDEX(Rôles!$D$18:$D$22,AZ9),0)</f>
        <v>44</v>
      </c>
      <c r="P9" s="29" t="n">
        <f aca="false" t="array" ref="P9:P9">ROUND(Paramètres!$B$19*(Paramètres!$B$5+(1-Paramètres!$B$5)*((K9-Paramètres!$B$7)/(Paramètres!$B$8-Paramètres!$B$7))^Paramètres!$B$6)*INDEX(Rôles!$E$5:$E$13,AY9)*INDEX(Rôles!$D$18:$D$22,AZ9),0)</f>
        <v>48</v>
      </c>
      <c r="Q9" s="29" t="n">
        <f aca="false" t="array" ref="Q9:Q9">ROUND(Paramètres!$B$20*(Paramètres!$B$5+(1-Paramètres!$B$5)*((K9-Paramètres!$B$7)/(Paramètres!$B$8-Paramètres!$B$7))^Paramètres!$B$6)*INDEX(Rôles!$F$5:$F$13,AY9),0)</f>
        <v>5</v>
      </c>
      <c r="R9" s="29" t="n">
        <f aca="false">ROUND(Paramètres!$B$64*$AX9*INDEX(Rôles!$N$5:$N$13,$AY9)*INDEX(Rôles!$I$18:$I$22,$AZ9),0)</f>
        <v>5</v>
      </c>
      <c r="S9" s="30" t="n">
        <f aca="false" t="array" ref="S9:S9">MIN(1,ROUND(Paramètres!$B$21*INDEX(Rôles!$G$5:$G$13,AY9),3))</f>
        <v>0.765</v>
      </c>
      <c r="T9" s="30" t="n">
        <f aca="false" t="array" ref="T9:T9">MIN(Paramètres!$B$28,ROUND(Paramètres!$B$22*INDEX(Rôles!$H$5:$H$13,AY9),3))</f>
        <v>0.03</v>
      </c>
      <c r="U9" s="30" t="n">
        <f aca="false" t="array" ref="U9:U9">ROUND(Paramètres!$B$23*INDEX(Rôles!$I$5:$I$13,AY9),3)</f>
        <v>0.5</v>
      </c>
      <c r="V9" s="30" t="n">
        <f aca="false" t="array" ref="V9:V9">MIN(Paramètres!$B$29,ROUND(Paramètres!$B$24*INDEX(Rôles!$J$5:$J$13,AY9),3))</f>
        <v>0.04</v>
      </c>
      <c r="W9" s="30" t="n">
        <f aca="false" t="array" ref="W9:W9">MIN(Paramètres!$B$27,ROUND((Paramètres!$B$25+(Paramètres!$B$26-Paramètres!$B$25)*(K9-Paramètres!$B$7)/(Paramètres!$B$8-Paramètres!$B$7))*INDEX(Rôles!$K$5:$K$13,AY9)+INDEX(Rôles!$G$18:$G$22,AZ9),3))</f>
        <v>0.072</v>
      </c>
      <c r="X9" s="30" t="n">
        <f aca="false">ROUND(1-(1-P9/(P9+(Paramètres!$B$19*(Paramètres!$B$5+(1-Paramètres!$B$5)*((K9-Paramètres!$B$7)/(Paramètres!$B$8-Paramètres!$B$7))^Paramètres!$B$6)*(1-Paramètres!$B$30)/Paramètres!$B$30)))*(1-O9/(O9+(Paramètres!$B$18*(Paramètres!$B$5+(1-Paramètres!$B$5)*((K9-Paramètres!$B$7)/(Paramètres!$B$8-Paramètres!$B$7))^Paramètres!$B$6)*(1-Paramètres!$B$31)/Paramètres!$B$31))),3)</f>
        <v>0.438</v>
      </c>
      <c r="Y9" s="30" t="n">
        <f aca="false">ROUND(O9/(O9+(Paramètres!$B$18*(Paramètres!$B$5+(1-Paramètres!$B$5)*((K9-Paramètres!$B$7)/(Paramètres!$B$8-Paramètres!$B$7))^Paramètres!$B$6)*(1-Paramètres!$B$31)/Paramètres!$B$31)),3)</f>
        <v>0.197</v>
      </c>
      <c r="Z9" s="31" t="n">
        <f aca="false" t="array" ref="Z9:Z9">IF(E9="Neutre",0,MIN(1,INDEX(Rôles!$L$5:$L$13,AY9)+INDEX(Rôles!$F$18:$F$22,AZ9)))</f>
        <v>0</v>
      </c>
      <c r="AA9" s="32" t="n">
        <f aca="false" t="array" ref="AA9:AA9">ROUND(INDEX(Rôles!$C$18:$C$22,AZ9)*INDEX(Rôles!$C$5:$C$13,AY9),4)</f>
        <v>0.0181</v>
      </c>
      <c r="AB9" s="33" t="n">
        <f aca="false" t="array" ref="AB9:AB9">ROUND(INDEX(Rôles!$B$18:$B$22,AZ9)*INDEX(Rôles!$B$5:$B$13,AY9),2)</f>
        <v>4.2</v>
      </c>
      <c r="AC9" s="33" t="n">
        <f aca="false" t="array" ref="AC9:AC9">INDEX(Rôles!$E$18:$E$22,AZ9)</f>
        <v>1.4</v>
      </c>
      <c r="AD9" s="23" t="str">
        <f aca="false" t="array" ref="AD9:AD9">INDEX(Éléments!$F$5:$F$14,MATCH(E9,Éléments!$A$5:$A$14,0))</f>
        <v>—</v>
      </c>
      <c r="AE9" s="23" t="str">
        <f aca="false" t="array" ref="AE9:AE9">INDEX(Éléments!$G$5:$G$14,MATCH(E9,Éléments!$A$5:$A$14,0))</f>
        <v>—</v>
      </c>
      <c r="AF9" s="34" t="s">
        <v>142</v>
      </c>
      <c r="AG9" s="35" t="n">
        <v>0.15</v>
      </c>
      <c r="AH9" s="34" t="s">
        <v>141</v>
      </c>
      <c r="AI9" s="35" t="n">
        <v>0.15</v>
      </c>
      <c r="AJ9" s="29" t="n">
        <f aca="false" t="array" ref="AJ9:AJ9">ROUND(ROUND(Paramètres!$B$49*K9^Paramètres!$B$50,0)*INDEX(Rôles!$E$18:$E$22,AZ9),0)</f>
        <v>63</v>
      </c>
      <c r="AK9" s="29" t="n">
        <f aca="false" t="array" ref="AK9:AK9">ROUND(ROUND(Paramètres!$B$53*K9^Paramètres!$B$54,0)*INDEX(Rôles!$E$18:$E$22,AZ9),0)</f>
        <v>36</v>
      </c>
      <c r="AL9" s="36" t="n">
        <f aca="false">INDEX(Butin!$B$7:$B$11,AZ9)</f>
        <v>0.08</v>
      </c>
      <c r="AM9" s="37" t="n">
        <f aca="false">INDEX(Butin!$E$7:$E$11,AZ9)</f>
        <v>0.08</v>
      </c>
      <c r="AN9" s="30" t="n">
        <f aca="false">IF($H9="Boss",INDEX(Butin!$E$28:$K$37,MATCH($B9,Éléments!$C$5:$C$14,1),1),IF($H9="Dragon",INDEX(Butin!$E$41:$K$50,MATCH($B9,Éléments!$C$5:$C$14,1),1),INDEX(Butin!$E$15:$K$24,MATCH($B9,Éléments!$C$5:$C$14,1),1)))</f>
        <v>0.8</v>
      </c>
      <c r="AO9" s="30" t="n">
        <f aca="false">IF($H9="Boss",INDEX(Butin!$E$28:$K$37,MATCH($B9,Éléments!$C$5:$C$14,1),2),IF($H9="Dragon",INDEX(Butin!$E$41:$K$50,MATCH($B9,Éléments!$C$5:$C$14,1),2),INDEX(Butin!$E$15:$K$24,MATCH($B9,Éléments!$C$5:$C$14,1),2)))</f>
        <v>0.2</v>
      </c>
      <c r="AP9" s="30" t="n">
        <f aca="false">IF($H9="Boss",INDEX(Butin!$E$28:$K$37,MATCH($B9,Éléments!$C$5:$C$14,1),3),IF($H9="Dragon",INDEX(Butin!$E$41:$K$50,MATCH($B9,Éléments!$C$5:$C$14,1),3),INDEX(Butin!$E$15:$K$24,MATCH($B9,Éléments!$C$5:$C$14,1),3)))</f>
        <v>0</v>
      </c>
      <c r="AQ9" s="30" t="n">
        <f aca="false">IF($H9="Boss",INDEX(Butin!$E$28:$K$37,MATCH($B9,Éléments!$C$5:$C$14,1),4),IF($H9="Dragon",INDEX(Butin!$E$41:$K$50,MATCH($B9,Éléments!$C$5:$C$14,1),4),INDEX(Butin!$E$15:$K$24,MATCH($B9,Éléments!$C$5:$C$14,1),4)))</f>
        <v>0</v>
      </c>
      <c r="AR9" s="30" t="n">
        <f aca="false">IF($H9="Boss",INDEX(Butin!$E$28:$K$37,MATCH($B9,Éléments!$C$5:$C$14,1),5),IF($H9="Dragon",INDEX(Butin!$E$41:$K$50,MATCH($B9,Éléments!$C$5:$C$14,1),5),INDEX(Butin!$E$15:$K$24,MATCH($B9,Éléments!$C$5:$C$14,1),5)))</f>
        <v>0</v>
      </c>
      <c r="AS9" s="30" t="n">
        <f aca="false">IF($H9="Boss",INDEX(Butin!$E$28:$K$37,MATCH($B9,Éléments!$C$5:$C$14,1),6),IF($H9="Dragon",INDEX(Butin!$E$41:$K$50,MATCH($B9,Éléments!$C$5:$C$14,1),6),INDEX(Butin!$E$15:$K$24,MATCH($B9,Éléments!$C$5:$C$14,1),6)))</f>
        <v>0</v>
      </c>
      <c r="AT9" s="30" t="n">
        <f aca="false">IF($H9="Boss",INDEX(Butin!$E$28:$K$37,MATCH($B9,Éléments!$C$5:$C$14,1),7),IF($H9="Dragon",INDEX(Butin!$E$41:$K$50,MATCH($B9,Éléments!$C$5:$C$14,1),7),INDEX(Butin!$E$15:$K$24,MATCH($B9,Éléments!$C$5:$C$14,1),7)))</f>
        <v>0</v>
      </c>
      <c r="AU9" s="38" t="str">
        <f aca="false">IF(AT9=0,"—",INDEX(Butin!$D$54:$D$63,MATCH($B9,Éléments!$C$5:$C$14,1))&amp;" · "&amp;INDEX(Butin!$F$54:$F$63,MATCH($B9,Éléments!$C$5:$C$14,1))&amp;" · "&amp;INDEX(Butin!$H$54:$H$63,MATCH($B9,Éléments!$C$5:$C$14,1)))</f>
        <v>—</v>
      </c>
      <c r="AV9" s="20" t="s">
        <v>147</v>
      </c>
      <c r="AW9" s="39" t="str">
        <f aca="false">B9&amp;IF(G9="Oui","|B","|N")</f>
        <v>5|N</v>
      </c>
      <c r="AX9" s="40" t="n">
        <f aca="false">(Paramètres!$B$5+(1-Paramètres!$B$5)*((K9-Paramètres!$B$7)/(Paramètres!$B$8-Paramètres!$B$7))^Paramètres!$B$6)</f>
        <v>0.0702038139860861</v>
      </c>
      <c r="AY9" s="39" t="n">
        <f aca="false">MATCH(I9,Rôles!$A$5:$A$13,0)</f>
        <v>2</v>
      </c>
      <c r="AZ9" s="39" t="n">
        <f aca="false">MATCH(H9,Rôles!$A$18:$A$22,0)</f>
        <v>3</v>
      </c>
    </row>
    <row r="10" customFormat="false" ht="15" hidden="false" customHeight="true" outlineLevel="0" collapsed="false">
      <c r="A10" s="20" t="s">
        <v>150</v>
      </c>
      <c r="B10" s="21" t="n">
        <v>5</v>
      </c>
      <c r="C10" s="22" t="str">
        <f aca="false" t="array" ref="C10:C10">INDEX(Zones!$B$6:$B$35,MATCH(B10,Zones!$A$6:$A$35,0))</f>
        <v>Forêt de chasse</v>
      </c>
      <c r="D10" s="23" t="str">
        <f aca="false" t="array" ref="D10:D10">INDEX(Éléments!$B$5:$B$14,MATCH(B10,Éléments!$C$5:$C$14,1))</f>
        <v>Forêt</v>
      </c>
      <c r="E10" s="24" t="str">
        <f aca="false" t="array" ref="E10:E10">INDEX(Éléments!$A$5:$A$14,MATCH(B10,Éléments!$C$5:$C$14,1))</f>
        <v>Neutre</v>
      </c>
      <c r="F10" s="25" t="s">
        <v>151</v>
      </c>
      <c r="G10" s="23" t="str">
        <f aca="false">IF(OR(H10="Boss",H10="Dragon"),"Oui","Non")</f>
        <v>Oui</v>
      </c>
      <c r="H10" s="26" t="s">
        <v>152</v>
      </c>
      <c r="I10" s="26" t="s">
        <v>149</v>
      </c>
      <c r="J10" s="26" t="s">
        <v>140</v>
      </c>
      <c r="K10" s="27" t="n">
        <f aca="false">IF($F$3="",B10,$F$3)</f>
        <v>5</v>
      </c>
      <c r="L10" s="28" t="n">
        <f aca="false" t="array" ref="L10:L10">ROUND(Paramètres!$B$16*(Paramètres!$B$5+(1-Paramètres!$B$5)*((K10-Paramètres!$B$7)/(Paramètres!$B$8-Paramètres!$B$7))^Paramètres!$B$6)*INDEX(Rôles!$B$18:$B$22,AZ10)*INDEX(Rôles!$B$5:$B$13,AY10),0)</f>
        <v>995</v>
      </c>
      <c r="M10" s="29" t="n">
        <f aca="false" t="array" ref="M10:M10">ROUND(IF(J10="Physique",1,IF(J10="Mixte",Paramètres!$B$32,0))*Paramètres!$B$12*(Paramètres!$B$5+(1-Paramètres!$B$5)*((K10-Paramètres!$B$7)/(Paramètres!$B$8-Paramètres!$B$7))^Paramètres!$B$6)*INDEX(Rôles!$C$18:$C$22,AZ10)*INDEX(Rôles!$C$5:$C$13,AY10)/(Paramètres!$B$35*(1-Paramètres!$B$36)),0)</f>
        <v>46</v>
      </c>
      <c r="N10" s="29" t="n">
        <f aca="false" t="array" ref="N10:N10">ROUND(IF(J10="Magique",1,IF(J10="Mixte",Paramètres!$B$32,0))*Paramètres!$B$12*(Paramètres!$B$5+(1-Paramètres!$B$5)*((K10-Paramètres!$B$7)/(Paramètres!$B$8-Paramètres!$B$7))^Paramètres!$B$6)*INDEX(Rôles!$C$18:$C$22,AZ10)*INDEX(Rôles!$C$5:$C$13,AY10)/(Paramètres!$B$35*(1-Paramètres!$B$36)),0)</f>
        <v>0</v>
      </c>
      <c r="O10" s="29" t="n">
        <f aca="false" t="array" ref="O10:O10">ROUND(Paramètres!$B$18*(Paramètres!$B$5+(1-Paramètres!$B$5)*((K10-Paramètres!$B$7)/(Paramètres!$B$8-Paramètres!$B$7))^Paramètres!$B$6)*INDEX(Rôles!$D$5:$D$13,AY10)*INDEX(Rôles!$D$18:$D$22,AZ10),0)</f>
        <v>49</v>
      </c>
      <c r="P10" s="29" t="n">
        <f aca="false" t="array" ref="P10:P10">ROUND(Paramètres!$B$19*(Paramètres!$B$5+(1-Paramètres!$B$5)*((K10-Paramètres!$B$7)/(Paramètres!$B$8-Paramètres!$B$7))^Paramètres!$B$6)*INDEX(Rôles!$E$5:$E$13,AY10)*INDEX(Rôles!$D$18:$D$22,AZ10),0)</f>
        <v>55</v>
      </c>
      <c r="Q10" s="29" t="n">
        <f aca="false" t="array" ref="Q10:Q10">ROUND(Paramètres!$B$20*(Paramètres!$B$5+(1-Paramètres!$B$5)*((K10-Paramètres!$B$7)/(Paramètres!$B$8-Paramètres!$B$7))^Paramètres!$B$6)*INDEX(Rôles!$F$5:$F$13,AY10),0)</f>
        <v>5</v>
      </c>
      <c r="R10" s="29" t="n">
        <f aca="false">ROUND(Paramètres!$B$64*$AX10*INDEX(Rôles!$N$5:$N$13,$AY10)*INDEX(Rôles!$I$18:$I$22,$AZ10),0)</f>
        <v>6</v>
      </c>
      <c r="S10" s="30" t="n">
        <f aca="false" t="array" ref="S10:S10">MIN(1,ROUND(Paramètres!$B$21*INDEX(Rôles!$G$5:$G$13,AY10),3))</f>
        <v>0.765</v>
      </c>
      <c r="T10" s="30" t="n">
        <f aca="false" t="array" ref="T10:T10">MIN(Paramètres!$B$28,ROUND(Paramètres!$B$22*INDEX(Rôles!$H$5:$H$13,AY10),3))</f>
        <v>0.03</v>
      </c>
      <c r="U10" s="30" t="n">
        <f aca="false" t="array" ref="U10:U10">ROUND(Paramètres!$B$23*INDEX(Rôles!$I$5:$I$13,AY10),3)</f>
        <v>0.5</v>
      </c>
      <c r="V10" s="30" t="n">
        <f aca="false" t="array" ref="V10:V10">MIN(Paramètres!$B$29,ROUND(Paramètres!$B$24*INDEX(Rôles!$J$5:$J$13,AY10),3))</f>
        <v>0.04</v>
      </c>
      <c r="W10" s="30" t="n">
        <f aca="false" t="array" ref="W10:W10">MIN(Paramètres!$B$27,ROUND((Paramètres!$B$25+(Paramètres!$B$26-Paramètres!$B$25)*(K10-Paramètres!$B$7)/(Paramètres!$B$8-Paramètres!$B$7))*INDEX(Rôles!$K$5:$K$13,AY10)+INDEX(Rôles!$G$18:$G$22,AZ10),3))</f>
        <v>0.272</v>
      </c>
      <c r="X10" s="30" t="n">
        <f aca="false">ROUND(1-(1-P10/(P10+(Paramètres!$B$19*(Paramètres!$B$5+(1-Paramètres!$B$5)*((K10-Paramètres!$B$7)/(Paramètres!$B$8-Paramètres!$B$7))^Paramètres!$B$6)*(1-Paramètres!$B$30)/Paramètres!$B$30)))*(1-O10/(O10+(Paramètres!$B$18*(Paramètres!$B$5+(1-Paramètres!$B$5)*((K10-Paramètres!$B$7)/(Paramètres!$B$8-Paramètres!$B$7))^Paramètres!$B$6)*(1-Paramètres!$B$31)/Paramètres!$B$31))),3)</f>
        <v>0.473</v>
      </c>
      <c r="Y10" s="30" t="n">
        <f aca="false">ROUND(O10/(O10+(Paramètres!$B$18*(Paramètres!$B$5+(1-Paramètres!$B$5)*((K10-Paramètres!$B$7)/(Paramètres!$B$8-Paramètres!$B$7))^Paramètres!$B$6)*(1-Paramètres!$B$31)/Paramètres!$B$31)),3)</f>
        <v>0.215</v>
      </c>
      <c r="Z10" s="31" t="n">
        <f aca="false" t="array" ref="Z10:Z10">IF(E10="Neutre",0,MIN(1,INDEX(Rôles!$L$5:$L$13,AY10)+INDEX(Rôles!$F$18:$F$22,AZ10)))</f>
        <v>0</v>
      </c>
      <c r="AA10" s="32" t="n">
        <f aca="false" t="array" ref="AA10:AA10">ROUND(INDEX(Rôles!$C$18:$C$22,AZ10)*INDEX(Rôles!$C$5:$C$13,AY10),4)</f>
        <v>0.0285</v>
      </c>
      <c r="AB10" s="33" t="n">
        <f aca="false" t="array" ref="AB10:AB10">ROUND(INDEX(Rôles!$B$18:$B$22,AZ10)*INDEX(Rôles!$B$5:$B$13,AY10),2)</f>
        <v>18</v>
      </c>
      <c r="AC10" s="33" t="n">
        <f aca="false" t="array" ref="AC10:AC10">INDEX(Rôles!$E$18:$E$22,AZ10)</f>
        <v>8</v>
      </c>
      <c r="AD10" s="23" t="str">
        <f aca="false" t="array" ref="AD10:AD10">INDEX(Éléments!$F$5:$F$14,MATCH(E10,Éléments!$A$5:$A$14,0))</f>
        <v>—</v>
      </c>
      <c r="AE10" s="23" t="str">
        <f aca="false" t="array" ref="AE10:AE10">INDEX(Éléments!$G$5:$G$14,MATCH(E10,Éléments!$A$5:$A$14,0))</f>
        <v>—</v>
      </c>
      <c r="AF10" s="34" t="s">
        <v>141</v>
      </c>
      <c r="AG10" s="35" t="n">
        <v>0.35</v>
      </c>
      <c r="AH10" s="34" t="s">
        <v>142</v>
      </c>
      <c r="AI10" s="35" t="n">
        <v>0.25</v>
      </c>
      <c r="AJ10" s="29" t="n">
        <f aca="false" t="array" ref="AJ10:AJ10">ROUND(ROUND(Paramètres!$B$49*K10^Paramètres!$B$50,0)*INDEX(Rôles!$E$18:$E$22,AZ10),0)</f>
        <v>360</v>
      </c>
      <c r="AK10" s="29" t="n">
        <f aca="false" t="array" ref="AK10:AK10">ROUND(ROUND(Paramètres!$B$53*K10^Paramètres!$B$54,0)*INDEX(Rôles!$E$18:$E$22,AZ10),0)</f>
        <v>208</v>
      </c>
      <c r="AL10" s="36" t="n">
        <f aca="false">INDEX(Butin!$B$7:$B$11,AZ10)</f>
        <v>1</v>
      </c>
      <c r="AM10" s="37" t="n">
        <f aca="false">INDEX(Butin!$E$7:$E$11,AZ10)</f>
        <v>1.4</v>
      </c>
      <c r="AN10" s="30" t="n">
        <f aca="false">IF($H10="Boss",INDEX(Butin!$E$28:$K$37,MATCH($B10,Éléments!$C$5:$C$14,1),1),IF($H10="Dragon",INDEX(Butin!$E$41:$K$50,MATCH($B10,Éléments!$C$5:$C$14,1),1),INDEX(Butin!$E$15:$K$24,MATCH($B10,Éléments!$C$5:$C$14,1),1)))</f>
        <v>0.4</v>
      </c>
      <c r="AO10" s="30" t="n">
        <f aca="false">IF($H10="Boss",INDEX(Butin!$E$28:$K$37,MATCH($B10,Éléments!$C$5:$C$14,1),2),IF($H10="Dragon",INDEX(Butin!$E$41:$K$50,MATCH($B10,Éléments!$C$5:$C$14,1),2),INDEX(Butin!$E$15:$K$24,MATCH($B10,Éléments!$C$5:$C$14,1),2)))</f>
        <v>0.4</v>
      </c>
      <c r="AP10" s="30" t="n">
        <f aca="false">IF($H10="Boss",INDEX(Butin!$E$28:$K$37,MATCH($B10,Éléments!$C$5:$C$14,1),3),IF($H10="Dragon",INDEX(Butin!$E$41:$K$50,MATCH($B10,Éléments!$C$5:$C$14,1),3),INDEX(Butin!$E$15:$K$24,MATCH($B10,Éléments!$C$5:$C$14,1),3)))</f>
        <v>0.15</v>
      </c>
      <c r="AQ10" s="30" t="n">
        <f aca="false">IF($H10="Boss",INDEX(Butin!$E$28:$K$37,MATCH($B10,Éléments!$C$5:$C$14,1),4),IF($H10="Dragon",INDEX(Butin!$E$41:$K$50,MATCH($B10,Éléments!$C$5:$C$14,1),4),INDEX(Butin!$E$15:$K$24,MATCH($B10,Éléments!$C$5:$C$14,1),4)))</f>
        <v>0.04</v>
      </c>
      <c r="AR10" s="30" t="n">
        <f aca="false">IF($H10="Boss",INDEX(Butin!$E$28:$K$37,MATCH($B10,Éléments!$C$5:$C$14,1),5),IF($H10="Dragon",INDEX(Butin!$E$41:$K$50,MATCH($B10,Éléments!$C$5:$C$14,1),5),INDEX(Butin!$E$15:$K$24,MATCH($B10,Éléments!$C$5:$C$14,1),5)))</f>
        <v>0</v>
      </c>
      <c r="AS10" s="30" t="n">
        <f aca="false">IF($H10="Boss",INDEX(Butin!$E$28:$K$37,MATCH($B10,Éléments!$C$5:$C$14,1),6),IF($H10="Dragon",INDEX(Butin!$E$41:$K$50,MATCH($B10,Éléments!$C$5:$C$14,1),6),INDEX(Butin!$E$15:$K$24,MATCH($B10,Éléments!$C$5:$C$14,1),6)))</f>
        <v>0</v>
      </c>
      <c r="AT10" s="30" t="n">
        <f aca="false">IF($H10="Boss",INDEX(Butin!$E$28:$K$37,MATCH($B10,Éléments!$C$5:$C$14,1),7),IF($H10="Dragon",INDEX(Butin!$E$41:$K$50,MATCH($B10,Éléments!$C$5:$C$14,1),7),INDEX(Butin!$E$15:$K$24,MATCH($B10,Éléments!$C$5:$C$14,1),7)))</f>
        <v>0.01</v>
      </c>
      <c r="AU10" s="38" t="str">
        <f aca="false">IF(AT10=0,"—",INDEX(Butin!$D$54:$D$63,MATCH($B10,Éléments!$C$5:$C$14,1))&amp;" · "&amp;INDEX(Butin!$F$54:$F$63,MATCH($B10,Éléments!$C$5:$C$14,1))&amp;" · "&amp;INDEX(Butin!$H$54:$H$63,MATCH($B10,Éléments!$C$5:$C$14,1)))</f>
        <v>Heaume du Roi Déchu · Bâton de la Singularité · Bague du Dernier Souffle</v>
      </c>
      <c r="AV10" s="20" t="s">
        <v>153</v>
      </c>
      <c r="AW10" s="39" t="str">
        <f aca="false">B10&amp;IF(G10="Oui","|B","|N")</f>
        <v>5|B</v>
      </c>
      <c r="AX10" s="40" t="n">
        <f aca="false">(Paramètres!$B$5+(1-Paramètres!$B$5)*((K10-Paramètres!$B$7)/(Paramètres!$B$8-Paramètres!$B$7))^Paramètres!$B$6)</f>
        <v>0.0702038139860861</v>
      </c>
      <c r="AY10" s="39" t="n">
        <f aca="false">MATCH(I10,Rôles!$A$5:$A$13,0)</f>
        <v>2</v>
      </c>
      <c r="AZ10" s="39" t="n">
        <f aca="false">MATCH(H10,Rôles!$A$18:$A$22,0)</f>
        <v>4</v>
      </c>
    </row>
    <row r="11" customFormat="false" ht="15" hidden="false" customHeight="true" outlineLevel="0" collapsed="false">
      <c r="A11" s="20" t="s">
        <v>154</v>
      </c>
      <c r="B11" s="21" t="n">
        <v>9</v>
      </c>
      <c r="C11" s="22" t="str">
        <f aca="false" t="array" ref="C11:C11">INDEX(Zones!$B$6:$B$35,MATCH(B11,Zones!$A$6:$A$35,0))</f>
        <v>Tannière du dragon (9)</v>
      </c>
      <c r="D11" s="23" t="str">
        <f aca="false" t="array" ref="D11:D11">INDEX(Éléments!$B$5:$B$14,MATCH(B11,Éléments!$C$5:$C$14,1))</f>
        <v>Forêt</v>
      </c>
      <c r="E11" s="24" t="str">
        <f aca="false" t="array" ref="E11:E11">INDEX(Éléments!$A$5:$A$14,MATCH(B11,Éléments!$C$5:$C$14,1))</f>
        <v>Neutre</v>
      </c>
      <c r="F11" s="25" t="s">
        <v>155</v>
      </c>
      <c r="G11" s="23" t="str">
        <f aca="false">IF(OR(H11="Boss",H11="Dragon"),"Oui","Non")</f>
        <v>Oui</v>
      </c>
      <c r="H11" s="26" t="s">
        <v>156</v>
      </c>
      <c r="I11" s="26" t="s">
        <v>156</v>
      </c>
      <c r="J11" s="26" t="s">
        <v>157</v>
      </c>
      <c r="K11" s="27" t="n">
        <f aca="false">IF($F$3="",B11,$F$3)</f>
        <v>9</v>
      </c>
      <c r="L11" s="28" t="n">
        <f aca="false" t="array" ref="L11:L11">ROUND(Paramètres!$B$16*(Paramètres!$B$5+(1-Paramètres!$B$5)*((K11-Paramètres!$B$7)/(Paramètres!$B$8-Paramètres!$B$7))^Paramètres!$B$6)*INDEX(Rôles!$B$18:$B$22,AZ11)*INDEX(Rôles!$B$5:$B$13,AY11),0)</f>
        <v>1519</v>
      </c>
      <c r="M11" s="29" t="n">
        <f aca="false" t="array" ref="M11:M11">ROUND(IF(J11="Physique",1,IF(J11="Mixte",Paramètres!$B$32,0))*Paramètres!$B$12*(Paramètres!$B$5+(1-Paramètres!$B$5)*((K11-Paramètres!$B$7)/(Paramètres!$B$8-Paramètres!$B$7))^Paramètres!$B$6)*INDEX(Rôles!$C$18:$C$22,AZ11)*INDEX(Rôles!$C$5:$C$13,AY11)/(Paramètres!$B$35*(1-Paramètres!$B$36)),0)</f>
        <v>50</v>
      </c>
      <c r="N11" s="29" t="n">
        <f aca="false" t="array" ref="N11:N11">ROUND(IF(J11="Magique",1,IF(J11="Mixte",Paramètres!$B$32,0))*Paramètres!$B$12*(Paramètres!$B$5+(1-Paramètres!$B$5)*((K11-Paramètres!$B$7)/(Paramètres!$B$8-Paramètres!$B$7))^Paramètres!$B$6)*INDEX(Rôles!$C$18:$C$22,AZ11)*INDEX(Rôles!$C$5:$C$13,AY11)/(Paramètres!$B$35*(1-Paramètres!$B$36)),0)</f>
        <v>50</v>
      </c>
      <c r="O11" s="29" t="n">
        <f aca="false" t="array" ref="O11:O11">ROUND(Paramètres!$B$18*(Paramètres!$B$5+(1-Paramètres!$B$5)*((K11-Paramètres!$B$7)/(Paramètres!$B$8-Paramètres!$B$7))^Paramètres!$B$6)*INDEX(Rôles!$D$5:$D$13,AY11)*INDEX(Rôles!$D$18:$D$22,AZ11),0)</f>
        <v>73</v>
      </c>
      <c r="P11" s="29" t="n">
        <f aca="false" t="array" ref="P11:P11">ROUND(Paramètres!$B$19*(Paramètres!$B$5+(1-Paramètres!$B$5)*((K11-Paramètres!$B$7)/(Paramètres!$B$8-Paramètres!$B$7))^Paramètres!$B$6)*INDEX(Rôles!$E$5:$E$13,AY11)*INDEX(Rôles!$D$18:$D$22,AZ11),0)</f>
        <v>70</v>
      </c>
      <c r="Q11" s="29" t="n">
        <f aca="false" t="array" ref="Q11:Q11">ROUND(Paramètres!$B$20*(Paramètres!$B$5+(1-Paramètres!$B$5)*((K11-Paramètres!$B$7)/(Paramètres!$B$8-Paramètres!$B$7))^Paramètres!$B$6)*INDEX(Rôles!$F$5:$F$13,AY11),0)</f>
        <v>9</v>
      </c>
      <c r="R11" s="29" t="n">
        <f aca="false">ROUND(Paramètres!$B$64*$AX11*INDEX(Rôles!$N$5:$N$13,$AY11)*INDEX(Rôles!$I$18:$I$22,$AZ11),0)</f>
        <v>8</v>
      </c>
      <c r="S11" s="30" t="n">
        <f aca="false" t="array" ref="S11:S11">MIN(1,ROUND(Paramètres!$B$21*INDEX(Rôles!$G$5:$G$13,AY11),3))</f>
        <v>0.9</v>
      </c>
      <c r="T11" s="30" t="n">
        <f aca="false" t="array" ref="T11:T11">MIN(Paramètres!$B$28,ROUND(Paramètres!$B$22*INDEX(Rôles!$H$5:$H$13,AY11),3))</f>
        <v>0.05</v>
      </c>
      <c r="U11" s="30" t="n">
        <f aca="false" t="array" ref="U11:U11">ROUND(Paramètres!$B$23*INDEX(Rôles!$I$5:$I$13,AY11),3)</f>
        <v>0.5</v>
      </c>
      <c r="V11" s="30" t="n">
        <f aca="false" t="array" ref="V11:V11">MIN(Paramètres!$B$29,ROUND(Paramètres!$B$24*INDEX(Rôles!$J$5:$J$13,AY11),3))</f>
        <v>0.05</v>
      </c>
      <c r="W11" s="30" t="n">
        <f aca="false" t="array" ref="W11:W11">MIN(Paramètres!$B$27,ROUND((Paramètres!$B$25+(Paramètres!$B$26-Paramètres!$B$25)*(K11-Paramètres!$B$7)/(Paramètres!$B$8-Paramètres!$B$7))*INDEX(Rôles!$K$5:$K$13,AY11)+INDEX(Rôles!$G$18:$G$22,AZ11),3))</f>
        <v>0.291</v>
      </c>
      <c r="X11" s="30" t="n">
        <f aca="false">ROUND(1-(1-P11/(P11+(Paramètres!$B$19*(Paramètres!$B$5+(1-Paramètres!$B$5)*((K11-Paramètres!$B$7)/(Paramètres!$B$8-Paramètres!$B$7))^Paramètres!$B$6)*(1-Paramètres!$B$30)/Paramètres!$B$30)))*(1-O11/(O11+(Paramètres!$B$18*(Paramètres!$B$5+(1-Paramètres!$B$5)*((K11-Paramètres!$B$7)/(Paramètres!$B$8-Paramètres!$B$7))^Paramètres!$B$6)*(1-Paramètres!$B$31)/Paramètres!$B$31))),3)</f>
        <v>0.47</v>
      </c>
      <c r="Y11" s="30" t="n">
        <f aca="false">ROUND(O11/(O11+(Paramètres!$B$18*(Paramètres!$B$5+(1-Paramètres!$B$5)*((K11-Paramètres!$B$7)/(Paramètres!$B$8-Paramètres!$B$7))^Paramètres!$B$6)*(1-Paramètres!$B$31)/Paramètres!$B$31)),3)</f>
        <v>0.229</v>
      </c>
      <c r="Z11" s="31" t="n">
        <f aca="false" t="array" ref="Z11:Z11">IF(E11="Neutre",0,MIN(1,INDEX(Rôles!$L$5:$L$13,AY11)+INDEX(Rôles!$F$18:$F$22,AZ11)))</f>
        <v>0</v>
      </c>
      <c r="AA11" s="32" t="n">
        <f aca="false" t="array" ref="AA11:AA11">ROUND(INDEX(Rôles!$C$18:$C$22,AZ11)*INDEX(Rôles!$C$5:$C$13,AY11),4)</f>
        <v>0.03</v>
      </c>
      <c r="AB11" s="33" t="n">
        <f aca="false" t="array" ref="AB11:AB11">ROUND(INDEX(Rôles!$B$18:$B$22,AZ11)*INDEX(Rôles!$B$5:$B$13,AY11),2)</f>
        <v>20</v>
      </c>
      <c r="AC11" s="33" t="n">
        <f aca="false" t="array" ref="AC11:AC11">INDEX(Rôles!$E$18:$E$22,AZ11)</f>
        <v>12</v>
      </c>
      <c r="AD11" s="23" t="str">
        <f aca="false" t="array" ref="AD11:AD11">INDEX(Éléments!$F$5:$F$14,MATCH(E11,Éléments!$A$5:$A$14,0))</f>
        <v>—</v>
      </c>
      <c r="AE11" s="23" t="str">
        <f aca="false" t="array" ref="AE11:AE11">INDEX(Éléments!$G$5:$G$14,MATCH(E11,Éléments!$A$5:$A$14,0))</f>
        <v>—</v>
      </c>
      <c r="AF11" s="34" t="s">
        <v>142</v>
      </c>
      <c r="AG11" s="35" t="n">
        <v>0.2</v>
      </c>
      <c r="AH11" s="34" t="s">
        <v>141</v>
      </c>
      <c r="AI11" s="35" t="n">
        <v>0.2</v>
      </c>
      <c r="AJ11" s="29" t="n">
        <f aca="false" t="array" ref="AJ11:AJ11">ROUND(ROUND(Paramètres!$B$49*K11^Paramètres!$B$50,0)*INDEX(Rôles!$E$18:$E$22,AZ11),0)</f>
        <v>1128</v>
      </c>
      <c r="AK11" s="29" t="n">
        <f aca="false" t="array" ref="AK11:AK11">ROUND(ROUND(Paramètres!$B$53*K11^Paramètres!$B$54,0)*INDEX(Rôles!$E$18:$E$22,AZ11),0)</f>
        <v>696</v>
      </c>
      <c r="AL11" s="36" t="n">
        <f aca="false">INDEX(Butin!$B$7:$B$11,AZ11)</f>
        <v>1</v>
      </c>
      <c r="AM11" s="37" t="n">
        <f aca="false">INDEX(Butin!$E$7:$E$11,AZ11)</f>
        <v>2.5</v>
      </c>
      <c r="AN11" s="30" t="n">
        <f aca="false">IF($H11="Boss",INDEX(Butin!$E$28:$K$37,MATCH($B11,Éléments!$C$5:$C$14,1),1),IF($H11="Dragon",INDEX(Butin!$E$41:$K$50,MATCH($B11,Éléments!$C$5:$C$14,1),1),INDEX(Butin!$E$15:$K$24,MATCH($B11,Éléments!$C$5:$C$14,1),1)))</f>
        <v>0.3</v>
      </c>
      <c r="AO11" s="30" t="n">
        <f aca="false">IF($H11="Boss",INDEX(Butin!$E$28:$K$37,MATCH($B11,Éléments!$C$5:$C$14,1),2),IF($H11="Dragon",INDEX(Butin!$E$41:$K$50,MATCH($B11,Éléments!$C$5:$C$14,1),2),INDEX(Butin!$E$15:$K$24,MATCH($B11,Éléments!$C$5:$C$14,1),2)))</f>
        <v>0.4</v>
      </c>
      <c r="AP11" s="30" t="n">
        <f aca="false">IF($H11="Boss",INDEX(Butin!$E$28:$K$37,MATCH($B11,Éléments!$C$5:$C$14,1),3),IF($H11="Dragon",INDEX(Butin!$E$41:$K$50,MATCH($B11,Éléments!$C$5:$C$14,1),3),INDEX(Butin!$E$15:$K$24,MATCH($B11,Éléments!$C$5:$C$14,1),3)))</f>
        <v>0.22</v>
      </c>
      <c r="AQ11" s="30" t="n">
        <f aca="false">IF($H11="Boss",INDEX(Butin!$E$28:$K$37,MATCH($B11,Éléments!$C$5:$C$14,1),4),IF($H11="Dragon",INDEX(Butin!$E$41:$K$50,MATCH($B11,Éléments!$C$5:$C$14,1),4),INDEX(Butin!$E$15:$K$24,MATCH($B11,Éléments!$C$5:$C$14,1),4)))</f>
        <v>0.06</v>
      </c>
      <c r="AR11" s="30" t="n">
        <f aca="false">IF($H11="Boss",INDEX(Butin!$E$28:$K$37,MATCH($B11,Éléments!$C$5:$C$14,1),5),IF($H11="Dragon",INDEX(Butin!$E$41:$K$50,MATCH($B11,Éléments!$C$5:$C$14,1),5),INDEX(Butin!$E$15:$K$24,MATCH($B11,Éléments!$C$5:$C$14,1),5)))</f>
        <v>0</v>
      </c>
      <c r="AS11" s="30" t="n">
        <f aca="false">IF($H11="Boss",INDEX(Butin!$E$28:$K$37,MATCH($B11,Éléments!$C$5:$C$14,1),6),IF($H11="Dragon",INDEX(Butin!$E$41:$K$50,MATCH($B11,Éléments!$C$5:$C$14,1),6),INDEX(Butin!$E$15:$K$24,MATCH($B11,Éléments!$C$5:$C$14,1),6)))</f>
        <v>0</v>
      </c>
      <c r="AT11" s="30" t="n">
        <f aca="false">IF($H11="Boss",INDEX(Butin!$E$28:$K$37,MATCH($B11,Éléments!$C$5:$C$14,1),7),IF($H11="Dragon",INDEX(Butin!$E$41:$K$50,MATCH($B11,Éléments!$C$5:$C$14,1),7),INDEX(Butin!$E$15:$K$24,MATCH($B11,Éléments!$C$5:$C$14,1),7)))</f>
        <v>0.02</v>
      </c>
      <c r="AU11" s="38" t="str">
        <f aca="false">IF(AT11=0,"—",INDEX(Butin!$D$54:$D$63,MATCH($B11,Éléments!$C$5:$C$14,1))&amp;" · "&amp;INDEX(Butin!$F$54:$F$63,MATCH($B11,Éléments!$C$5:$C$14,1))&amp;" · "&amp;INDEX(Butin!$H$54:$H$63,MATCH($B11,Éléments!$C$5:$C$14,1)))</f>
        <v>Heaume du Roi Déchu · Bâton de la Singularité · Bague du Dernier Souffle</v>
      </c>
      <c r="AV11" s="20" t="s">
        <v>155</v>
      </c>
      <c r="AW11" s="39" t="str">
        <f aca="false">B11&amp;IF(G11="Oui","|B","|N")</f>
        <v>9|B</v>
      </c>
      <c r="AX11" s="40" t="n">
        <f aca="false">(Paramètres!$B$5+(1-Paramètres!$B$5)*((K11-Paramètres!$B$7)/(Paramètres!$B$8-Paramètres!$B$7))^Paramètres!$B$6)</f>
        <v>0.0964161757809663</v>
      </c>
      <c r="AY11" s="39" t="n">
        <f aca="false">MATCH(I11,Rôles!$A$5:$A$13,0)</f>
        <v>9</v>
      </c>
      <c r="AZ11" s="39" t="n">
        <f aca="false">MATCH(H11,Rôles!$A$18:$A$22,0)</f>
        <v>5</v>
      </c>
    </row>
    <row r="12" customFormat="false" ht="15" hidden="false" customHeight="true" outlineLevel="0" collapsed="false">
      <c r="A12" s="20" t="s">
        <v>158</v>
      </c>
      <c r="B12" s="21" t="n">
        <v>10</v>
      </c>
      <c r="C12" s="22" t="str">
        <f aca="false" t="array" ref="C12:C12">INDEX(Zones!$B$6:$B$35,MATCH(B12,Zones!$A$6:$A$35,0))</f>
        <v>Village gobelin</v>
      </c>
      <c r="D12" s="23" t="str">
        <f aca="false" t="array" ref="D12:D12">INDEX(Éléments!$B$5:$B$14,MATCH(B12,Éléments!$C$5:$C$14,1))</f>
        <v>Forêt</v>
      </c>
      <c r="E12" s="24" t="str">
        <f aca="false" t="array" ref="E12:E12">INDEX(Éléments!$A$5:$A$14,MATCH(B12,Éléments!$C$5:$C$14,1))</f>
        <v>Neutre</v>
      </c>
      <c r="F12" s="25" t="s">
        <v>159</v>
      </c>
      <c r="G12" s="23" t="str">
        <f aca="false">IF(OR(H12="Boss",H12="Dragon"),"Oui","Non")</f>
        <v>Oui</v>
      </c>
      <c r="H12" s="26" t="s">
        <v>152</v>
      </c>
      <c r="I12" s="26" t="s">
        <v>160</v>
      </c>
      <c r="J12" s="26" t="s">
        <v>140</v>
      </c>
      <c r="K12" s="27" t="n">
        <f aca="false">IF($F$3="",B12,$F$3)</f>
        <v>10</v>
      </c>
      <c r="L12" s="28" t="n">
        <f aca="false" t="array" ref="L12:L12">ROUND(Paramètres!$B$16*(Paramètres!$B$5+(1-Paramètres!$B$5)*((K12-Paramètres!$B$7)/(Paramètres!$B$8-Paramètres!$B$7))^Paramètres!$B$6)*INDEX(Rôles!$B$18:$B$22,AZ12)*INDEX(Rôles!$B$5:$B$13,AY12),0)</f>
        <v>1124</v>
      </c>
      <c r="M12" s="29" t="n">
        <f aca="false" t="array" ref="M12:M12">ROUND(IF(J12="Physique",1,IF(J12="Mixte",Paramètres!$B$32,0))*Paramètres!$B$12*(Paramètres!$B$5+(1-Paramètres!$B$5)*((K12-Paramètres!$B$7)/(Paramètres!$B$8-Paramètres!$B$7))^Paramètres!$B$6)*INDEX(Rôles!$C$18:$C$22,AZ12)*INDEX(Rôles!$C$5:$C$13,AY12)/(Paramètres!$B$35*(1-Paramètres!$B$36)),0)</f>
        <v>71</v>
      </c>
      <c r="N12" s="29" t="n">
        <f aca="false" t="array" ref="N12:N12">ROUND(IF(J12="Magique",1,IF(J12="Mixte",Paramètres!$B$32,0))*Paramètres!$B$12*(Paramètres!$B$5+(1-Paramètres!$B$5)*((K12-Paramètres!$B$7)/(Paramètres!$B$8-Paramètres!$B$7))^Paramètres!$B$6)*INDEX(Rôles!$C$18:$C$22,AZ12)*INDEX(Rôles!$C$5:$C$13,AY12)/(Paramètres!$B$35*(1-Paramètres!$B$36)),0)</f>
        <v>0</v>
      </c>
      <c r="O12" s="29" t="n">
        <f aca="false" t="array" ref="O12:O12">ROUND(Paramètres!$B$18*(Paramètres!$B$5+(1-Paramètres!$B$5)*((K12-Paramètres!$B$7)/(Paramètres!$B$8-Paramètres!$B$7))^Paramètres!$B$6)*INDEX(Rôles!$D$5:$D$13,AY12)*INDEX(Rôles!$D$18:$D$22,AZ12),0)</f>
        <v>61</v>
      </c>
      <c r="P12" s="29" t="n">
        <f aca="false" t="array" ref="P12:P12">ROUND(Paramètres!$B$19*(Paramètres!$B$5+(1-Paramètres!$B$5)*((K12-Paramètres!$B$7)/(Paramètres!$B$8-Paramètres!$B$7))^Paramètres!$B$6)*INDEX(Rôles!$E$5:$E$13,AY12)*INDEX(Rôles!$D$18:$D$22,AZ12),0)</f>
        <v>65</v>
      </c>
      <c r="Q12" s="29" t="n">
        <f aca="false" t="array" ref="Q12:Q12">ROUND(Paramètres!$B$20*(Paramètres!$B$5+(1-Paramètres!$B$5)*((K12-Paramètres!$B$7)/(Paramètres!$B$8-Paramètres!$B$7))^Paramètres!$B$6)*INDEX(Rôles!$F$5:$F$13,AY12),0)</f>
        <v>11</v>
      </c>
      <c r="R12" s="29" t="n">
        <f aca="false">ROUND(Paramètres!$B$64*$AX12*INDEX(Rôles!$N$5:$N$13,$AY12)*INDEX(Rôles!$I$18:$I$22,$AZ12),0)</f>
        <v>11</v>
      </c>
      <c r="S12" s="30" t="n">
        <f aca="false" t="array" ref="S12:S12">MIN(1,ROUND(Paramètres!$B$21*INDEX(Rôles!$G$5:$G$13,AY12),3))</f>
        <v>0.9</v>
      </c>
      <c r="T12" s="30" t="n">
        <f aca="false" t="array" ref="T12:T12">MIN(Paramètres!$B$28,ROUND(Paramètres!$B$22*INDEX(Rôles!$H$5:$H$13,AY12),3))</f>
        <v>0.05</v>
      </c>
      <c r="U12" s="30" t="n">
        <f aca="false" t="array" ref="U12:U12">ROUND(Paramètres!$B$23*INDEX(Rôles!$I$5:$I$13,AY12),3)</f>
        <v>0.5</v>
      </c>
      <c r="V12" s="30" t="n">
        <f aca="false" t="array" ref="V12:V12">MIN(Paramètres!$B$29,ROUND(Paramètres!$B$24*INDEX(Rôles!$J$5:$J$13,AY12),3))</f>
        <v>0.05</v>
      </c>
      <c r="W12" s="30" t="n">
        <f aca="false" t="array" ref="W12:W12">MIN(Paramètres!$B$27,ROUND((Paramètres!$B$25+(Paramètres!$B$26-Paramètres!$B$25)*(K12-Paramètres!$B$7)/(Paramètres!$B$8-Paramètres!$B$7))*INDEX(Rôles!$K$5:$K$13,AY12)+INDEX(Rôles!$G$18:$G$22,AZ12),3))</f>
        <v>0.273</v>
      </c>
      <c r="X12" s="30" t="n">
        <f aca="false">ROUND(1-(1-P12/(P12+(Paramètres!$B$19*(Paramètres!$B$5+(1-Paramètres!$B$5)*((K12-Paramètres!$B$7)/(Paramètres!$B$8-Paramètres!$B$7))^Paramètres!$B$6)*(1-Paramètres!$B$30)/Paramètres!$B$30)))*(1-O12/(O12+(Paramètres!$B$18*(Paramètres!$B$5+(1-Paramètres!$B$5)*((K12-Paramètres!$B$7)/(Paramètres!$B$8-Paramètres!$B$7))^Paramètres!$B$6)*(1-Paramètres!$B$31)/Paramètres!$B$31))),3)</f>
        <v>0.417</v>
      </c>
      <c r="Y12" s="30" t="n">
        <f aca="false">ROUND(O12/(O12+(Paramètres!$B$18*(Paramètres!$B$5+(1-Paramètres!$B$5)*((K12-Paramètres!$B$7)/(Paramètres!$B$8-Paramètres!$B$7))^Paramètres!$B$6)*(1-Paramètres!$B$31)/Paramètres!$B$31)),3)</f>
        <v>0.188</v>
      </c>
      <c r="Z12" s="31" t="n">
        <f aca="false" t="array" ref="Z12:Z12">IF(E12="Neutre",0,MIN(1,INDEX(Rôles!$L$5:$L$13,AY12)+INDEX(Rôles!$F$18:$F$22,AZ12)))</f>
        <v>0</v>
      </c>
      <c r="AA12" s="32" t="n">
        <f aca="false" t="array" ref="AA12:AA12">ROUND(INDEX(Rôles!$C$18:$C$22,AZ12)*INDEX(Rôles!$C$5:$C$13,AY12),4)</f>
        <v>0.03</v>
      </c>
      <c r="AB12" s="33" t="n">
        <f aca="false" t="array" ref="AB12:AB12">ROUND(INDEX(Rôles!$B$18:$B$22,AZ12)*INDEX(Rôles!$B$5:$B$13,AY12),2)</f>
        <v>13.8</v>
      </c>
      <c r="AC12" s="33" t="n">
        <f aca="false" t="array" ref="AC12:AC12">INDEX(Rôles!$E$18:$E$22,AZ12)</f>
        <v>8</v>
      </c>
      <c r="AD12" s="23" t="str">
        <f aca="false" t="array" ref="AD12:AD12">INDEX(Éléments!$F$5:$F$14,MATCH(E12,Éléments!$A$5:$A$14,0))</f>
        <v>—</v>
      </c>
      <c r="AE12" s="23" t="str">
        <f aca="false" t="array" ref="AE12:AE12">INDEX(Éléments!$G$5:$G$14,MATCH(E12,Éléments!$A$5:$A$14,0))</f>
        <v>—</v>
      </c>
      <c r="AF12" s="34" t="s">
        <v>142</v>
      </c>
      <c r="AG12" s="35" t="n">
        <v>0.3</v>
      </c>
      <c r="AH12" s="34" t="s">
        <v>161</v>
      </c>
      <c r="AI12" s="35" t="n">
        <v>0.3</v>
      </c>
      <c r="AJ12" s="29" t="n">
        <f aca="false" t="array" ref="AJ12:AJ12">ROUND(ROUND(Paramètres!$B$49*K12^Paramètres!$B$50,0)*INDEX(Rôles!$E$18:$E$22,AZ12),0)</f>
        <v>856</v>
      </c>
      <c r="AK12" s="29" t="n">
        <f aca="false" t="array" ref="AK12:AK12">ROUND(ROUND(Paramètres!$B$53*K12^Paramètres!$B$54,0)*INDEX(Rôles!$E$18:$E$22,AZ12),0)</f>
        <v>536</v>
      </c>
      <c r="AL12" s="36" t="n">
        <f aca="false">INDEX(Butin!$B$7:$B$11,AZ12)</f>
        <v>1</v>
      </c>
      <c r="AM12" s="37" t="n">
        <f aca="false">INDEX(Butin!$E$7:$E$11,AZ12)</f>
        <v>1.4</v>
      </c>
      <c r="AN12" s="30" t="n">
        <f aca="false">IF($H12="Boss",INDEX(Butin!$E$28:$K$37,MATCH($B12,Éléments!$C$5:$C$14,1),1),IF($H12="Dragon",INDEX(Butin!$E$41:$K$50,MATCH($B12,Éléments!$C$5:$C$14,1),1),INDEX(Butin!$E$15:$K$24,MATCH($B12,Éléments!$C$5:$C$14,1),1)))</f>
        <v>0.4</v>
      </c>
      <c r="AO12" s="30" t="n">
        <f aca="false">IF($H12="Boss",INDEX(Butin!$E$28:$K$37,MATCH($B12,Éléments!$C$5:$C$14,1),2),IF($H12="Dragon",INDEX(Butin!$E$41:$K$50,MATCH($B12,Éléments!$C$5:$C$14,1),2),INDEX(Butin!$E$15:$K$24,MATCH($B12,Éléments!$C$5:$C$14,1),2)))</f>
        <v>0.4</v>
      </c>
      <c r="AP12" s="30" t="n">
        <f aca="false">IF($H12="Boss",INDEX(Butin!$E$28:$K$37,MATCH($B12,Éléments!$C$5:$C$14,1),3),IF($H12="Dragon",INDEX(Butin!$E$41:$K$50,MATCH($B12,Éléments!$C$5:$C$14,1),3),INDEX(Butin!$E$15:$K$24,MATCH($B12,Éléments!$C$5:$C$14,1),3)))</f>
        <v>0.15</v>
      </c>
      <c r="AQ12" s="30" t="n">
        <f aca="false">IF($H12="Boss",INDEX(Butin!$E$28:$K$37,MATCH($B12,Éléments!$C$5:$C$14,1),4),IF($H12="Dragon",INDEX(Butin!$E$41:$K$50,MATCH($B12,Éléments!$C$5:$C$14,1),4),INDEX(Butin!$E$15:$K$24,MATCH($B12,Éléments!$C$5:$C$14,1),4)))</f>
        <v>0.04</v>
      </c>
      <c r="AR12" s="30" t="n">
        <f aca="false">IF($H12="Boss",INDEX(Butin!$E$28:$K$37,MATCH($B12,Éléments!$C$5:$C$14,1),5),IF($H12="Dragon",INDEX(Butin!$E$41:$K$50,MATCH($B12,Éléments!$C$5:$C$14,1),5),INDEX(Butin!$E$15:$K$24,MATCH($B12,Éléments!$C$5:$C$14,1),5)))</f>
        <v>0</v>
      </c>
      <c r="AS12" s="30" t="n">
        <f aca="false">IF($H12="Boss",INDEX(Butin!$E$28:$K$37,MATCH($B12,Éléments!$C$5:$C$14,1),6),IF($H12="Dragon",INDEX(Butin!$E$41:$K$50,MATCH($B12,Éléments!$C$5:$C$14,1),6),INDEX(Butin!$E$15:$K$24,MATCH($B12,Éléments!$C$5:$C$14,1),6)))</f>
        <v>0</v>
      </c>
      <c r="AT12" s="30" t="n">
        <f aca="false">IF($H12="Boss",INDEX(Butin!$E$28:$K$37,MATCH($B12,Éléments!$C$5:$C$14,1),7),IF($H12="Dragon",INDEX(Butin!$E$41:$K$50,MATCH($B12,Éléments!$C$5:$C$14,1),7),INDEX(Butin!$E$15:$K$24,MATCH($B12,Éléments!$C$5:$C$14,1),7)))</f>
        <v>0.01</v>
      </c>
      <c r="AU12" s="38" t="str">
        <f aca="false">IF(AT12=0,"—",INDEX(Butin!$D$54:$D$63,MATCH($B12,Éléments!$C$5:$C$14,1))&amp;" · "&amp;INDEX(Butin!$F$54:$F$63,MATCH($B12,Éléments!$C$5:$C$14,1))&amp;" · "&amp;INDEX(Butin!$H$54:$H$63,MATCH($B12,Éléments!$C$5:$C$14,1)))</f>
        <v>Heaume du Roi Déchu · Bâton de la Singularité · Bague du Dernier Souffle</v>
      </c>
      <c r="AV12" s="20" t="s">
        <v>162</v>
      </c>
      <c r="AW12" s="39" t="str">
        <f aca="false">B12&amp;IF(G12="Oui","|B","|N")</f>
        <v>10|B</v>
      </c>
      <c r="AX12" s="40" t="n">
        <f aca="false">(Paramètres!$B$5+(1-Paramètres!$B$5)*((K12-Paramètres!$B$7)/(Paramètres!$B$8-Paramètres!$B$7))^Paramètres!$B$6)</f>
        <v>0.103462884059059</v>
      </c>
      <c r="AY12" s="39" t="n">
        <f aca="false">MATCH(I12,Rôles!$A$5:$A$13,0)</f>
        <v>3</v>
      </c>
      <c r="AZ12" s="39" t="n">
        <f aca="false">MATCH(H12,Rôles!$A$18:$A$22,0)</f>
        <v>4</v>
      </c>
    </row>
    <row r="13" customFormat="false" ht="15" hidden="false" customHeight="true" outlineLevel="0" collapsed="false">
      <c r="A13" s="20" t="s">
        <v>163</v>
      </c>
      <c r="B13" s="21" t="n">
        <v>10</v>
      </c>
      <c r="C13" s="22" t="str">
        <f aca="false" t="array" ref="C13:C13">INDEX(Zones!$B$6:$B$35,MATCH(B13,Zones!$A$6:$A$35,0))</f>
        <v>Village gobelin</v>
      </c>
      <c r="D13" s="23" t="str">
        <f aca="false" t="array" ref="D13:D13">INDEX(Éléments!$B$5:$B$14,MATCH(B13,Éléments!$C$5:$C$14,1))</f>
        <v>Forêt</v>
      </c>
      <c r="E13" s="24" t="str">
        <f aca="false" t="array" ref="E13:E13">INDEX(Éléments!$A$5:$A$14,MATCH(B13,Éléments!$C$5:$C$14,1))</f>
        <v>Neutre</v>
      </c>
      <c r="F13" s="25" t="s">
        <v>164</v>
      </c>
      <c r="G13" s="23" t="str">
        <f aca="false">IF(OR(H13="Boss",H13="Dragon"),"Oui","Non")</f>
        <v>Non</v>
      </c>
      <c r="H13" s="26" t="s">
        <v>165</v>
      </c>
      <c r="I13" s="26" t="s">
        <v>145</v>
      </c>
      <c r="J13" s="26" t="s">
        <v>140</v>
      </c>
      <c r="K13" s="27" t="n">
        <f aca="false">IF($F$3="",B13,$F$3)</f>
        <v>10</v>
      </c>
      <c r="L13" s="28" t="n">
        <f aca="false" t="array" ref="L13:L13">ROUND(Paramètres!$B$16*(Paramètres!$B$5+(1-Paramètres!$B$5)*((K13-Paramètres!$B$7)/(Paramètres!$B$8-Paramètres!$B$7))^Paramètres!$B$6)*INDEX(Rôles!$B$18:$B$22,AZ13)*INDEX(Rôles!$B$5:$B$13,AY13),0)</f>
        <v>92</v>
      </c>
      <c r="M13" s="29" t="n">
        <f aca="false" t="array" ref="M13:M13">ROUND(IF(J13="Physique",1,IF(J13="Mixte",Paramètres!$B$32,0))*Paramètres!$B$12*(Paramètres!$B$5+(1-Paramètres!$B$5)*((K13-Paramètres!$B$7)/(Paramètres!$B$8-Paramètres!$B$7))^Paramètres!$B$6)*INDEX(Rôles!$C$18:$C$22,AZ13)*INDEX(Rôles!$C$5:$C$13,AY13)/(Paramètres!$B$35*(1-Paramètres!$B$36)),0)</f>
        <v>28</v>
      </c>
      <c r="N13" s="29" t="n">
        <f aca="false" t="array" ref="N13:N13">ROUND(IF(J13="Magique",1,IF(J13="Mixte",Paramètres!$B$32,0))*Paramètres!$B$12*(Paramètres!$B$5+(1-Paramètres!$B$5)*((K13-Paramètres!$B$7)/(Paramètres!$B$8-Paramètres!$B$7))^Paramètres!$B$6)*INDEX(Rôles!$C$18:$C$22,AZ13)*INDEX(Rôles!$C$5:$C$13,AY13)/(Paramètres!$B$35*(1-Paramètres!$B$36)),0)</f>
        <v>0</v>
      </c>
      <c r="O13" s="29" t="n">
        <f aca="false" t="array" ref="O13:O13">ROUND(Paramètres!$B$18*(Paramètres!$B$5+(1-Paramètres!$B$5)*((K13-Paramètres!$B$7)/(Paramètres!$B$8-Paramètres!$B$7))^Paramètres!$B$6)*INDEX(Rôles!$D$5:$D$13,AY13)*INDEX(Rôles!$D$18:$D$22,AZ13),0)</f>
        <v>22</v>
      </c>
      <c r="P13" s="29" t="n">
        <f aca="false" t="array" ref="P13:P13">ROUND(Paramètres!$B$19*(Paramètres!$B$5+(1-Paramètres!$B$5)*((K13-Paramètres!$B$7)/(Paramètres!$B$8-Paramètres!$B$7))^Paramètres!$B$6)*INDEX(Rôles!$E$5:$E$13,AY13)*INDEX(Rôles!$D$18:$D$22,AZ13),0)</f>
        <v>17</v>
      </c>
      <c r="Q13" s="29" t="n">
        <f aca="false" t="array" ref="Q13:Q13">ROUND(Paramètres!$B$20*(Paramètres!$B$5+(1-Paramètres!$B$5)*((K13-Paramètres!$B$7)/(Paramètres!$B$8-Paramètres!$B$7))^Paramètres!$B$6)*INDEX(Rôles!$F$5:$F$13,AY13),0)</f>
        <v>20</v>
      </c>
      <c r="R13" s="29" t="n">
        <f aca="false">ROUND(Paramètres!$B$64*$AX13*INDEX(Rôles!$N$5:$N$13,$AY13)*INDEX(Rôles!$I$18:$I$22,$AZ13),0)</f>
        <v>14</v>
      </c>
      <c r="S13" s="30" t="n">
        <f aca="false" t="array" ref="S13:S13">MIN(1,ROUND(Paramètres!$B$21*INDEX(Rôles!$G$5:$G$13,AY13),3))</f>
        <v>1</v>
      </c>
      <c r="T13" s="30" t="n">
        <f aca="false" t="array" ref="T13:T13">MIN(Paramètres!$B$28,ROUND(Paramètres!$B$22*INDEX(Rôles!$H$5:$H$13,AY13),3))</f>
        <v>0.08</v>
      </c>
      <c r="U13" s="30" t="n">
        <f aca="false" t="array" ref="U13:U13">ROUND(Paramètres!$B$23*INDEX(Rôles!$I$5:$I$13,AY13),3)</f>
        <v>0.7</v>
      </c>
      <c r="V13" s="30" t="n">
        <f aca="false" t="array" ref="V13:V13">MIN(Paramètres!$B$29,ROUND(Paramètres!$B$24*INDEX(Rôles!$J$5:$J$13,AY13),3))</f>
        <v>0.06</v>
      </c>
      <c r="W13" s="30" t="n">
        <f aca="false" t="array" ref="W13:W13">MIN(Paramètres!$B$27,ROUND((Paramètres!$B$25+(Paramètres!$B$26-Paramètres!$B$25)*(K13-Paramètres!$B$7)/(Paramètres!$B$8-Paramètres!$B$7))*INDEX(Rôles!$K$5:$K$13,AY13)+INDEX(Rôles!$G$18:$G$22,AZ13),3))</f>
        <v>0.058</v>
      </c>
      <c r="X13" s="30" t="n">
        <f aca="false">ROUND(1-(1-P13/(P13+(Paramètres!$B$19*(Paramètres!$B$5+(1-Paramètres!$B$5)*((K13-Paramètres!$B$7)/(Paramètres!$B$8-Paramètres!$B$7))^Paramètres!$B$6)*(1-Paramètres!$B$30)/Paramètres!$B$30)))*(1-O13/(O13+(Paramètres!$B$18*(Paramètres!$B$5+(1-Paramètres!$B$5)*((K13-Paramètres!$B$7)/(Paramètres!$B$8-Paramètres!$B$7))^Paramètres!$B$6)*(1-Paramètres!$B$31)/Paramètres!$B$31))),3)</f>
        <v>0.163</v>
      </c>
      <c r="Y13" s="30" t="n">
        <f aca="false">ROUND(O13/(O13+(Paramètres!$B$18*(Paramètres!$B$5+(1-Paramètres!$B$5)*((K13-Paramètres!$B$7)/(Paramètres!$B$8-Paramètres!$B$7))^Paramètres!$B$6)*(1-Paramètres!$B$31)/Paramètres!$B$31)),3)</f>
        <v>0.077</v>
      </c>
      <c r="Z13" s="31" t="n">
        <f aca="false" t="array" ref="Z13:Z13">IF(E13="Neutre",0,MIN(1,INDEX(Rôles!$L$5:$L$13,AY13)+INDEX(Rôles!$F$18:$F$22,AZ13)))</f>
        <v>0</v>
      </c>
      <c r="AA13" s="32" t="n">
        <f aca="false" t="array" ref="AA13:AA13">ROUND(INDEX(Rôles!$C$18:$C$22,AZ13)*INDEX(Rôles!$C$5:$C$13,AY13),4)</f>
        <v>0.012</v>
      </c>
      <c r="AB13" s="33" t="n">
        <f aca="false" t="array" ref="AB13:AB13">ROUND(INDEX(Rôles!$B$18:$B$22,AZ13)*INDEX(Rôles!$B$5:$B$13,AY13),2)</f>
        <v>1.13</v>
      </c>
      <c r="AC13" s="33" t="n">
        <f aca="false" t="array" ref="AC13:AC13">INDEX(Rôles!$E$18:$E$22,AZ13)</f>
        <v>0.7</v>
      </c>
      <c r="AD13" s="23" t="str">
        <f aca="false" t="array" ref="AD13:AD13">INDEX(Éléments!$F$5:$F$14,MATCH(E13,Éléments!$A$5:$A$14,0))</f>
        <v>—</v>
      </c>
      <c r="AE13" s="23" t="str">
        <f aca="false" t="array" ref="AE13:AE13">INDEX(Éléments!$G$5:$G$14,MATCH(E13,Éléments!$A$5:$A$14,0))</f>
        <v>—</v>
      </c>
      <c r="AF13" s="34" t="s">
        <v>141</v>
      </c>
      <c r="AG13" s="35" t="n">
        <v>0.15</v>
      </c>
      <c r="AH13" s="34"/>
      <c r="AI13" s="35"/>
      <c r="AJ13" s="29" t="n">
        <f aca="false" t="array" ref="AJ13:AJ13">ROUND(ROUND(Paramètres!$B$49*K13^Paramètres!$B$50,0)*INDEX(Rôles!$E$18:$E$22,AZ13),0)</f>
        <v>75</v>
      </c>
      <c r="AK13" s="29" t="n">
        <f aca="false" t="array" ref="AK13:AK13">ROUND(ROUND(Paramètres!$B$53*K13^Paramètres!$B$54,0)*INDEX(Rôles!$E$18:$E$22,AZ13),0)</f>
        <v>47</v>
      </c>
      <c r="AL13" s="36" t="n">
        <f aca="false">INDEX(Butin!$B$7:$B$11,AZ13)</f>
        <v>0.03</v>
      </c>
      <c r="AM13" s="37" t="n">
        <f aca="false">INDEX(Butin!$E$7:$E$11,AZ13)</f>
        <v>0.03</v>
      </c>
      <c r="AN13" s="30" t="n">
        <f aca="false">IF($H13="Boss",INDEX(Butin!$E$28:$K$37,MATCH($B13,Éléments!$C$5:$C$14,1),1),IF($H13="Dragon",INDEX(Butin!$E$41:$K$50,MATCH($B13,Éléments!$C$5:$C$14,1),1),INDEX(Butin!$E$15:$K$24,MATCH($B13,Éléments!$C$5:$C$14,1),1)))</f>
        <v>0.8</v>
      </c>
      <c r="AO13" s="30" t="n">
        <f aca="false">IF($H13="Boss",INDEX(Butin!$E$28:$K$37,MATCH($B13,Éléments!$C$5:$C$14,1),2),IF($H13="Dragon",INDEX(Butin!$E$41:$K$50,MATCH($B13,Éléments!$C$5:$C$14,1),2),INDEX(Butin!$E$15:$K$24,MATCH($B13,Éléments!$C$5:$C$14,1),2)))</f>
        <v>0.2</v>
      </c>
      <c r="AP13" s="30" t="n">
        <f aca="false">IF($H13="Boss",INDEX(Butin!$E$28:$K$37,MATCH($B13,Éléments!$C$5:$C$14,1),3),IF($H13="Dragon",INDEX(Butin!$E$41:$K$50,MATCH($B13,Éléments!$C$5:$C$14,1),3),INDEX(Butin!$E$15:$K$24,MATCH($B13,Éléments!$C$5:$C$14,1),3)))</f>
        <v>0</v>
      </c>
      <c r="AQ13" s="30" t="n">
        <f aca="false">IF($H13="Boss",INDEX(Butin!$E$28:$K$37,MATCH($B13,Éléments!$C$5:$C$14,1),4),IF($H13="Dragon",INDEX(Butin!$E$41:$K$50,MATCH($B13,Éléments!$C$5:$C$14,1),4),INDEX(Butin!$E$15:$K$24,MATCH($B13,Éléments!$C$5:$C$14,1),4)))</f>
        <v>0</v>
      </c>
      <c r="AR13" s="30" t="n">
        <f aca="false">IF($H13="Boss",INDEX(Butin!$E$28:$K$37,MATCH($B13,Éléments!$C$5:$C$14,1),5),IF($H13="Dragon",INDEX(Butin!$E$41:$K$50,MATCH($B13,Éléments!$C$5:$C$14,1),5),INDEX(Butin!$E$15:$K$24,MATCH($B13,Éléments!$C$5:$C$14,1),5)))</f>
        <v>0</v>
      </c>
      <c r="AS13" s="30" t="n">
        <f aca="false">IF($H13="Boss",INDEX(Butin!$E$28:$K$37,MATCH($B13,Éléments!$C$5:$C$14,1),6),IF($H13="Dragon",INDEX(Butin!$E$41:$K$50,MATCH($B13,Éléments!$C$5:$C$14,1),6),INDEX(Butin!$E$15:$K$24,MATCH($B13,Éléments!$C$5:$C$14,1),6)))</f>
        <v>0</v>
      </c>
      <c r="AT13" s="30" t="n">
        <f aca="false">IF($H13="Boss",INDEX(Butin!$E$28:$K$37,MATCH($B13,Éléments!$C$5:$C$14,1),7),IF($H13="Dragon",INDEX(Butin!$E$41:$K$50,MATCH($B13,Éléments!$C$5:$C$14,1),7),INDEX(Butin!$E$15:$K$24,MATCH($B13,Éléments!$C$5:$C$14,1),7)))</f>
        <v>0</v>
      </c>
      <c r="AU13" s="38" t="str">
        <f aca="false">IF(AT13=0,"—",INDEX(Butin!$D$54:$D$63,MATCH($B13,Éléments!$C$5:$C$14,1))&amp;" · "&amp;INDEX(Butin!$F$54:$F$63,MATCH($B13,Éléments!$C$5:$C$14,1))&amp;" · "&amp;INDEX(Butin!$H$54:$H$63,MATCH($B13,Éléments!$C$5:$C$14,1)))</f>
        <v>—</v>
      </c>
      <c r="AV13" s="20" t="s">
        <v>166</v>
      </c>
      <c r="AW13" s="39" t="str">
        <f aca="false">B13&amp;IF(G13="Oui","|B","|N")</f>
        <v>10|N</v>
      </c>
      <c r="AX13" s="40" t="n">
        <f aca="false">(Paramètres!$B$5+(1-Paramètres!$B$5)*((K13-Paramètres!$B$7)/(Paramètres!$B$8-Paramètres!$B$7))^Paramètres!$B$6)</f>
        <v>0.103462884059059</v>
      </c>
      <c r="AY13" s="39" t="n">
        <f aca="false">MATCH(I13,Rôles!$A$5:$A$13,0)</f>
        <v>7</v>
      </c>
      <c r="AZ13" s="39" t="n">
        <f aca="false">MATCH(H13,Rôles!$A$18:$A$22,0)</f>
        <v>1</v>
      </c>
    </row>
    <row r="14" customFormat="false" ht="15" hidden="false" customHeight="true" outlineLevel="0" collapsed="false">
      <c r="A14" s="20" t="s">
        <v>167</v>
      </c>
      <c r="B14" s="21" t="n">
        <v>10</v>
      </c>
      <c r="C14" s="22" t="str">
        <f aca="false" t="array" ref="C14:C14">INDEX(Zones!$B$6:$B$35,MATCH(B14,Zones!$A$6:$A$35,0))</f>
        <v>Village gobelin</v>
      </c>
      <c r="D14" s="23" t="str">
        <f aca="false" t="array" ref="D14:D14">INDEX(Éléments!$B$5:$B$14,MATCH(B14,Éléments!$C$5:$C$14,1))</f>
        <v>Forêt</v>
      </c>
      <c r="E14" s="24" t="str">
        <f aca="false" t="array" ref="E14:E14">INDEX(Éléments!$A$5:$A$14,MATCH(B14,Éléments!$C$5:$C$14,1))</f>
        <v>Neutre</v>
      </c>
      <c r="F14" s="25" t="s">
        <v>168</v>
      </c>
      <c r="G14" s="23" t="str">
        <f aca="false">IF(OR(H14="Boss",H14="Dragon"),"Oui","Non")</f>
        <v>Non</v>
      </c>
      <c r="H14" s="26" t="s">
        <v>138</v>
      </c>
      <c r="I14" s="26" t="s">
        <v>160</v>
      </c>
      <c r="J14" s="26" t="s">
        <v>140</v>
      </c>
      <c r="K14" s="27" t="n">
        <f aca="false">IF($F$3="",B14,$F$3)</f>
        <v>10</v>
      </c>
      <c r="L14" s="28" t="n">
        <f aca="false" t="array" ref="L14:L14">ROUND(Paramètres!$B$16*(Paramètres!$B$5+(1-Paramètres!$B$5)*((K14-Paramètres!$B$7)/(Paramètres!$B$8-Paramètres!$B$7))^Paramètres!$B$6)*INDEX(Rôles!$B$18:$B$22,AZ14)*INDEX(Rôles!$B$5:$B$13,AY14),0)</f>
        <v>187</v>
      </c>
      <c r="M14" s="29" t="n">
        <f aca="false" t="array" ref="M14:M14">ROUND(IF(J14="Physique",1,IF(J14="Mixte",Paramètres!$B$32,0))*Paramètres!$B$12*(Paramètres!$B$5+(1-Paramètres!$B$5)*((K14-Paramètres!$B$7)/(Paramètres!$B$8-Paramètres!$B$7))^Paramètres!$B$6)*INDEX(Rôles!$C$18:$C$22,AZ14)*INDEX(Rôles!$C$5:$C$13,AY14)/(Paramètres!$B$35*(1-Paramètres!$B$36)),0)</f>
        <v>35</v>
      </c>
      <c r="N14" s="29" t="n">
        <f aca="false" t="array" ref="N14:N14">ROUND(IF(J14="Magique",1,IF(J14="Mixte",Paramètres!$B$32,0))*Paramètres!$B$12*(Paramètres!$B$5+(1-Paramètres!$B$5)*((K14-Paramètres!$B$7)/(Paramètres!$B$8-Paramètres!$B$7))^Paramètres!$B$6)*INDEX(Rôles!$C$18:$C$22,AZ14)*INDEX(Rôles!$C$5:$C$13,AY14)/(Paramètres!$B$35*(1-Paramètres!$B$36)),0)</f>
        <v>0</v>
      </c>
      <c r="O14" s="29" t="n">
        <f aca="false" t="array" ref="O14:O14">ROUND(Paramètres!$B$18*(Paramètres!$B$5+(1-Paramètres!$B$5)*((K14-Paramètres!$B$7)/(Paramètres!$B$8-Paramètres!$B$7))^Paramètres!$B$6)*INDEX(Rôles!$D$5:$D$13,AY14)*INDEX(Rôles!$D$18:$D$22,AZ14),0)</f>
        <v>47</v>
      </c>
      <c r="P14" s="29" t="n">
        <f aca="false" t="array" ref="P14:P14">ROUND(Paramètres!$B$19*(Paramètres!$B$5+(1-Paramètres!$B$5)*((K14-Paramètres!$B$7)/(Paramètres!$B$8-Paramètres!$B$7))^Paramètres!$B$6)*INDEX(Rôles!$E$5:$E$13,AY14)*INDEX(Rôles!$D$18:$D$22,AZ14),0)</f>
        <v>50</v>
      </c>
      <c r="Q14" s="29" t="n">
        <f aca="false" t="array" ref="Q14:Q14">ROUND(Paramètres!$B$20*(Paramètres!$B$5+(1-Paramètres!$B$5)*((K14-Paramètres!$B$7)/(Paramètres!$B$8-Paramètres!$B$7))^Paramètres!$B$6)*INDEX(Rôles!$F$5:$F$13,AY14),0)</f>
        <v>11</v>
      </c>
      <c r="R14" s="29" t="n">
        <f aca="false">ROUND(Paramètres!$B$64*$AX14*INDEX(Rôles!$N$5:$N$13,$AY14)*INDEX(Rôles!$I$18:$I$22,$AZ14),0)</f>
        <v>10</v>
      </c>
      <c r="S14" s="30" t="n">
        <f aca="false" t="array" ref="S14:S14">MIN(1,ROUND(Paramètres!$B$21*INDEX(Rôles!$G$5:$G$13,AY14),3))</f>
        <v>0.9</v>
      </c>
      <c r="T14" s="30" t="n">
        <f aca="false" t="array" ref="T14:T14">MIN(Paramètres!$B$28,ROUND(Paramètres!$B$22*INDEX(Rôles!$H$5:$H$13,AY14),3))</f>
        <v>0.05</v>
      </c>
      <c r="U14" s="30" t="n">
        <f aca="false" t="array" ref="U14:U14">ROUND(Paramètres!$B$23*INDEX(Rôles!$I$5:$I$13,AY14),3)</f>
        <v>0.5</v>
      </c>
      <c r="V14" s="30" t="n">
        <f aca="false" t="array" ref="V14:V14">MIN(Paramètres!$B$29,ROUND(Paramètres!$B$24*INDEX(Rôles!$J$5:$J$13,AY14),3))</f>
        <v>0.05</v>
      </c>
      <c r="W14" s="30" t="n">
        <f aca="false" t="array" ref="W14:W14">MIN(Paramètres!$B$27,ROUND((Paramètres!$B$25+(Paramètres!$B$26-Paramètres!$B$25)*(K14-Paramètres!$B$7)/(Paramètres!$B$8-Paramètres!$B$7))*INDEX(Rôles!$K$5:$K$13,AY14)+INDEX(Rôles!$G$18:$G$22,AZ14),3))</f>
        <v>0.073</v>
      </c>
      <c r="X14" s="30" t="n">
        <f aca="false">ROUND(1-(1-P14/(P14+(Paramètres!$B$19*(Paramètres!$B$5+(1-Paramètres!$B$5)*((K14-Paramètres!$B$7)/(Paramètres!$B$8-Paramètres!$B$7))^Paramètres!$B$6)*(1-Paramètres!$B$30)/Paramètres!$B$30)))*(1-O14/(O14+(Paramètres!$B$18*(Paramètres!$B$5+(1-Paramètres!$B$5)*((K14-Paramètres!$B$7)/(Paramètres!$B$8-Paramètres!$B$7))^Paramètres!$B$6)*(1-Paramètres!$B$31)/Paramètres!$B$31))),3)</f>
        <v>0.348</v>
      </c>
      <c r="Y14" s="30" t="n">
        <f aca="false">ROUND(O14/(O14+(Paramètres!$B$18*(Paramètres!$B$5+(1-Paramètres!$B$5)*((K14-Paramètres!$B$7)/(Paramètres!$B$8-Paramètres!$B$7))^Paramètres!$B$6)*(1-Paramètres!$B$31)/Paramètres!$B$31)),3)</f>
        <v>0.151</v>
      </c>
      <c r="Z14" s="31" t="n">
        <f aca="false" t="array" ref="Z14:Z14">IF(E14="Neutre",0,MIN(1,INDEX(Rôles!$L$5:$L$13,AY14)+INDEX(Rôles!$F$18:$F$22,AZ14)))</f>
        <v>0</v>
      </c>
      <c r="AA14" s="32" t="n">
        <f aca="false" t="array" ref="AA14:AA14">ROUND(INDEX(Rôles!$C$18:$C$22,AZ14)*INDEX(Rôles!$C$5:$C$13,AY14),4)</f>
        <v>0.015</v>
      </c>
      <c r="AB14" s="33" t="n">
        <f aca="false" t="array" ref="AB14:AB14">ROUND(INDEX(Rôles!$B$18:$B$22,AZ14)*INDEX(Rôles!$B$5:$B$13,AY14),2)</f>
        <v>2.3</v>
      </c>
      <c r="AC14" s="33" t="n">
        <f aca="false" t="array" ref="AC14:AC14">INDEX(Rôles!$E$18:$E$22,AZ14)</f>
        <v>1</v>
      </c>
      <c r="AD14" s="23" t="str">
        <f aca="false" t="array" ref="AD14:AD14">INDEX(Éléments!$F$5:$F$14,MATCH(E14,Éléments!$A$5:$A$14,0))</f>
        <v>—</v>
      </c>
      <c r="AE14" s="23" t="str">
        <f aca="false" t="array" ref="AE14:AE14">INDEX(Éléments!$G$5:$G$14,MATCH(E14,Éléments!$A$5:$A$14,0))</f>
        <v>—</v>
      </c>
      <c r="AF14" s="34" t="s">
        <v>141</v>
      </c>
      <c r="AG14" s="35" t="n">
        <v>0.15</v>
      </c>
      <c r="AH14" s="34" t="s">
        <v>142</v>
      </c>
      <c r="AI14" s="35" t="n">
        <v>0.1</v>
      </c>
      <c r="AJ14" s="29" t="n">
        <f aca="false" t="array" ref="AJ14:AJ14">ROUND(ROUND(Paramètres!$B$49*K14^Paramètres!$B$50,0)*INDEX(Rôles!$E$18:$E$22,AZ14),0)</f>
        <v>107</v>
      </c>
      <c r="AK14" s="29" t="n">
        <f aca="false" t="array" ref="AK14:AK14">ROUND(ROUND(Paramètres!$B$53*K14^Paramètres!$B$54,0)*INDEX(Rôles!$E$18:$E$22,AZ14),0)</f>
        <v>67</v>
      </c>
      <c r="AL14" s="36" t="n">
        <f aca="false">INDEX(Butin!$B$7:$B$11,AZ14)</f>
        <v>0.05</v>
      </c>
      <c r="AM14" s="37" t="n">
        <f aca="false">INDEX(Butin!$E$7:$E$11,AZ14)</f>
        <v>0.05</v>
      </c>
      <c r="AN14" s="30" t="n">
        <f aca="false">IF($H14="Boss",INDEX(Butin!$E$28:$K$37,MATCH($B14,Éléments!$C$5:$C$14,1),1),IF($H14="Dragon",INDEX(Butin!$E$41:$K$50,MATCH($B14,Éléments!$C$5:$C$14,1),1),INDEX(Butin!$E$15:$K$24,MATCH($B14,Éléments!$C$5:$C$14,1),1)))</f>
        <v>0.8</v>
      </c>
      <c r="AO14" s="30" t="n">
        <f aca="false">IF($H14="Boss",INDEX(Butin!$E$28:$K$37,MATCH($B14,Éléments!$C$5:$C$14,1),2),IF($H14="Dragon",INDEX(Butin!$E$41:$K$50,MATCH($B14,Éléments!$C$5:$C$14,1),2),INDEX(Butin!$E$15:$K$24,MATCH($B14,Éléments!$C$5:$C$14,1),2)))</f>
        <v>0.2</v>
      </c>
      <c r="AP14" s="30" t="n">
        <f aca="false">IF($H14="Boss",INDEX(Butin!$E$28:$K$37,MATCH($B14,Éléments!$C$5:$C$14,1),3),IF($H14="Dragon",INDEX(Butin!$E$41:$K$50,MATCH($B14,Éléments!$C$5:$C$14,1),3),INDEX(Butin!$E$15:$K$24,MATCH($B14,Éléments!$C$5:$C$14,1),3)))</f>
        <v>0</v>
      </c>
      <c r="AQ14" s="30" t="n">
        <f aca="false">IF($H14="Boss",INDEX(Butin!$E$28:$K$37,MATCH($B14,Éléments!$C$5:$C$14,1),4),IF($H14="Dragon",INDEX(Butin!$E$41:$K$50,MATCH($B14,Éléments!$C$5:$C$14,1),4),INDEX(Butin!$E$15:$K$24,MATCH($B14,Éléments!$C$5:$C$14,1),4)))</f>
        <v>0</v>
      </c>
      <c r="AR14" s="30" t="n">
        <f aca="false">IF($H14="Boss",INDEX(Butin!$E$28:$K$37,MATCH($B14,Éléments!$C$5:$C$14,1),5),IF($H14="Dragon",INDEX(Butin!$E$41:$K$50,MATCH($B14,Éléments!$C$5:$C$14,1),5),INDEX(Butin!$E$15:$K$24,MATCH($B14,Éléments!$C$5:$C$14,1),5)))</f>
        <v>0</v>
      </c>
      <c r="AS14" s="30" t="n">
        <f aca="false">IF($H14="Boss",INDEX(Butin!$E$28:$K$37,MATCH($B14,Éléments!$C$5:$C$14,1),6),IF($H14="Dragon",INDEX(Butin!$E$41:$K$50,MATCH($B14,Éléments!$C$5:$C$14,1),6),INDEX(Butin!$E$15:$K$24,MATCH($B14,Éléments!$C$5:$C$14,1),6)))</f>
        <v>0</v>
      </c>
      <c r="AT14" s="30" t="n">
        <f aca="false">IF($H14="Boss",INDEX(Butin!$E$28:$K$37,MATCH($B14,Éléments!$C$5:$C$14,1),7),IF($H14="Dragon",INDEX(Butin!$E$41:$K$50,MATCH($B14,Éléments!$C$5:$C$14,1),7),INDEX(Butin!$E$15:$K$24,MATCH($B14,Éléments!$C$5:$C$14,1),7)))</f>
        <v>0</v>
      </c>
      <c r="AU14" s="38" t="str">
        <f aca="false">IF(AT14=0,"—",INDEX(Butin!$D$54:$D$63,MATCH($B14,Éléments!$C$5:$C$14,1))&amp;" · "&amp;INDEX(Butin!$F$54:$F$63,MATCH($B14,Éléments!$C$5:$C$14,1))&amp;" · "&amp;INDEX(Butin!$H$54:$H$63,MATCH($B14,Éléments!$C$5:$C$14,1)))</f>
        <v>—</v>
      </c>
      <c r="AV14" s="20" t="s">
        <v>169</v>
      </c>
      <c r="AW14" s="39" t="str">
        <f aca="false">B14&amp;IF(G14="Oui","|B","|N")</f>
        <v>10|N</v>
      </c>
      <c r="AX14" s="40" t="n">
        <f aca="false">(Paramètres!$B$5+(1-Paramètres!$B$5)*((K14-Paramètres!$B$7)/(Paramètres!$B$8-Paramètres!$B$7))^Paramètres!$B$6)</f>
        <v>0.103462884059059</v>
      </c>
      <c r="AY14" s="39" t="n">
        <f aca="false">MATCH(I14,Rôles!$A$5:$A$13,0)</f>
        <v>3</v>
      </c>
      <c r="AZ14" s="39" t="n">
        <f aca="false">MATCH(H14,Rôles!$A$18:$A$22,0)</f>
        <v>2</v>
      </c>
    </row>
    <row r="15" customFormat="false" ht="15" hidden="false" customHeight="true" outlineLevel="0" collapsed="false">
      <c r="A15" s="20" t="s">
        <v>170</v>
      </c>
      <c r="B15" s="21" t="n">
        <v>10</v>
      </c>
      <c r="C15" s="22" t="str">
        <f aca="false" t="array" ref="C15:C15">INDEX(Zones!$B$6:$B$35,MATCH(B15,Zones!$A$6:$A$35,0))</f>
        <v>Village gobelin</v>
      </c>
      <c r="D15" s="23" t="str">
        <f aca="false" t="array" ref="D15:D15">INDEX(Éléments!$B$5:$B$14,MATCH(B15,Éléments!$C$5:$C$14,1))</f>
        <v>Forêt</v>
      </c>
      <c r="E15" s="24" t="str">
        <f aca="false" t="array" ref="E15:E15">INDEX(Éléments!$A$5:$A$14,MATCH(B15,Éléments!$C$5:$C$14,1))</f>
        <v>Neutre</v>
      </c>
      <c r="F15" s="25" t="s">
        <v>171</v>
      </c>
      <c r="G15" s="23" t="str">
        <f aca="false">IF(OR(H15="Boss",H15="Dragon"),"Oui","Non")</f>
        <v>Non</v>
      </c>
      <c r="H15" s="26" t="s">
        <v>138</v>
      </c>
      <c r="I15" s="26" t="s">
        <v>172</v>
      </c>
      <c r="J15" s="26" t="s">
        <v>173</v>
      </c>
      <c r="K15" s="27" t="n">
        <f aca="false">IF($F$3="",B15,$F$3)</f>
        <v>10</v>
      </c>
      <c r="L15" s="28" t="n">
        <f aca="false" t="array" ref="L15:L15">ROUND(Paramètres!$B$16*(Paramètres!$B$5+(1-Paramètres!$B$5)*((K15-Paramètres!$B$7)/(Paramètres!$B$8-Paramètres!$B$7))^Paramètres!$B$6)*INDEX(Rôles!$B$18:$B$22,AZ15)*INDEX(Rôles!$B$5:$B$13,AY15),0)</f>
        <v>139</v>
      </c>
      <c r="M15" s="29" t="n">
        <f aca="false" t="array" ref="M15:M15">ROUND(IF(J15="Physique",1,IF(J15="Mixte",Paramètres!$B$32,0))*Paramètres!$B$12*(Paramètres!$B$5+(1-Paramètres!$B$5)*((K15-Paramètres!$B$7)/(Paramètres!$B$8-Paramètres!$B$7))^Paramètres!$B$6)*INDEX(Rôles!$C$18:$C$22,AZ15)*INDEX(Rôles!$C$5:$C$13,AY15)/(Paramètres!$B$35*(1-Paramètres!$B$36)),0)</f>
        <v>0</v>
      </c>
      <c r="N15" s="29" t="n">
        <f aca="false" t="array" ref="N15:N15">ROUND(IF(J15="Magique",1,IF(J15="Mixte",Paramètres!$B$32,0))*Paramètres!$B$12*(Paramètres!$B$5+(1-Paramètres!$B$5)*((K15-Paramètres!$B$7)/(Paramètres!$B$8-Paramètres!$B$7))^Paramètres!$B$6)*INDEX(Rôles!$C$18:$C$22,AZ15)*INDEX(Rôles!$C$5:$C$13,AY15)/(Paramètres!$B$35*(1-Paramètres!$B$36)),0)</f>
        <v>28</v>
      </c>
      <c r="O15" s="29" t="n">
        <f aca="false" t="array" ref="O15:O15">ROUND(Paramètres!$B$18*(Paramètres!$B$5+(1-Paramètres!$B$5)*((K15-Paramètres!$B$7)/(Paramètres!$B$8-Paramètres!$B$7))^Paramètres!$B$6)*INDEX(Rôles!$D$5:$D$13,AY15)*INDEX(Rôles!$D$18:$D$22,AZ15),0)</f>
        <v>56</v>
      </c>
      <c r="P15" s="29" t="n">
        <f aca="false" t="array" ref="P15:P15">ROUND(Paramètres!$B$19*(Paramètres!$B$5+(1-Paramètres!$B$5)*((K15-Paramètres!$B$7)/(Paramètres!$B$8-Paramètres!$B$7))^Paramètres!$B$6)*INDEX(Rôles!$E$5:$E$13,AY15)*INDEX(Rôles!$D$18:$D$22,AZ15),0)</f>
        <v>21</v>
      </c>
      <c r="Q15" s="29" t="n">
        <f aca="false" t="array" ref="Q15:Q15">ROUND(Paramètres!$B$20*(Paramètres!$B$5+(1-Paramètres!$B$5)*((K15-Paramètres!$B$7)/(Paramètres!$B$8-Paramètres!$B$7))^Paramètres!$B$6)*INDEX(Rôles!$F$5:$F$13,AY15),0)</f>
        <v>11</v>
      </c>
      <c r="R15" s="29" t="n">
        <f aca="false">ROUND(Paramètres!$B$64*$AX15*INDEX(Rôles!$N$5:$N$13,$AY15)*INDEX(Rôles!$I$18:$I$22,$AZ15),0)</f>
        <v>10</v>
      </c>
      <c r="S15" s="30" t="n">
        <f aca="false" t="array" ref="S15:S15">MIN(1,ROUND(Paramètres!$B$21*INDEX(Rôles!$G$5:$G$13,AY15),3))</f>
        <v>0.9</v>
      </c>
      <c r="T15" s="30" t="n">
        <f aca="false" t="array" ref="T15:T15">MIN(Paramètres!$B$28,ROUND(Paramètres!$B$22*INDEX(Rôles!$H$5:$H$13,AY15),3))</f>
        <v>0.04</v>
      </c>
      <c r="U15" s="30" t="n">
        <f aca="false" t="array" ref="U15:U15">ROUND(Paramètres!$B$23*INDEX(Rôles!$I$5:$I$13,AY15),3)</f>
        <v>0.5</v>
      </c>
      <c r="V15" s="30" t="n">
        <f aca="false" t="array" ref="V15:V15">MIN(Paramètres!$B$29,ROUND(Paramètres!$B$24*INDEX(Rôles!$J$5:$J$13,AY15),3))</f>
        <v>0.04</v>
      </c>
      <c r="W15" s="30" t="n">
        <f aca="false" t="array" ref="W15:W15">MIN(Paramètres!$B$27,ROUND((Paramètres!$B$25+(Paramètres!$B$26-Paramètres!$B$25)*(K15-Paramètres!$B$7)/(Paramètres!$B$8-Paramètres!$B$7))*INDEX(Rôles!$K$5:$K$13,AY15)+INDEX(Rôles!$G$18:$G$22,AZ15),3))</f>
        <v>0.095</v>
      </c>
      <c r="X15" s="30" t="n">
        <f aca="false">ROUND(1-(1-P15/(P15+(Paramètres!$B$19*(Paramètres!$B$5+(1-Paramètres!$B$5)*((K15-Paramètres!$B$7)/(Paramètres!$B$8-Paramètres!$B$7))^Paramètres!$B$6)*(1-Paramètres!$B$30)/Paramètres!$B$30)))*(1-O15/(O15+(Paramètres!$B$18*(Paramètres!$B$5+(1-Paramètres!$B$5)*((K15-Paramètres!$B$7)/(Paramètres!$B$8-Paramètres!$B$7))^Paramètres!$B$6)*(1-Paramètres!$B$31)/Paramètres!$B$31))),3)</f>
        <v>0.268</v>
      </c>
      <c r="Y15" s="30" t="n">
        <f aca="false">ROUND(O15/(O15+(Paramètres!$B$18*(Paramètres!$B$5+(1-Paramètres!$B$5)*((K15-Paramètres!$B$7)/(Paramètres!$B$8-Paramètres!$B$7))^Paramètres!$B$6)*(1-Paramètres!$B$31)/Paramètres!$B$31)),3)</f>
        <v>0.175</v>
      </c>
      <c r="Z15" s="31" t="n">
        <f aca="false" t="array" ref="Z15:Z15">IF(E15="Neutre",0,MIN(1,INDEX(Rôles!$L$5:$L$13,AY15)+INDEX(Rôles!$F$18:$F$22,AZ15)))</f>
        <v>0</v>
      </c>
      <c r="AA15" s="32" t="n">
        <f aca="false" t="array" ref="AA15:AA15">ROUND(INDEX(Rôles!$C$18:$C$22,AZ15)*INDEX(Rôles!$C$5:$C$13,AY15),4)</f>
        <v>0.012</v>
      </c>
      <c r="AB15" s="33" t="n">
        <f aca="false" t="array" ref="AB15:AB15">ROUND(INDEX(Rôles!$B$18:$B$22,AZ15)*INDEX(Rôles!$B$5:$B$13,AY15),2)</f>
        <v>1.7</v>
      </c>
      <c r="AC15" s="33" t="n">
        <f aca="false" t="array" ref="AC15:AC15">INDEX(Rôles!$E$18:$E$22,AZ15)</f>
        <v>1</v>
      </c>
      <c r="AD15" s="23" t="str">
        <f aca="false" t="array" ref="AD15:AD15">INDEX(Éléments!$F$5:$F$14,MATCH(E15,Éléments!$A$5:$A$14,0))</f>
        <v>—</v>
      </c>
      <c r="AE15" s="23" t="str">
        <f aca="false" t="array" ref="AE15:AE15">INDEX(Éléments!$G$5:$G$14,MATCH(E15,Éléments!$A$5:$A$14,0))</f>
        <v>—</v>
      </c>
      <c r="AF15" s="34" t="s">
        <v>161</v>
      </c>
      <c r="AG15" s="35" t="n">
        <v>0.3</v>
      </c>
      <c r="AH15" s="34"/>
      <c r="AI15" s="35"/>
      <c r="AJ15" s="29" t="n">
        <f aca="false" t="array" ref="AJ15:AJ15">ROUND(ROUND(Paramètres!$B$49*K15^Paramètres!$B$50,0)*INDEX(Rôles!$E$18:$E$22,AZ15),0)</f>
        <v>107</v>
      </c>
      <c r="AK15" s="29" t="n">
        <f aca="false" t="array" ref="AK15:AK15">ROUND(ROUND(Paramètres!$B$53*K15^Paramètres!$B$54,0)*INDEX(Rôles!$E$18:$E$22,AZ15),0)</f>
        <v>67</v>
      </c>
      <c r="AL15" s="36" t="n">
        <f aca="false">INDEX(Butin!$B$7:$B$11,AZ15)</f>
        <v>0.05</v>
      </c>
      <c r="AM15" s="37" t="n">
        <f aca="false">INDEX(Butin!$E$7:$E$11,AZ15)</f>
        <v>0.05</v>
      </c>
      <c r="AN15" s="30" t="n">
        <f aca="false">IF($H15="Boss",INDEX(Butin!$E$28:$K$37,MATCH($B15,Éléments!$C$5:$C$14,1),1),IF($H15="Dragon",INDEX(Butin!$E$41:$K$50,MATCH($B15,Éléments!$C$5:$C$14,1),1),INDEX(Butin!$E$15:$K$24,MATCH($B15,Éléments!$C$5:$C$14,1),1)))</f>
        <v>0.8</v>
      </c>
      <c r="AO15" s="30" t="n">
        <f aca="false">IF($H15="Boss",INDEX(Butin!$E$28:$K$37,MATCH($B15,Éléments!$C$5:$C$14,1),2),IF($H15="Dragon",INDEX(Butin!$E$41:$K$50,MATCH($B15,Éléments!$C$5:$C$14,1),2),INDEX(Butin!$E$15:$K$24,MATCH($B15,Éléments!$C$5:$C$14,1),2)))</f>
        <v>0.2</v>
      </c>
      <c r="AP15" s="30" t="n">
        <f aca="false">IF($H15="Boss",INDEX(Butin!$E$28:$K$37,MATCH($B15,Éléments!$C$5:$C$14,1),3),IF($H15="Dragon",INDEX(Butin!$E$41:$K$50,MATCH($B15,Éléments!$C$5:$C$14,1),3),INDEX(Butin!$E$15:$K$24,MATCH($B15,Éléments!$C$5:$C$14,1),3)))</f>
        <v>0</v>
      </c>
      <c r="AQ15" s="30" t="n">
        <f aca="false">IF($H15="Boss",INDEX(Butin!$E$28:$K$37,MATCH($B15,Éléments!$C$5:$C$14,1),4),IF($H15="Dragon",INDEX(Butin!$E$41:$K$50,MATCH($B15,Éléments!$C$5:$C$14,1),4),INDEX(Butin!$E$15:$K$24,MATCH($B15,Éléments!$C$5:$C$14,1),4)))</f>
        <v>0</v>
      </c>
      <c r="AR15" s="30" t="n">
        <f aca="false">IF($H15="Boss",INDEX(Butin!$E$28:$K$37,MATCH($B15,Éléments!$C$5:$C$14,1),5),IF($H15="Dragon",INDEX(Butin!$E$41:$K$50,MATCH($B15,Éléments!$C$5:$C$14,1),5),INDEX(Butin!$E$15:$K$24,MATCH($B15,Éléments!$C$5:$C$14,1),5)))</f>
        <v>0</v>
      </c>
      <c r="AS15" s="30" t="n">
        <f aca="false">IF($H15="Boss",INDEX(Butin!$E$28:$K$37,MATCH($B15,Éléments!$C$5:$C$14,1),6),IF($H15="Dragon",INDEX(Butin!$E$41:$K$50,MATCH($B15,Éléments!$C$5:$C$14,1),6),INDEX(Butin!$E$15:$K$24,MATCH($B15,Éléments!$C$5:$C$14,1),6)))</f>
        <v>0</v>
      </c>
      <c r="AT15" s="30" t="n">
        <f aca="false">IF($H15="Boss",INDEX(Butin!$E$28:$K$37,MATCH($B15,Éléments!$C$5:$C$14,1),7),IF($H15="Dragon",INDEX(Butin!$E$41:$K$50,MATCH($B15,Éléments!$C$5:$C$14,1),7),INDEX(Butin!$E$15:$K$24,MATCH($B15,Éléments!$C$5:$C$14,1),7)))</f>
        <v>0</v>
      </c>
      <c r="AU15" s="38" t="str">
        <f aca="false">IF(AT15=0,"—",INDEX(Butin!$D$54:$D$63,MATCH($B15,Éléments!$C$5:$C$14,1))&amp;" · "&amp;INDEX(Butin!$F$54:$F$63,MATCH($B15,Éléments!$C$5:$C$14,1))&amp;" · "&amp;INDEX(Butin!$H$54:$H$63,MATCH($B15,Éléments!$C$5:$C$14,1)))</f>
        <v>—</v>
      </c>
      <c r="AV15" s="20" t="s">
        <v>174</v>
      </c>
      <c r="AW15" s="39" t="str">
        <f aca="false">B15&amp;IF(G15="Oui","|B","|N")</f>
        <v>10|N</v>
      </c>
      <c r="AX15" s="40" t="n">
        <f aca="false">(Paramètres!$B$5+(1-Paramètres!$B$5)*((K15-Paramètres!$B$7)/(Paramètres!$B$8-Paramètres!$B$7))^Paramètres!$B$6)</f>
        <v>0.103462884059059</v>
      </c>
      <c r="AY15" s="39" t="n">
        <f aca="false">MATCH(I15,Rôles!$A$5:$A$13,0)</f>
        <v>6</v>
      </c>
      <c r="AZ15" s="39" t="n">
        <f aca="false">MATCH(H15,Rôles!$A$18:$A$22,0)</f>
        <v>2</v>
      </c>
    </row>
    <row r="16" customFormat="false" ht="15" hidden="false" customHeight="true" outlineLevel="0" collapsed="false">
      <c r="A16" s="20" t="s">
        <v>175</v>
      </c>
      <c r="B16" s="21" t="n">
        <v>10</v>
      </c>
      <c r="C16" s="22" t="str">
        <f aca="false" t="array" ref="C16:C16">INDEX(Zones!$B$6:$B$35,MATCH(B16,Zones!$A$6:$A$35,0))</f>
        <v>Village gobelin</v>
      </c>
      <c r="D16" s="23" t="str">
        <f aca="false" t="array" ref="D16:D16">INDEX(Éléments!$B$5:$B$14,MATCH(B16,Éléments!$C$5:$C$14,1))</f>
        <v>Forêt</v>
      </c>
      <c r="E16" s="24" t="str">
        <f aca="false" t="array" ref="E16:E16">INDEX(Éléments!$A$5:$A$14,MATCH(B16,Éléments!$C$5:$C$14,1))</f>
        <v>Neutre</v>
      </c>
      <c r="F16" s="25" t="s">
        <v>176</v>
      </c>
      <c r="G16" s="23" t="str">
        <f aca="false">IF(OR(H16="Boss",H16="Dragon"),"Oui","Non")</f>
        <v>Non</v>
      </c>
      <c r="H16" s="26" t="s">
        <v>138</v>
      </c>
      <c r="I16" s="26" t="s">
        <v>177</v>
      </c>
      <c r="J16" s="26" t="s">
        <v>140</v>
      </c>
      <c r="K16" s="27" t="n">
        <f aca="false">IF($F$3="",B16,$F$3)</f>
        <v>10</v>
      </c>
      <c r="L16" s="28" t="n">
        <f aca="false" t="array" ref="L16:L16">ROUND(Paramètres!$B$16*(Paramètres!$B$5+(1-Paramètres!$B$5)*((K16-Paramètres!$B$7)/(Paramètres!$B$8-Paramètres!$B$7))^Paramètres!$B$6)*INDEX(Rôles!$B$18:$B$22,AZ16)*INDEX(Rôles!$B$5:$B$13,AY16),0)</f>
        <v>130</v>
      </c>
      <c r="M16" s="29" t="n">
        <f aca="false" t="array" ref="M16:M16">ROUND(IF(J16="Physique",1,IF(J16="Mixte",Paramètres!$B$32,0))*Paramètres!$B$12*(Paramètres!$B$5+(1-Paramètres!$B$5)*((K16-Paramètres!$B$7)/(Paramètres!$B$8-Paramètres!$B$7))^Paramètres!$B$6)*INDEX(Rôles!$C$18:$C$22,AZ16)*INDEX(Rôles!$C$5:$C$13,AY16)/(Paramètres!$B$35*(1-Paramètres!$B$36)),0)</f>
        <v>39</v>
      </c>
      <c r="N16" s="29" t="n">
        <f aca="false" t="array" ref="N16:N16">ROUND(IF(J16="Magique",1,IF(J16="Mixte",Paramètres!$B$32,0))*Paramètres!$B$12*(Paramètres!$B$5+(1-Paramètres!$B$5)*((K16-Paramètres!$B$7)/(Paramètres!$B$8-Paramètres!$B$7))^Paramètres!$B$6)*INDEX(Rôles!$C$18:$C$22,AZ16)*INDEX(Rôles!$C$5:$C$13,AY16)/(Paramètres!$B$35*(1-Paramètres!$B$36)),0)</f>
        <v>0</v>
      </c>
      <c r="O16" s="29" t="n">
        <f aca="false" t="array" ref="O16:O16">ROUND(Paramètres!$B$18*(Paramètres!$B$5+(1-Paramètres!$B$5)*((K16-Paramètres!$B$7)/(Paramètres!$B$8-Paramètres!$B$7))^Paramètres!$B$6)*INDEX(Rôles!$D$5:$D$13,AY16)*INDEX(Rôles!$D$18:$D$22,AZ16),0)</f>
        <v>33</v>
      </c>
      <c r="P16" s="29" t="n">
        <f aca="false" t="array" ref="P16:P16">ROUND(Paramètres!$B$19*(Paramètres!$B$5+(1-Paramètres!$B$5)*((K16-Paramètres!$B$7)/(Paramètres!$B$8-Paramètres!$B$7))^Paramètres!$B$6)*INDEX(Rôles!$E$5:$E$13,AY16)*INDEX(Rôles!$D$18:$D$22,AZ16),0)</f>
        <v>25</v>
      </c>
      <c r="Q16" s="29" t="n">
        <f aca="false" t="array" ref="Q16:Q16">ROUND(Paramètres!$B$20*(Paramètres!$B$5+(1-Paramètres!$B$5)*((K16-Paramètres!$B$7)/(Paramètres!$B$8-Paramètres!$B$7))^Paramètres!$B$6)*INDEX(Rôles!$F$5:$F$13,AY16),0)</f>
        <v>14</v>
      </c>
      <c r="R16" s="29" t="n">
        <f aca="false">ROUND(Paramètres!$B$64*$AX16*INDEX(Rôles!$N$5:$N$13,$AY16)*INDEX(Rôles!$I$18:$I$22,$AZ16),0)</f>
        <v>11</v>
      </c>
      <c r="S16" s="30" t="n">
        <f aca="false" t="array" ref="S16:S16">MIN(1,ROUND(Paramètres!$B$21*INDEX(Rôles!$G$5:$G$13,AY16),3))</f>
        <v>1</v>
      </c>
      <c r="T16" s="30" t="n">
        <f aca="false" t="array" ref="T16:T16">MIN(Paramètres!$B$28,ROUND(Paramètres!$B$22*INDEX(Rôles!$H$5:$H$13,AY16),3))</f>
        <v>0.075</v>
      </c>
      <c r="U16" s="30" t="n">
        <f aca="false" t="array" ref="U16:U16">ROUND(Paramètres!$B$23*INDEX(Rôles!$I$5:$I$13,AY16),3)</f>
        <v>0.65</v>
      </c>
      <c r="V16" s="30" t="n">
        <f aca="false" t="array" ref="V16:V16">MIN(Paramètres!$B$29,ROUND(Paramètres!$B$24*INDEX(Rôles!$J$5:$J$13,AY16),3))</f>
        <v>0.07</v>
      </c>
      <c r="W16" s="30" t="n">
        <f aca="false" t="array" ref="W16:W16">MIN(Paramètres!$B$27,ROUND((Paramètres!$B$25+(Paramètres!$B$26-Paramètres!$B$25)*(K16-Paramètres!$B$7)/(Paramètres!$B$8-Paramètres!$B$7))*INDEX(Rôles!$K$5:$K$13,AY16)+INDEX(Rôles!$G$18:$G$22,AZ16),3))</f>
        <v>0.058</v>
      </c>
      <c r="X16" s="30" t="n">
        <f aca="false">ROUND(1-(1-P16/(P16+(Paramètres!$B$19*(Paramètres!$B$5+(1-Paramètres!$B$5)*((K16-Paramètres!$B$7)/(Paramètres!$B$8-Paramètres!$B$7))^Paramètres!$B$6)*(1-Paramètres!$B$30)/Paramètres!$B$30)))*(1-O16/(O16+(Paramètres!$B$18*(Paramètres!$B$5+(1-Paramètres!$B$5)*((K16-Paramètres!$B$7)/(Paramètres!$B$8-Paramètres!$B$7))^Paramètres!$B$6)*(1-Paramètres!$B$31)/Paramètres!$B$31))),3)</f>
        <v>0.228</v>
      </c>
      <c r="Y16" s="30" t="n">
        <f aca="false">ROUND(O16/(O16+(Paramètres!$B$18*(Paramètres!$B$5+(1-Paramètres!$B$5)*((K16-Paramètres!$B$7)/(Paramètres!$B$8-Paramètres!$B$7))^Paramètres!$B$6)*(1-Paramètres!$B$31)/Paramètres!$B$31)),3)</f>
        <v>0.111</v>
      </c>
      <c r="Z16" s="31" t="n">
        <f aca="false" t="array" ref="Z16:Z16">IF(E16="Neutre",0,MIN(1,INDEX(Rôles!$L$5:$L$13,AY16)+INDEX(Rôles!$F$18:$F$22,AZ16)))</f>
        <v>0</v>
      </c>
      <c r="AA16" s="32" t="n">
        <f aca="false" t="array" ref="AA16:AA16">ROUND(INDEX(Rôles!$C$18:$C$22,AZ16)*INDEX(Rôles!$C$5:$C$13,AY16),4)</f>
        <v>0.0165</v>
      </c>
      <c r="AB16" s="33" t="n">
        <f aca="false" t="array" ref="AB16:AB16">ROUND(INDEX(Rôles!$B$18:$B$22,AZ16)*INDEX(Rôles!$B$5:$B$13,AY16),2)</f>
        <v>1.6</v>
      </c>
      <c r="AC16" s="33" t="n">
        <f aca="false" t="array" ref="AC16:AC16">INDEX(Rôles!$E$18:$E$22,AZ16)</f>
        <v>1</v>
      </c>
      <c r="AD16" s="23" t="str">
        <f aca="false" t="array" ref="AD16:AD16">INDEX(Éléments!$F$5:$F$14,MATCH(E16,Éléments!$A$5:$A$14,0))</f>
        <v>—</v>
      </c>
      <c r="AE16" s="23" t="str">
        <f aca="false" t="array" ref="AE16:AE16">INDEX(Éléments!$G$5:$G$14,MATCH(E16,Éléments!$A$5:$A$14,0))</f>
        <v>—</v>
      </c>
      <c r="AF16" s="34" t="s">
        <v>141</v>
      </c>
      <c r="AG16" s="35" t="n">
        <v>0.2</v>
      </c>
      <c r="AH16" s="34"/>
      <c r="AI16" s="35"/>
      <c r="AJ16" s="29" t="n">
        <f aca="false" t="array" ref="AJ16:AJ16">ROUND(ROUND(Paramètres!$B$49*K16^Paramètres!$B$50,0)*INDEX(Rôles!$E$18:$E$22,AZ16),0)</f>
        <v>107</v>
      </c>
      <c r="AK16" s="29" t="n">
        <f aca="false" t="array" ref="AK16:AK16">ROUND(ROUND(Paramètres!$B$53*K16^Paramètres!$B$54,0)*INDEX(Rôles!$E$18:$E$22,AZ16),0)</f>
        <v>67</v>
      </c>
      <c r="AL16" s="36" t="n">
        <f aca="false">INDEX(Butin!$B$7:$B$11,AZ16)</f>
        <v>0.05</v>
      </c>
      <c r="AM16" s="37" t="n">
        <f aca="false">INDEX(Butin!$E$7:$E$11,AZ16)</f>
        <v>0.05</v>
      </c>
      <c r="AN16" s="30" t="n">
        <f aca="false">IF($H16="Boss",INDEX(Butin!$E$28:$K$37,MATCH($B16,Éléments!$C$5:$C$14,1),1),IF($H16="Dragon",INDEX(Butin!$E$41:$K$50,MATCH($B16,Éléments!$C$5:$C$14,1),1),INDEX(Butin!$E$15:$K$24,MATCH($B16,Éléments!$C$5:$C$14,1),1)))</f>
        <v>0.8</v>
      </c>
      <c r="AO16" s="30" t="n">
        <f aca="false">IF($H16="Boss",INDEX(Butin!$E$28:$K$37,MATCH($B16,Éléments!$C$5:$C$14,1),2),IF($H16="Dragon",INDEX(Butin!$E$41:$K$50,MATCH($B16,Éléments!$C$5:$C$14,1),2),INDEX(Butin!$E$15:$K$24,MATCH($B16,Éléments!$C$5:$C$14,1),2)))</f>
        <v>0.2</v>
      </c>
      <c r="AP16" s="30" t="n">
        <f aca="false">IF($H16="Boss",INDEX(Butin!$E$28:$K$37,MATCH($B16,Éléments!$C$5:$C$14,1),3),IF($H16="Dragon",INDEX(Butin!$E$41:$K$50,MATCH($B16,Éléments!$C$5:$C$14,1),3),INDEX(Butin!$E$15:$K$24,MATCH($B16,Éléments!$C$5:$C$14,1),3)))</f>
        <v>0</v>
      </c>
      <c r="AQ16" s="30" t="n">
        <f aca="false">IF($H16="Boss",INDEX(Butin!$E$28:$K$37,MATCH($B16,Éléments!$C$5:$C$14,1),4),IF($H16="Dragon",INDEX(Butin!$E$41:$K$50,MATCH($B16,Éléments!$C$5:$C$14,1),4),INDEX(Butin!$E$15:$K$24,MATCH($B16,Éléments!$C$5:$C$14,1),4)))</f>
        <v>0</v>
      </c>
      <c r="AR16" s="30" t="n">
        <f aca="false">IF($H16="Boss",INDEX(Butin!$E$28:$K$37,MATCH($B16,Éléments!$C$5:$C$14,1),5),IF($H16="Dragon",INDEX(Butin!$E$41:$K$50,MATCH($B16,Éléments!$C$5:$C$14,1),5),INDEX(Butin!$E$15:$K$24,MATCH($B16,Éléments!$C$5:$C$14,1),5)))</f>
        <v>0</v>
      </c>
      <c r="AS16" s="30" t="n">
        <f aca="false">IF($H16="Boss",INDEX(Butin!$E$28:$K$37,MATCH($B16,Éléments!$C$5:$C$14,1),6),IF($H16="Dragon",INDEX(Butin!$E$41:$K$50,MATCH($B16,Éléments!$C$5:$C$14,1),6),INDEX(Butin!$E$15:$K$24,MATCH($B16,Éléments!$C$5:$C$14,1),6)))</f>
        <v>0</v>
      </c>
      <c r="AT16" s="30" t="n">
        <f aca="false">IF($H16="Boss",INDEX(Butin!$E$28:$K$37,MATCH($B16,Éléments!$C$5:$C$14,1),7),IF($H16="Dragon",INDEX(Butin!$E$41:$K$50,MATCH($B16,Éléments!$C$5:$C$14,1),7),INDEX(Butin!$E$15:$K$24,MATCH($B16,Éléments!$C$5:$C$14,1),7)))</f>
        <v>0</v>
      </c>
      <c r="AU16" s="38" t="str">
        <f aca="false">IF(AT16=0,"—",INDEX(Butin!$D$54:$D$63,MATCH($B16,Éléments!$C$5:$C$14,1))&amp;" · "&amp;INDEX(Butin!$F$54:$F$63,MATCH($B16,Éléments!$C$5:$C$14,1))&amp;" · "&amp;INDEX(Butin!$H$54:$H$63,MATCH($B16,Éléments!$C$5:$C$14,1)))</f>
        <v>—</v>
      </c>
      <c r="AV16" s="20" t="s">
        <v>178</v>
      </c>
      <c r="AW16" s="39" t="str">
        <f aca="false">B16&amp;IF(G16="Oui","|B","|N")</f>
        <v>10|N</v>
      </c>
      <c r="AX16" s="40" t="n">
        <f aca="false">(Paramètres!$B$5+(1-Paramètres!$B$5)*((K16-Paramètres!$B$7)/(Paramètres!$B$8-Paramètres!$B$7))^Paramètres!$B$6)</f>
        <v>0.103462884059059</v>
      </c>
      <c r="AY16" s="39" t="n">
        <f aca="false">MATCH(I16,Rôles!$A$5:$A$13,0)</f>
        <v>4</v>
      </c>
      <c r="AZ16" s="39" t="n">
        <f aca="false">MATCH(H16,Rôles!$A$18:$A$22,0)</f>
        <v>2</v>
      </c>
    </row>
    <row r="17" customFormat="false" ht="15" hidden="false" customHeight="true" outlineLevel="0" collapsed="false">
      <c r="A17" s="20" t="s">
        <v>179</v>
      </c>
      <c r="B17" s="21" t="n">
        <v>15</v>
      </c>
      <c r="C17" s="22" t="str">
        <f aca="false" t="array" ref="C17:C17">INDEX(Zones!$B$6:$B$35,MATCH(B17,Zones!$A$6:$A$35,0))</f>
        <v>Mine abandonnée</v>
      </c>
      <c r="D17" s="23" t="str">
        <f aca="false" t="array" ref="D17:D17">INDEX(Éléments!$B$5:$B$14,MATCH(B17,Éléments!$C$5:$C$14,1))</f>
        <v>Montagne</v>
      </c>
      <c r="E17" s="41" t="str">
        <f aca="false" t="array" ref="E17:E17">INDEX(Éléments!$A$5:$A$14,MATCH(B17,Éléments!$C$5:$C$14,1))</f>
        <v>Terre</v>
      </c>
      <c r="F17" s="25" t="s">
        <v>180</v>
      </c>
      <c r="G17" s="23" t="str">
        <f aca="false">IF(OR(H17="Boss",H17="Dragon"),"Oui","Non")</f>
        <v>Oui</v>
      </c>
      <c r="H17" s="26" t="s">
        <v>152</v>
      </c>
      <c r="I17" s="26" t="s">
        <v>172</v>
      </c>
      <c r="J17" s="26" t="s">
        <v>173</v>
      </c>
      <c r="K17" s="27" t="n">
        <f aca="false">IF($F$3="",B17,$F$3)</f>
        <v>15</v>
      </c>
      <c r="L17" s="28" t="n">
        <f aca="false" t="array" ref="L17:L17">ROUND(Paramètres!$B$16*(Paramètres!$B$5+(1-Paramètres!$B$5)*((K17-Paramètres!$B$7)/(Paramètres!$B$8-Paramètres!$B$7))^Paramètres!$B$6)*INDEX(Rôles!$B$18:$B$22,AZ17)*INDEX(Rôles!$B$5:$B$13,AY17),0)</f>
        <v>1131</v>
      </c>
      <c r="M17" s="29" t="n">
        <f aca="false" t="array" ref="M17:M17">ROUND(IF(J17="Physique",1,IF(J17="Mixte",Paramètres!$B$32,0))*Paramètres!$B$12*(Paramètres!$B$5+(1-Paramètres!$B$5)*((K17-Paramètres!$B$7)/(Paramètres!$B$8-Paramètres!$B$7))^Paramètres!$B$6)*INDEX(Rôles!$C$18:$C$22,AZ17)*INDEX(Rôles!$C$5:$C$13,AY17)/(Paramètres!$B$35*(1-Paramètres!$B$36)),0)</f>
        <v>0</v>
      </c>
      <c r="N17" s="29" t="n">
        <f aca="false" t="array" ref="N17:N17">ROUND(IF(J17="Magique",1,IF(J17="Mixte",Paramètres!$B$32,0))*Paramètres!$B$12*(Paramètres!$B$5+(1-Paramètres!$B$5)*((K17-Paramètres!$B$7)/(Paramètres!$B$8-Paramètres!$B$7))^Paramètres!$B$6)*INDEX(Rôles!$C$18:$C$22,AZ17)*INDEX(Rôles!$C$5:$C$13,AY17)/(Paramètres!$B$35*(1-Paramètres!$B$36)),0)</f>
        <v>77</v>
      </c>
      <c r="O17" s="29" t="n">
        <f aca="false" t="array" ref="O17:O17">ROUND(Paramètres!$B$18*(Paramètres!$B$5+(1-Paramètres!$B$5)*((K17-Paramètres!$B$7)/(Paramètres!$B$8-Paramètres!$B$7))^Paramètres!$B$6)*INDEX(Rôles!$D$5:$D$13,AY17)*INDEX(Rôles!$D$18:$D$22,AZ17),0)</f>
        <v>99</v>
      </c>
      <c r="P17" s="29" t="n">
        <f aca="false" t="array" ref="P17:P17">ROUND(Paramètres!$B$19*(Paramètres!$B$5+(1-Paramètres!$B$5)*((K17-Paramètres!$B$7)/(Paramètres!$B$8-Paramètres!$B$7))^Paramètres!$B$6)*INDEX(Rôles!$E$5:$E$13,AY17)*INDEX(Rôles!$D$18:$D$22,AZ17),0)</f>
        <v>37</v>
      </c>
      <c r="Q17" s="29" t="n">
        <f aca="false" t="array" ref="Q17:Q17">ROUND(Paramètres!$B$20*(Paramètres!$B$5+(1-Paramètres!$B$5)*((K17-Paramètres!$B$7)/(Paramètres!$B$8-Paramètres!$B$7))^Paramètres!$B$6)*INDEX(Rôles!$F$5:$F$13,AY17),0)</f>
        <v>15</v>
      </c>
      <c r="R17" s="29" t="n">
        <f aca="false">ROUND(Paramètres!$B$64*$AX17*INDEX(Rôles!$N$5:$N$13,$AY17)*INDEX(Rôles!$I$18:$I$22,$AZ17),0)</f>
        <v>16</v>
      </c>
      <c r="S17" s="30" t="n">
        <f aca="false" t="array" ref="S17:S17">MIN(1,ROUND(Paramètres!$B$21*INDEX(Rôles!$G$5:$G$13,AY17),3))</f>
        <v>0.9</v>
      </c>
      <c r="T17" s="30" t="n">
        <f aca="false" t="array" ref="T17:T17">MIN(Paramètres!$B$28,ROUND(Paramètres!$B$22*INDEX(Rôles!$H$5:$H$13,AY17),3))</f>
        <v>0.04</v>
      </c>
      <c r="U17" s="30" t="n">
        <f aca="false" t="array" ref="U17:U17">ROUND(Paramètres!$B$23*INDEX(Rôles!$I$5:$I$13,AY17),3)</f>
        <v>0.5</v>
      </c>
      <c r="V17" s="30" t="n">
        <f aca="false" t="array" ref="V17:V17">MIN(Paramètres!$B$29,ROUND(Paramètres!$B$24*INDEX(Rôles!$J$5:$J$13,AY17),3))</f>
        <v>0.04</v>
      </c>
      <c r="W17" s="30" t="n">
        <f aca="false" t="array" ref="W17:W17">MIN(Paramètres!$B$27,ROUND((Paramètres!$B$25+(Paramètres!$B$26-Paramètres!$B$25)*(K17-Paramètres!$B$7)/(Paramètres!$B$8-Paramètres!$B$7))*INDEX(Rôles!$K$5:$K$13,AY17)+INDEX(Rôles!$G$18:$G$22,AZ17),3))</f>
        <v>0.311</v>
      </c>
      <c r="X17" s="30" t="n">
        <f aca="false">ROUND(1-(1-P17/(P17+(Paramètres!$B$19*(Paramètres!$B$5+(1-Paramètres!$B$5)*((K17-Paramètres!$B$7)/(Paramètres!$B$8-Paramètres!$B$7))^Paramètres!$B$6)*(1-Paramètres!$B$30)/Paramètres!$B$30)))*(1-O17/(O17+(Paramètres!$B$18*(Paramètres!$B$5+(1-Paramètres!$B$5)*((K17-Paramètres!$B$7)/(Paramètres!$B$8-Paramètres!$B$7))^Paramètres!$B$6)*(1-Paramètres!$B$31)/Paramètres!$B$31))),3)</f>
        <v>0.327</v>
      </c>
      <c r="Y17" s="30" t="n">
        <f aca="false">ROUND(O17/(O17+(Paramètres!$B$18*(Paramètres!$B$5+(1-Paramètres!$B$5)*((K17-Paramètres!$B$7)/(Paramètres!$B$8-Paramètres!$B$7))^Paramètres!$B$6)*(1-Paramètres!$B$31)/Paramètres!$B$31)),3)</f>
        <v>0.216</v>
      </c>
      <c r="Z17" s="31" t="n">
        <f aca="false" t="array" ref="Z17:Z17">IF(E17="Neutre",0,MIN(1,INDEX(Rôles!$L$5:$L$13,AY17)+INDEX(Rôles!$F$18:$F$22,AZ17)))</f>
        <v>0.9</v>
      </c>
      <c r="AA17" s="32" t="n">
        <f aca="false" t="array" ref="AA17:AA17">ROUND(INDEX(Rôles!$C$18:$C$22,AZ17)*INDEX(Rôles!$C$5:$C$13,AY17),4)</f>
        <v>0.024</v>
      </c>
      <c r="AB17" s="33" t="n">
        <f aca="false" t="array" ref="AB17:AB17">ROUND(INDEX(Rôles!$B$18:$B$22,AZ17)*INDEX(Rôles!$B$5:$B$13,AY17),2)</f>
        <v>10.2</v>
      </c>
      <c r="AC17" s="33" t="n">
        <f aca="false" t="array" ref="AC17:AC17">INDEX(Rôles!$E$18:$E$22,AZ17)</f>
        <v>8</v>
      </c>
      <c r="AD17" s="23" t="str">
        <f aca="false" t="array" ref="AD17:AD17">INDEX(Éléments!$F$5:$F$14,MATCH(E17,Éléments!$A$5:$A$14,0))</f>
        <v>Acide, Vent</v>
      </c>
      <c r="AE17" s="23" t="str">
        <f aca="false" t="array" ref="AE17:AE17">INDEX(Éléments!$G$5:$G$14,MATCH(E17,Éléments!$A$5:$A$14,0))</f>
        <v>Électricité</v>
      </c>
      <c r="AF17" s="34" t="s">
        <v>181</v>
      </c>
      <c r="AG17" s="35" t="n">
        <v>0.35</v>
      </c>
      <c r="AH17" s="34" t="s">
        <v>161</v>
      </c>
      <c r="AI17" s="35" t="n">
        <v>0.3</v>
      </c>
      <c r="AJ17" s="29" t="n">
        <f aca="false" t="array" ref="AJ17:AJ17">ROUND(ROUND(Paramètres!$B$49*K17^Paramètres!$B$50,0)*INDEX(Rôles!$E$18:$E$22,AZ17),0)</f>
        <v>1416</v>
      </c>
      <c r="AK17" s="29" t="n">
        <f aca="false" t="array" ref="AK17:AK17">ROUND(ROUND(Paramètres!$B$53*K17^Paramètres!$B$54,0)*INDEX(Rôles!$E$18:$E$22,AZ17),0)</f>
        <v>928</v>
      </c>
      <c r="AL17" s="36" t="n">
        <f aca="false">INDEX(Butin!$B$7:$B$11,AZ17)</f>
        <v>1</v>
      </c>
      <c r="AM17" s="37" t="n">
        <f aca="false">INDEX(Butin!$E$7:$E$11,AZ17)</f>
        <v>1.4</v>
      </c>
      <c r="AN17" s="30" t="n">
        <f aca="false">IF($H17="Boss",INDEX(Butin!$E$28:$K$37,MATCH($B17,Éléments!$C$5:$C$14,1),1),IF($H17="Dragon",INDEX(Butin!$E$41:$K$50,MATCH($B17,Éléments!$C$5:$C$14,1),1),INDEX(Butin!$E$15:$K$24,MATCH($B17,Éléments!$C$5:$C$14,1),1)))</f>
        <v>0.28</v>
      </c>
      <c r="AO17" s="30" t="n">
        <f aca="false">IF($H17="Boss",INDEX(Butin!$E$28:$K$37,MATCH($B17,Éléments!$C$5:$C$14,1),2),IF($H17="Dragon",INDEX(Butin!$E$41:$K$50,MATCH($B17,Éléments!$C$5:$C$14,1),2),INDEX(Butin!$E$15:$K$24,MATCH($B17,Éléments!$C$5:$C$14,1),2)))</f>
        <v>0.38</v>
      </c>
      <c r="AP17" s="30" t="n">
        <f aca="false">IF($H17="Boss",INDEX(Butin!$E$28:$K$37,MATCH($B17,Éléments!$C$5:$C$14,1),3),IF($H17="Dragon",INDEX(Butin!$E$41:$K$50,MATCH($B17,Éléments!$C$5:$C$14,1),3),INDEX(Butin!$E$15:$K$24,MATCH($B17,Éléments!$C$5:$C$14,1),3)))</f>
        <v>0.24</v>
      </c>
      <c r="AQ17" s="30" t="n">
        <f aca="false">IF($H17="Boss",INDEX(Butin!$E$28:$K$37,MATCH($B17,Éléments!$C$5:$C$14,1),4),IF($H17="Dragon",INDEX(Butin!$E$41:$K$50,MATCH($B17,Éléments!$C$5:$C$14,1),4),INDEX(Butin!$E$15:$K$24,MATCH($B17,Éléments!$C$5:$C$14,1),4)))</f>
        <v>0.08</v>
      </c>
      <c r="AR17" s="30" t="n">
        <f aca="false">IF($H17="Boss",INDEX(Butin!$E$28:$K$37,MATCH($B17,Éléments!$C$5:$C$14,1),5),IF($H17="Dragon",INDEX(Butin!$E$41:$K$50,MATCH($B17,Éléments!$C$5:$C$14,1),5),INDEX(Butin!$E$15:$K$24,MATCH($B17,Éléments!$C$5:$C$14,1),5)))</f>
        <v>0</v>
      </c>
      <c r="AS17" s="30" t="n">
        <f aca="false">IF($H17="Boss",INDEX(Butin!$E$28:$K$37,MATCH($B17,Éléments!$C$5:$C$14,1),6),IF($H17="Dragon",INDEX(Butin!$E$41:$K$50,MATCH($B17,Éléments!$C$5:$C$14,1),6),INDEX(Butin!$E$15:$K$24,MATCH($B17,Éléments!$C$5:$C$14,1),6)))</f>
        <v>0</v>
      </c>
      <c r="AT17" s="30" t="n">
        <f aca="false">IF($H17="Boss",INDEX(Butin!$E$28:$K$37,MATCH($B17,Éléments!$C$5:$C$14,1),7),IF($H17="Dragon",INDEX(Butin!$E$41:$K$50,MATCH($B17,Éléments!$C$5:$C$14,1),7),INDEX(Butin!$E$15:$K$24,MATCH($B17,Éléments!$C$5:$C$14,1),7)))</f>
        <v>0.02</v>
      </c>
      <c r="AU17" s="38" t="str">
        <f aca="false">IF(AT17=0,"—",INDEX(Butin!$D$54:$D$63,MATCH($B17,Éléments!$C$5:$C$14,1))&amp;" · "&amp;INDEX(Butin!$F$54:$F$63,MATCH($B17,Éléments!$C$5:$C$14,1))&amp;" · "&amp;INDEX(Butin!$H$54:$H$63,MATCH($B17,Éléments!$C$5:$C$14,1)))</f>
        <v>Plastron du Titan de Pierre · Sceau de la Terre Ancestrale · Pendentif de la Sentinelle de Pierre</v>
      </c>
      <c r="AV17" s="20" t="s">
        <v>182</v>
      </c>
      <c r="AW17" s="39" t="str">
        <f aca="false">B17&amp;IF(G17="Oui","|B","|N")</f>
        <v>15|B</v>
      </c>
      <c r="AX17" s="40" t="n">
        <f aca="false">(Paramètres!$B$5+(1-Paramètres!$B$5)*((K17-Paramètres!$B$7)/(Paramètres!$B$8-Paramètres!$B$7))^Paramètres!$B$6)</f>
        <v>0.140847925475674</v>
      </c>
      <c r="AY17" s="39" t="n">
        <f aca="false">MATCH(I17,Rôles!$A$5:$A$13,0)</f>
        <v>6</v>
      </c>
      <c r="AZ17" s="39" t="n">
        <f aca="false">MATCH(H17,Rôles!$A$18:$A$22,0)</f>
        <v>4</v>
      </c>
    </row>
    <row r="18" customFormat="false" ht="15" hidden="false" customHeight="true" outlineLevel="0" collapsed="false">
      <c r="A18" s="20" t="s">
        <v>183</v>
      </c>
      <c r="B18" s="21" t="n">
        <v>15</v>
      </c>
      <c r="C18" s="22" t="str">
        <f aca="false" t="array" ref="C18:C18">INDEX(Zones!$B$6:$B$35,MATCH(B18,Zones!$A$6:$A$35,0))</f>
        <v>Mine abandonnée</v>
      </c>
      <c r="D18" s="23" t="str">
        <f aca="false" t="array" ref="D18:D18">INDEX(Éléments!$B$5:$B$14,MATCH(B18,Éléments!$C$5:$C$14,1))</f>
        <v>Montagne</v>
      </c>
      <c r="E18" s="41" t="str">
        <f aca="false" t="array" ref="E18:E18">INDEX(Éléments!$A$5:$A$14,MATCH(B18,Éléments!$C$5:$C$14,1))</f>
        <v>Terre</v>
      </c>
      <c r="F18" s="25" t="s">
        <v>184</v>
      </c>
      <c r="G18" s="23" t="str">
        <f aca="false">IF(OR(H18="Boss",H18="Dragon"),"Oui","Non")</f>
        <v>Non</v>
      </c>
      <c r="H18" s="26" t="s">
        <v>138</v>
      </c>
      <c r="I18" s="26" t="s">
        <v>160</v>
      </c>
      <c r="J18" s="26" t="s">
        <v>140</v>
      </c>
      <c r="K18" s="27" t="n">
        <f aca="false">IF($F$3="",B18,$F$3)</f>
        <v>15</v>
      </c>
      <c r="L18" s="28" t="n">
        <f aca="false" t="array" ref="L18:L18">ROUND(Paramètres!$B$16*(Paramètres!$B$5+(1-Paramètres!$B$5)*((K18-Paramètres!$B$7)/(Paramètres!$B$8-Paramètres!$B$7))^Paramètres!$B$6)*INDEX(Rôles!$B$18:$B$22,AZ18)*INDEX(Rôles!$B$5:$B$13,AY18),0)</f>
        <v>255</v>
      </c>
      <c r="M18" s="29" t="n">
        <f aca="false" t="array" ref="M18:M18">ROUND(IF(J18="Physique",1,IF(J18="Mixte",Paramètres!$B$32,0))*Paramètres!$B$12*(Paramètres!$B$5+(1-Paramètres!$B$5)*((K18-Paramètres!$B$7)/(Paramètres!$B$8-Paramètres!$B$7))^Paramètres!$B$6)*INDEX(Rôles!$C$18:$C$22,AZ18)*INDEX(Rôles!$C$5:$C$13,AY18)/(Paramètres!$B$35*(1-Paramètres!$B$36)),0)</f>
        <v>48</v>
      </c>
      <c r="N18" s="29" t="n">
        <f aca="false" t="array" ref="N18:N18">ROUND(IF(J18="Magique",1,IF(J18="Mixte",Paramètres!$B$32,0))*Paramètres!$B$12*(Paramètres!$B$5+(1-Paramètres!$B$5)*((K18-Paramètres!$B$7)/(Paramètres!$B$8-Paramètres!$B$7))^Paramètres!$B$6)*INDEX(Rôles!$C$18:$C$22,AZ18)*INDEX(Rôles!$C$5:$C$13,AY18)/(Paramètres!$B$35*(1-Paramètres!$B$36)),0)</f>
        <v>0</v>
      </c>
      <c r="O18" s="29" t="n">
        <f aca="false" t="array" ref="O18:O18">ROUND(Paramètres!$B$18*(Paramètres!$B$5+(1-Paramètres!$B$5)*((K18-Paramètres!$B$7)/(Paramètres!$B$8-Paramètres!$B$7))^Paramètres!$B$6)*INDEX(Rôles!$D$5:$D$13,AY18)*INDEX(Rôles!$D$18:$D$22,AZ18),0)</f>
        <v>63</v>
      </c>
      <c r="P18" s="29" t="n">
        <f aca="false" t="array" ref="P18:P18">ROUND(Paramètres!$B$19*(Paramètres!$B$5+(1-Paramètres!$B$5)*((K18-Paramètres!$B$7)/(Paramètres!$B$8-Paramètres!$B$7))^Paramètres!$B$6)*INDEX(Rôles!$E$5:$E$13,AY18)*INDEX(Rôles!$D$18:$D$22,AZ18),0)</f>
        <v>68</v>
      </c>
      <c r="Q18" s="29" t="n">
        <f aca="false" t="array" ref="Q18:Q18">ROUND(Paramètres!$B$20*(Paramètres!$B$5+(1-Paramètres!$B$5)*((K18-Paramètres!$B$7)/(Paramètres!$B$8-Paramètres!$B$7))^Paramètres!$B$6)*INDEX(Rôles!$F$5:$F$13,AY18),0)</f>
        <v>15</v>
      </c>
      <c r="R18" s="29" t="n">
        <f aca="false">ROUND(Paramètres!$B$64*$AX18*INDEX(Rôles!$N$5:$N$13,$AY18)*INDEX(Rôles!$I$18:$I$22,$AZ18),0)</f>
        <v>13</v>
      </c>
      <c r="S18" s="30" t="n">
        <f aca="false" t="array" ref="S18:S18">MIN(1,ROUND(Paramètres!$B$21*INDEX(Rôles!$G$5:$G$13,AY18),3))</f>
        <v>0.9</v>
      </c>
      <c r="T18" s="30" t="n">
        <f aca="false" t="array" ref="T18:T18">MIN(Paramètres!$B$28,ROUND(Paramètres!$B$22*INDEX(Rôles!$H$5:$H$13,AY18),3))</f>
        <v>0.05</v>
      </c>
      <c r="U18" s="30" t="n">
        <f aca="false" t="array" ref="U18:U18">ROUND(Paramètres!$B$23*INDEX(Rôles!$I$5:$I$13,AY18),3)</f>
        <v>0.5</v>
      </c>
      <c r="V18" s="30" t="n">
        <f aca="false" t="array" ref="V18:V18">MIN(Paramètres!$B$29,ROUND(Paramètres!$B$24*INDEX(Rôles!$J$5:$J$13,AY18),3))</f>
        <v>0.05</v>
      </c>
      <c r="W18" s="30" t="n">
        <f aca="false" t="array" ref="W18:W18">MIN(Paramètres!$B$27,ROUND((Paramètres!$B$25+(Paramètres!$B$26-Paramètres!$B$25)*(K18-Paramètres!$B$7)/(Paramètres!$B$8-Paramètres!$B$7))*INDEX(Rôles!$K$5:$K$13,AY18)+INDEX(Rôles!$G$18:$G$22,AZ18),3))</f>
        <v>0.085</v>
      </c>
      <c r="X18" s="30" t="n">
        <f aca="false">ROUND(1-(1-P18/(P18+(Paramètres!$B$19*(Paramètres!$B$5+(1-Paramètres!$B$5)*((K18-Paramètres!$B$7)/(Paramètres!$B$8-Paramètres!$B$7))^Paramètres!$B$6)*(1-Paramètres!$B$30)/Paramètres!$B$30)))*(1-O18/(O18+(Paramètres!$B$18*(Paramètres!$B$5+(1-Paramètres!$B$5)*((K18-Paramètres!$B$7)/(Paramètres!$B$8-Paramètres!$B$7))^Paramètres!$B$6)*(1-Paramètres!$B$31)/Paramètres!$B$31))),3)</f>
        <v>0.346</v>
      </c>
      <c r="Y18" s="30" t="n">
        <f aca="false">ROUND(O18/(O18+(Paramètres!$B$18*(Paramètres!$B$5+(1-Paramètres!$B$5)*((K18-Paramètres!$B$7)/(Paramètres!$B$8-Paramètres!$B$7))^Paramètres!$B$6)*(1-Paramètres!$B$31)/Paramètres!$B$31)),3)</f>
        <v>0.149</v>
      </c>
      <c r="Z18" s="31" t="n">
        <f aca="false" t="array" ref="Z18:Z18">IF(E18="Neutre",0,MIN(1,INDEX(Rôles!$L$5:$L$13,AY18)+INDEX(Rôles!$F$18:$F$22,AZ18)))</f>
        <v>0.5</v>
      </c>
      <c r="AA18" s="32" t="n">
        <f aca="false" t="array" ref="AA18:AA18">ROUND(INDEX(Rôles!$C$18:$C$22,AZ18)*INDEX(Rôles!$C$5:$C$13,AY18),4)</f>
        <v>0.015</v>
      </c>
      <c r="AB18" s="33" t="n">
        <f aca="false" t="array" ref="AB18:AB18">ROUND(INDEX(Rôles!$B$18:$B$22,AZ18)*INDEX(Rôles!$B$5:$B$13,AY18),2)</f>
        <v>2.3</v>
      </c>
      <c r="AC18" s="33" t="n">
        <f aca="false" t="array" ref="AC18:AC18">INDEX(Rôles!$E$18:$E$22,AZ18)</f>
        <v>1</v>
      </c>
      <c r="AD18" s="23" t="str">
        <f aca="false" t="array" ref="AD18:AD18">INDEX(Éléments!$F$5:$F$14,MATCH(E18,Éléments!$A$5:$A$14,0))</f>
        <v>Acide, Vent</v>
      </c>
      <c r="AE18" s="23" t="str">
        <f aca="false" t="array" ref="AE18:AE18">INDEX(Éléments!$G$5:$G$14,MATCH(E18,Éléments!$A$5:$A$14,0))</f>
        <v>Électricité</v>
      </c>
      <c r="AF18" s="34" t="s">
        <v>181</v>
      </c>
      <c r="AG18" s="35" t="n">
        <v>0.2</v>
      </c>
      <c r="AH18" s="34" t="s">
        <v>141</v>
      </c>
      <c r="AI18" s="35" t="n">
        <v>0.15</v>
      </c>
      <c r="AJ18" s="29" t="n">
        <f aca="false" t="array" ref="AJ18:AJ18">ROUND(ROUND(Paramètres!$B$49*K18^Paramètres!$B$50,0)*INDEX(Rôles!$E$18:$E$22,AZ18),0)</f>
        <v>177</v>
      </c>
      <c r="AK18" s="29" t="n">
        <f aca="false" t="array" ref="AK18:AK18">ROUND(ROUND(Paramètres!$B$53*K18^Paramètres!$B$54,0)*INDEX(Rôles!$E$18:$E$22,AZ18),0)</f>
        <v>116</v>
      </c>
      <c r="AL18" s="36" t="n">
        <f aca="false">INDEX(Butin!$B$7:$B$11,AZ18)</f>
        <v>0.05</v>
      </c>
      <c r="AM18" s="37" t="n">
        <f aca="false">INDEX(Butin!$E$7:$E$11,AZ18)</f>
        <v>0.05</v>
      </c>
      <c r="AN18" s="30" t="n">
        <f aca="false">IF($H18="Boss",INDEX(Butin!$E$28:$K$37,MATCH($B18,Éléments!$C$5:$C$14,1),1),IF($H18="Dragon",INDEX(Butin!$E$41:$K$50,MATCH($B18,Éléments!$C$5:$C$14,1),1),INDEX(Butin!$E$15:$K$24,MATCH($B18,Éléments!$C$5:$C$14,1),1)))</f>
        <v>0.65</v>
      </c>
      <c r="AO18" s="30" t="n">
        <f aca="false">IF($H18="Boss",INDEX(Butin!$E$28:$K$37,MATCH($B18,Éléments!$C$5:$C$14,1),2),IF($H18="Dragon",INDEX(Butin!$E$41:$K$50,MATCH($B18,Éléments!$C$5:$C$14,1),2),INDEX(Butin!$E$15:$K$24,MATCH($B18,Éléments!$C$5:$C$14,1),2)))</f>
        <v>0.28</v>
      </c>
      <c r="AP18" s="30" t="n">
        <f aca="false">IF($H18="Boss",INDEX(Butin!$E$28:$K$37,MATCH($B18,Éléments!$C$5:$C$14,1),3),IF($H18="Dragon",INDEX(Butin!$E$41:$K$50,MATCH($B18,Éléments!$C$5:$C$14,1),3),INDEX(Butin!$E$15:$K$24,MATCH($B18,Éléments!$C$5:$C$14,1),3)))</f>
        <v>0.07</v>
      </c>
      <c r="AQ18" s="30" t="n">
        <f aca="false">IF($H18="Boss",INDEX(Butin!$E$28:$K$37,MATCH($B18,Éléments!$C$5:$C$14,1),4),IF($H18="Dragon",INDEX(Butin!$E$41:$K$50,MATCH($B18,Éléments!$C$5:$C$14,1),4),INDEX(Butin!$E$15:$K$24,MATCH($B18,Éléments!$C$5:$C$14,1),4)))</f>
        <v>0</v>
      </c>
      <c r="AR18" s="30" t="n">
        <f aca="false">IF($H18="Boss",INDEX(Butin!$E$28:$K$37,MATCH($B18,Éléments!$C$5:$C$14,1),5),IF($H18="Dragon",INDEX(Butin!$E$41:$K$50,MATCH($B18,Éléments!$C$5:$C$14,1),5),INDEX(Butin!$E$15:$K$24,MATCH($B18,Éléments!$C$5:$C$14,1),5)))</f>
        <v>0</v>
      </c>
      <c r="AS18" s="30" t="n">
        <f aca="false">IF($H18="Boss",INDEX(Butin!$E$28:$K$37,MATCH($B18,Éléments!$C$5:$C$14,1),6),IF($H18="Dragon",INDEX(Butin!$E$41:$K$50,MATCH($B18,Éléments!$C$5:$C$14,1),6),INDEX(Butin!$E$15:$K$24,MATCH($B18,Éléments!$C$5:$C$14,1),6)))</f>
        <v>0</v>
      </c>
      <c r="AT18" s="30" t="n">
        <f aca="false">IF($H18="Boss",INDEX(Butin!$E$28:$K$37,MATCH($B18,Éléments!$C$5:$C$14,1),7),IF($H18="Dragon",INDEX(Butin!$E$41:$K$50,MATCH($B18,Éléments!$C$5:$C$14,1),7),INDEX(Butin!$E$15:$K$24,MATCH($B18,Éléments!$C$5:$C$14,1),7)))</f>
        <v>0</v>
      </c>
      <c r="AU18" s="38" t="str">
        <f aca="false">IF(AT18=0,"—",INDEX(Butin!$D$54:$D$63,MATCH($B18,Éléments!$C$5:$C$14,1))&amp;" · "&amp;INDEX(Butin!$F$54:$F$63,MATCH($B18,Éléments!$C$5:$C$14,1))&amp;" · "&amp;INDEX(Butin!$H$54:$H$63,MATCH($B18,Éléments!$C$5:$C$14,1)))</f>
        <v>—</v>
      </c>
      <c r="AV18" s="20" t="s">
        <v>185</v>
      </c>
      <c r="AW18" s="39" t="str">
        <f aca="false">B18&amp;IF(G18="Oui","|B","|N")</f>
        <v>15|N</v>
      </c>
      <c r="AX18" s="40" t="n">
        <f aca="false">(Paramètres!$B$5+(1-Paramètres!$B$5)*((K18-Paramètres!$B$7)/(Paramètres!$B$8-Paramètres!$B$7))^Paramètres!$B$6)</f>
        <v>0.140847925475674</v>
      </c>
      <c r="AY18" s="39" t="n">
        <f aca="false">MATCH(I18,Rôles!$A$5:$A$13,0)</f>
        <v>3</v>
      </c>
      <c r="AZ18" s="39" t="n">
        <f aca="false">MATCH(H18,Rôles!$A$18:$A$22,0)</f>
        <v>2</v>
      </c>
    </row>
    <row r="19" customFormat="false" ht="15" hidden="false" customHeight="true" outlineLevel="0" collapsed="false">
      <c r="A19" s="20" t="s">
        <v>186</v>
      </c>
      <c r="B19" s="21" t="n">
        <v>15</v>
      </c>
      <c r="C19" s="22" t="str">
        <f aca="false" t="array" ref="C19:C19">INDEX(Zones!$B$6:$B$35,MATCH(B19,Zones!$A$6:$A$35,0))</f>
        <v>Mine abandonnée</v>
      </c>
      <c r="D19" s="23" t="str">
        <f aca="false" t="array" ref="D19:D19">INDEX(Éléments!$B$5:$B$14,MATCH(B19,Éléments!$C$5:$C$14,1))</f>
        <v>Montagne</v>
      </c>
      <c r="E19" s="41" t="str">
        <f aca="false" t="array" ref="E19:E19">INDEX(Éléments!$A$5:$A$14,MATCH(B19,Éléments!$C$5:$C$14,1))</f>
        <v>Terre</v>
      </c>
      <c r="F19" s="25" t="s">
        <v>187</v>
      </c>
      <c r="G19" s="23" t="str">
        <f aca="false">IF(OR(H19="Boss",H19="Dragon"),"Oui","Non")</f>
        <v>Non</v>
      </c>
      <c r="H19" s="26" t="s">
        <v>138</v>
      </c>
      <c r="I19" s="26" t="s">
        <v>177</v>
      </c>
      <c r="J19" s="26" t="s">
        <v>140</v>
      </c>
      <c r="K19" s="27" t="n">
        <f aca="false">IF($F$3="",B19,$F$3)</f>
        <v>15</v>
      </c>
      <c r="L19" s="28" t="n">
        <f aca="false" t="array" ref="L19:L19">ROUND(Paramètres!$B$16*(Paramètres!$B$5+(1-Paramètres!$B$5)*((K19-Paramètres!$B$7)/(Paramètres!$B$8-Paramètres!$B$7))^Paramètres!$B$6)*INDEX(Rôles!$B$18:$B$22,AZ19)*INDEX(Rôles!$B$5:$B$13,AY19),0)</f>
        <v>177</v>
      </c>
      <c r="M19" s="29" t="n">
        <f aca="false" t="array" ref="M19:M19">ROUND(IF(J19="Physique",1,IF(J19="Mixte",Paramètres!$B$32,0))*Paramètres!$B$12*(Paramètres!$B$5+(1-Paramètres!$B$5)*((K19-Paramètres!$B$7)/(Paramètres!$B$8-Paramètres!$B$7))^Paramètres!$B$6)*INDEX(Rôles!$C$18:$C$22,AZ19)*INDEX(Rôles!$C$5:$C$13,AY19)/(Paramètres!$B$35*(1-Paramètres!$B$36)),0)</f>
        <v>53</v>
      </c>
      <c r="N19" s="29" t="n">
        <f aca="false" t="array" ref="N19:N19">ROUND(IF(J19="Magique",1,IF(J19="Mixte",Paramètres!$B$32,0))*Paramètres!$B$12*(Paramètres!$B$5+(1-Paramètres!$B$5)*((K19-Paramètres!$B$7)/(Paramètres!$B$8-Paramètres!$B$7))^Paramètres!$B$6)*INDEX(Rôles!$C$18:$C$22,AZ19)*INDEX(Rôles!$C$5:$C$13,AY19)/(Paramètres!$B$35*(1-Paramètres!$B$36)),0)</f>
        <v>0</v>
      </c>
      <c r="O19" s="29" t="n">
        <f aca="false" t="array" ref="O19:O19">ROUND(Paramètres!$B$18*(Paramètres!$B$5+(1-Paramètres!$B$5)*((K19-Paramètres!$B$7)/(Paramètres!$B$8-Paramètres!$B$7))^Paramètres!$B$6)*INDEX(Rôles!$D$5:$D$13,AY19)*INDEX(Rôles!$D$18:$D$22,AZ19),0)</f>
        <v>44</v>
      </c>
      <c r="P19" s="29" t="n">
        <f aca="false" t="array" ref="P19:P19">ROUND(Paramètres!$B$19*(Paramètres!$B$5+(1-Paramètres!$B$5)*((K19-Paramètres!$B$7)/(Paramètres!$B$8-Paramètres!$B$7))^Paramètres!$B$6)*INDEX(Rôles!$E$5:$E$13,AY19)*INDEX(Rôles!$D$18:$D$22,AZ19),0)</f>
        <v>34</v>
      </c>
      <c r="Q19" s="29" t="n">
        <f aca="false" t="array" ref="Q19:Q19">ROUND(Paramètres!$B$20*(Paramètres!$B$5+(1-Paramètres!$B$5)*((K19-Paramètres!$B$7)/(Paramètres!$B$8-Paramètres!$B$7))^Paramètres!$B$6)*INDEX(Rôles!$F$5:$F$13,AY19),0)</f>
        <v>19</v>
      </c>
      <c r="R19" s="29" t="n">
        <f aca="false">ROUND(Paramètres!$B$64*$AX19*INDEX(Rôles!$N$5:$N$13,$AY19)*INDEX(Rôles!$I$18:$I$22,$AZ19),0)</f>
        <v>15</v>
      </c>
      <c r="S19" s="30" t="n">
        <f aca="false" t="array" ref="S19:S19">MIN(1,ROUND(Paramètres!$B$21*INDEX(Rôles!$G$5:$G$13,AY19),3))</f>
        <v>1</v>
      </c>
      <c r="T19" s="30" t="n">
        <f aca="false" t="array" ref="T19:T19">MIN(Paramètres!$B$28,ROUND(Paramètres!$B$22*INDEX(Rôles!$H$5:$H$13,AY19),3))</f>
        <v>0.075</v>
      </c>
      <c r="U19" s="30" t="n">
        <f aca="false" t="array" ref="U19:U19">ROUND(Paramètres!$B$23*INDEX(Rôles!$I$5:$I$13,AY19),3)</f>
        <v>0.65</v>
      </c>
      <c r="V19" s="30" t="n">
        <f aca="false" t="array" ref="V19:V19">MIN(Paramètres!$B$29,ROUND(Paramètres!$B$24*INDEX(Rôles!$J$5:$J$13,AY19),3))</f>
        <v>0.07</v>
      </c>
      <c r="W19" s="30" t="n">
        <f aca="false" t="array" ref="W19:W19">MIN(Paramètres!$B$27,ROUND((Paramètres!$B$25+(Paramètres!$B$26-Paramètres!$B$25)*(K19-Paramètres!$B$7)/(Paramètres!$B$8-Paramètres!$B$7))*INDEX(Rôles!$K$5:$K$13,AY19)+INDEX(Rôles!$G$18:$G$22,AZ19),3))</f>
        <v>0.068</v>
      </c>
      <c r="X19" s="30" t="n">
        <f aca="false">ROUND(1-(1-P19/(P19+(Paramètres!$B$19*(Paramètres!$B$5+(1-Paramètres!$B$5)*((K19-Paramètres!$B$7)/(Paramètres!$B$8-Paramètres!$B$7))^Paramètres!$B$6)*(1-Paramètres!$B$30)/Paramètres!$B$30)))*(1-O19/(O19+(Paramètres!$B$18*(Paramètres!$B$5+(1-Paramètres!$B$5)*((K19-Paramètres!$B$7)/(Paramètres!$B$8-Paramètres!$B$7))^Paramètres!$B$6)*(1-Paramètres!$B$31)/Paramètres!$B$31))),3)</f>
        <v>0.226</v>
      </c>
      <c r="Y19" s="30" t="n">
        <f aca="false">ROUND(O19/(O19+(Paramètres!$B$18*(Paramètres!$B$5+(1-Paramètres!$B$5)*((K19-Paramètres!$B$7)/(Paramètres!$B$8-Paramètres!$B$7))^Paramètres!$B$6)*(1-Paramètres!$B$31)/Paramètres!$B$31)),3)</f>
        <v>0.109</v>
      </c>
      <c r="Z19" s="31" t="n">
        <f aca="false" t="array" ref="Z19:Z19">IF(E19="Neutre",0,MIN(1,INDEX(Rôles!$L$5:$L$13,AY19)+INDEX(Rôles!$F$18:$F$22,AZ19)))</f>
        <v>0.6</v>
      </c>
      <c r="AA19" s="32" t="n">
        <f aca="false" t="array" ref="AA19:AA19">ROUND(INDEX(Rôles!$C$18:$C$22,AZ19)*INDEX(Rôles!$C$5:$C$13,AY19),4)</f>
        <v>0.0165</v>
      </c>
      <c r="AB19" s="33" t="n">
        <f aca="false" t="array" ref="AB19:AB19">ROUND(INDEX(Rôles!$B$18:$B$22,AZ19)*INDEX(Rôles!$B$5:$B$13,AY19),2)</f>
        <v>1.6</v>
      </c>
      <c r="AC19" s="33" t="n">
        <f aca="false" t="array" ref="AC19:AC19">INDEX(Rôles!$E$18:$E$22,AZ19)</f>
        <v>1</v>
      </c>
      <c r="AD19" s="23" t="str">
        <f aca="false" t="array" ref="AD19:AD19">INDEX(Éléments!$F$5:$F$14,MATCH(E19,Éléments!$A$5:$A$14,0))</f>
        <v>Acide, Vent</v>
      </c>
      <c r="AE19" s="23" t="str">
        <f aca="false" t="array" ref="AE19:AE19">INDEX(Éléments!$G$5:$G$14,MATCH(E19,Éléments!$A$5:$A$14,0))</f>
        <v>Électricité</v>
      </c>
      <c r="AF19" s="34" t="s">
        <v>188</v>
      </c>
      <c r="AG19" s="35" t="n">
        <v>0.2</v>
      </c>
      <c r="AH19" s="34" t="s">
        <v>141</v>
      </c>
      <c r="AI19" s="35" t="n">
        <v>0.15</v>
      </c>
      <c r="AJ19" s="29" t="n">
        <f aca="false" t="array" ref="AJ19:AJ19">ROUND(ROUND(Paramètres!$B$49*K19^Paramètres!$B$50,0)*INDEX(Rôles!$E$18:$E$22,AZ19),0)</f>
        <v>177</v>
      </c>
      <c r="AK19" s="29" t="n">
        <f aca="false" t="array" ref="AK19:AK19">ROUND(ROUND(Paramètres!$B$53*K19^Paramètres!$B$54,0)*INDEX(Rôles!$E$18:$E$22,AZ19),0)</f>
        <v>116</v>
      </c>
      <c r="AL19" s="36" t="n">
        <f aca="false">INDEX(Butin!$B$7:$B$11,AZ19)</f>
        <v>0.05</v>
      </c>
      <c r="AM19" s="37" t="n">
        <f aca="false">INDEX(Butin!$E$7:$E$11,AZ19)</f>
        <v>0.05</v>
      </c>
      <c r="AN19" s="30" t="n">
        <f aca="false">IF($H19="Boss",INDEX(Butin!$E$28:$K$37,MATCH($B19,Éléments!$C$5:$C$14,1),1),IF($H19="Dragon",INDEX(Butin!$E$41:$K$50,MATCH($B19,Éléments!$C$5:$C$14,1),1),INDEX(Butin!$E$15:$K$24,MATCH($B19,Éléments!$C$5:$C$14,1),1)))</f>
        <v>0.65</v>
      </c>
      <c r="AO19" s="30" t="n">
        <f aca="false">IF($H19="Boss",INDEX(Butin!$E$28:$K$37,MATCH($B19,Éléments!$C$5:$C$14,1),2),IF($H19="Dragon",INDEX(Butin!$E$41:$K$50,MATCH($B19,Éléments!$C$5:$C$14,1),2),INDEX(Butin!$E$15:$K$24,MATCH($B19,Éléments!$C$5:$C$14,1),2)))</f>
        <v>0.28</v>
      </c>
      <c r="AP19" s="30" t="n">
        <f aca="false">IF($H19="Boss",INDEX(Butin!$E$28:$K$37,MATCH($B19,Éléments!$C$5:$C$14,1),3),IF($H19="Dragon",INDEX(Butin!$E$41:$K$50,MATCH($B19,Éléments!$C$5:$C$14,1),3),INDEX(Butin!$E$15:$K$24,MATCH($B19,Éléments!$C$5:$C$14,1),3)))</f>
        <v>0.07</v>
      </c>
      <c r="AQ19" s="30" t="n">
        <f aca="false">IF($H19="Boss",INDEX(Butin!$E$28:$K$37,MATCH($B19,Éléments!$C$5:$C$14,1),4),IF($H19="Dragon",INDEX(Butin!$E$41:$K$50,MATCH($B19,Éléments!$C$5:$C$14,1),4),INDEX(Butin!$E$15:$K$24,MATCH($B19,Éléments!$C$5:$C$14,1),4)))</f>
        <v>0</v>
      </c>
      <c r="AR19" s="30" t="n">
        <f aca="false">IF($H19="Boss",INDEX(Butin!$E$28:$K$37,MATCH($B19,Éléments!$C$5:$C$14,1),5),IF($H19="Dragon",INDEX(Butin!$E$41:$K$50,MATCH($B19,Éléments!$C$5:$C$14,1),5),INDEX(Butin!$E$15:$K$24,MATCH($B19,Éléments!$C$5:$C$14,1),5)))</f>
        <v>0</v>
      </c>
      <c r="AS19" s="30" t="n">
        <f aca="false">IF($H19="Boss",INDEX(Butin!$E$28:$K$37,MATCH($B19,Éléments!$C$5:$C$14,1),6),IF($H19="Dragon",INDEX(Butin!$E$41:$K$50,MATCH($B19,Éléments!$C$5:$C$14,1),6),INDEX(Butin!$E$15:$K$24,MATCH($B19,Éléments!$C$5:$C$14,1),6)))</f>
        <v>0</v>
      </c>
      <c r="AT19" s="30" t="n">
        <f aca="false">IF($H19="Boss",INDEX(Butin!$E$28:$K$37,MATCH($B19,Éléments!$C$5:$C$14,1),7),IF($H19="Dragon",INDEX(Butin!$E$41:$K$50,MATCH($B19,Éléments!$C$5:$C$14,1),7),INDEX(Butin!$E$15:$K$24,MATCH($B19,Éléments!$C$5:$C$14,1),7)))</f>
        <v>0</v>
      </c>
      <c r="AU19" s="38" t="str">
        <f aca="false">IF(AT19=0,"—",INDEX(Butin!$D$54:$D$63,MATCH($B19,Éléments!$C$5:$C$14,1))&amp;" · "&amp;INDEX(Butin!$F$54:$F$63,MATCH($B19,Éléments!$C$5:$C$14,1))&amp;" · "&amp;INDEX(Butin!$H$54:$H$63,MATCH($B19,Éléments!$C$5:$C$14,1)))</f>
        <v>—</v>
      </c>
      <c r="AV19" s="20" t="s">
        <v>189</v>
      </c>
      <c r="AW19" s="39" t="str">
        <f aca="false">B19&amp;IF(G19="Oui","|B","|N")</f>
        <v>15|N</v>
      </c>
      <c r="AX19" s="40" t="n">
        <f aca="false">(Paramètres!$B$5+(1-Paramètres!$B$5)*((K19-Paramètres!$B$7)/(Paramètres!$B$8-Paramètres!$B$7))^Paramètres!$B$6)</f>
        <v>0.140847925475674</v>
      </c>
      <c r="AY19" s="39" t="n">
        <f aca="false">MATCH(I19,Rôles!$A$5:$A$13,0)</f>
        <v>4</v>
      </c>
      <c r="AZ19" s="39" t="n">
        <f aca="false">MATCH(H19,Rôles!$A$18:$A$22,0)</f>
        <v>2</v>
      </c>
    </row>
    <row r="20" customFormat="false" ht="15" hidden="false" customHeight="true" outlineLevel="0" collapsed="false">
      <c r="A20" s="20" t="s">
        <v>190</v>
      </c>
      <c r="B20" s="21" t="n">
        <v>15</v>
      </c>
      <c r="C20" s="22" t="str">
        <f aca="false" t="array" ref="C20:C20">INDEX(Zones!$B$6:$B$35,MATCH(B20,Zones!$A$6:$A$35,0))</f>
        <v>Mine abandonnée</v>
      </c>
      <c r="D20" s="23" t="str">
        <f aca="false" t="array" ref="D20:D20">INDEX(Éléments!$B$5:$B$14,MATCH(B20,Éléments!$C$5:$C$14,1))</f>
        <v>Montagne</v>
      </c>
      <c r="E20" s="41" t="str">
        <f aca="false" t="array" ref="E20:E20">INDEX(Éléments!$A$5:$A$14,MATCH(B20,Éléments!$C$5:$C$14,1))</f>
        <v>Terre</v>
      </c>
      <c r="F20" s="25" t="s">
        <v>191</v>
      </c>
      <c r="G20" s="23" t="str">
        <f aca="false">IF(OR(H20="Boss",H20="Dragon"),"Oui","Non")</f>
        <v>Non</v>
      </c>
      <c r="H20" s="26" t="s">
        <v>148</v>
      </c>
      <c r="I20" s="26" t="s">
        <v>160</v>
      </c>
      <c r="J20" s="26" t="s">
        <v>140</v>
      </c>
      <c r="K20" s="27" t="n">
        <f aca="false">IF($F$3="",B20,$F$3)</f>
        <v>15</v>
      </c>
      <c r="L20" s="28" t="n">
        <f aca="false" t="array" ref="L20:L20">ROUND(Paramètres!$B$16*(Paramètres!$B$5+(1-Paramètres!$B$5)*((K20-Paramètres!$B$7)/(Paramètres!$B$8-Paramètres!$B$7))^Paramètres!$B$6)*INDEX(Rôles!$B$18:$B$22,AZ20)*INDEX(Rôles!$B$5:$B$13,AY20),0)</f>
        <v>357</v>
      </c>
      <c r="M20" s="29" t="n">
        <f aca="false" t="array" ref="M20:M20">ROUND(IF(J20="Physique",1,IF(J20="Mixte",Paramètres!$B$32,0))*Paramètres!$B$12*(Paramètres!$B$5+(1-Paramètres!$B$5)*((K20-Paramètres!$B$7)/(Paramètres!$B$8-Paramètres!$B$7))^Paramètres!$B$6)*INDEX(Rôles!$C$18:$C$22,AZ20)*INDEX(Rôles!$C$5:$C$13,AY20)/(Paramètres!$B$35*(1-Paramètres!$B$36)),0)</f>
        <v>61</v>
      </c>
      <c r="N20" s="29" t="n">
        <f aca="false" t="array" ref="N20:N20">ROUND(IF(J20="Magique",1,IF(J20="Mixte",Paramètres!$B$32,0))*Paramètres!$B$12*(Paramètres!$B$5+(1-Paramètres!$B$5)*((K20-Paramètres!$B$7)/(Paramètres!$B$8-Paramètres!$B$7))^Paramètres!$B$6)*INDEX(Rôles!$C$18:$C$22,AZ20)*INDEX(Rôles!$C$5:$C$13,AY20)/(Paramètres!$B$35*(1-Paramètres!$B$36)),0)</f>
        <v>0</v>
      </c>
      <c r="O20" s="29" t="n">
        <f aca="false" t="array" ref="O20:O20">ROUND(Paramètres!$B$18*(Paramètres!$B$5+(1-Paramètres!$B$5)*((K20-Paramètres!$B$7)/(Paramètres!$B$8-Paramètres!$B$7))^Paramètres!$B$6)*INDEX(Rôles!$D$5:$D$13,AY20)*INDEX(Rôles!$D$18:$D$22,AZ20),0)</f>
        <v>73</v>
      </c>
      <c r="P20" s="29" t="n">
        <f aca="false" t="array" ref="P20:P20">ROUND(Paramètres!$B$19*(Paramètres!$B$5+(1-Paramètres!$B$5)*((K20-Paramètres!$B$7)/(Paramètres!$B$8-Paramètres!$B$7))^Paramètres!$B$6)*INDEX(Rôles!$E$5:$E$13,AY20)*INDEX(Rôles!$D$18:$D$22,AZ20),0)</f>
        <v>78</v>
      </c>
      <c r="Q20" s="29" t="n">
        <f aca="false" t="array" ref="Q20:Q20">ROUND(Paramètres!$B$20*(Paramètres!$B$5+(1-Paramètres!$B$5)*((K20-Paramètres!$B$7)/(Paramètres!$B$8-Paramètres!$B$7))^Paramètres!$B$6)*INDEX(Rôles!$F$5:$F$13,AY20),0)</f>
        <v>15</v>
      </c>
      <c r="R20" s="29" t="n">
        <f aca="false">ROUND(Paramètres!$B$64*$AX20*INDEX(Rôles!$N$5:$N$13,$AY20)*INDEX(Rôles!$I$18:$I$22,$AZ20),0)</f>
        <v>14</v>
      </c>
      <c r="S20" s="30" t="n">
        <f aca="false" t="array" ref="S20:S20">MIN(1,ROUND(Paramètres!$B$21*INDEX(Rôles!$G$5:$G$13,AY20),3))</f>
        <v>0.9</v>
      </c>
      <c r="T20" s="30" t="n">
        <f aca="false" t="array" ref="T20:T20">MIN(Paramètres!$B$28,ROUND(Paramètres!$B$22*INDEX(Rôles!$H$5:$H$13,AY20),3))</f>
        <v>0.05</v>
      </c>
      <c r="U20" s="30" t="n">
        <f aca="false" t="array" ref="U20:U20">ROUND(Paramètres!$B$23*INDEX(Rôles!$I$5:$I$13,AY20),3)</f>
        <v>0.5</v>
      </c>
      <c r="V20" s="30" t="n">
        <f aca="false" t="array" ref="V20:V20">MIN(Paramètres!$B$29,ROUND(Paramètres!$B$24*INDEX(Rôles!$J$5:$J$13,AY20),3))</f>
        <v>0.05</v>
      </c>
      <c r="W20" s="30" t="n">
        <f aca="false" t="array" ref="W20:W20">MIN(Paramètres!$B$27,ROUND((Paramètres!$B$25+(Paramètres!$B$26-Paramètres!$B$25)*(K20-Paramètres!$B$7)/(Paramètres!$B$8-Paramètres!$B$7))*INDEX(Rôles!$K$5:$K$13,AY20)+INDEX(Rôles!$G$18:$G$22,AZ20),3))</f>
        <v>0.085</v>
      </c>
      <c r="X20" s="30" t="n">
        <f aca="false">ROUND(1-(1-P20/(P20+(Paramètres!$B$19*(Paramètres!$B$5+(1-Paramètres!$B$5)*((K20-Paramètres!$B$7)/(Paramètres!$B$8-Paramètres!$B$7))^Paramètres!$B$6)*(1-Paramètres!$B$30)/Paramètres!$B$30)))*(1-O20/(O20+(Paramètres!$B$18*(Paramètres!$B$5+(1-Paramètres!$B$5)*((K20-Paramètres!$B$7)/(Paramètres!$B$8-Paramètres!$B$7))^Paramètres!$B$6)*(1-Paramètres!$B$31)/Paramètres!$B$31))),3)</f>
        <v>0.383</v>
      </c>
      <c r="Y20" s="30" t="n">
        <f aca="false">ROUND(O20/(O20+(Paramètres!$B$18*(Paramètres!$B$5+(1-Paramètres!$B$5)*((K20-Paramètres!$B$7)/(Paramètres!$B$8-Paramètres!$B$7))^Paramètres!$B$6)*(1-Paramètres!$B$31)/Paramètres!$B$31)),3)</f>
        <v>0.169</v>
      </c>
      <c r="Z20" s="31" t="n">
        <f aca="false" t="array" ref="Z20:Z20">IF(E20="Neutre",0,MIN(1,INDEX(Rôles!$L$5:$L$13,AY20)+INDEX(Rôles!$F$18:$F$22,AZ20)))</f>
        <v>0.5</v>
      </c>
      <c r="AA20" s="32" t="n">
        <f aca="false" t="array" ref="AA20:AA20">ROUND(INDEX(Rôles!$C$18:$C$22,AZ20)*INDEX(Rôles!$C$5:$C$13,AY20),4)</f>
        <v>0.019</v>
      </c>
      <c r="AB20" s="33" t="n">
        <f aca="false" t="array" ref="AB20:AB20">ROUND(INDEX(Rôles!$B$18:$B$22,AZ20)*INDEX(Rôles!$B$5:$B$13,AY20),2)</f>
        <v>3.22</v>
      </c>
      <c r="AC20" s="33" t="n">
        <f aca="false" t="array" ref="AC20:AC20">INDEX(Rôles!$E$18:$E$22,AZ20)</f>
        <v>1.4</v>
      </c>
      <c r="AD20" s="23" t="str">
        <f aca="false" t="array" ref="AD20:AD20">INDEX(Éléments!$F$5:$F$14,MATCH(E20,Éléments!$A$5:$A$14,0))</f>
        <v>Acide, Vent</v>
      </c>
      <c r="AE20" s="23" t="str">
        <f aca="false" t="array" ref="AE20:AE20">INDEX(Éléments!$G$5:$G$14,MATCH(E20,Éléments!$A$5:$A$14,0))</f>
        <v>Électricité</v>
      </c>
      <c r="AF20" s="34" t="s">
        <v>181</v>
      </c>
      <c r="AG20" s="35" t="n">
        <v>0.25</v>
      </c>
      <c r="AH20" s="34" t="s">
        <v>142</v>
      </c>
      <c r="AI20" s="35" t="n">
        <v>0.12</v>
      </c>
      <c r="AJ20" s="29" t="n">
        <f aca="false" t="array" ref="AJ20:AJ20">ROUND(ROUND(Paramètres!$B$49*K20^Paramètres!$B$50,0)*INDEX(Rôles!$E$18:$E$22,AZ20),0)</f>
        <v>248</v>
      </c>
      <c r="AK20" s="29" t="n">
        <f aca="false" t="array" ref="AK20:AK20">ROUND(ROUND(Paramètres!$B$53*K20^Paramètres!$B$54,0)*INDEX(Rôles!$E$18:$E$22,AZ20),0)</f>
        <v>162</v>
      </c>
      <c r="AL20" s="36" t="n">
        <f aca="false">INDEX(Butin!$B$7:$B$11,AZ20)</f>
        <v>0.08</v>
      </c>
      <c r="AM20" s="37" t="n">
        <f aca="false">INDEX(Butin!$E$7:$E$11,AZ20)</f>
        <v>0.08</v>
      </c>
      <c r="AN20" s="30" t="n">
        <f aca="false">IF($H20="Boss",INDEX(Butin!$E$28:$K$37,MATCH($B20,Éléments!$C$5:$C$14,1),1),IF($H20="Dragon",INDEX(Butin!$E$41:$K$50,MATCH($B20,Éléments!$C$5:$C$14,1),1),INDEX(Butin!$E$15:$K$24,MATCH($B20,Éléments!$C$5:$C$14,1),1)))</f>
        <v>0.65</v>
      </c>
      <c r="AO20" s="30" t="n">
        <f aca="false">IF($H20="Boss",INDEX(Butin!$E$28:$K$37,MATCH($B20,Éléments!$C$5:$C$14,1),2),IF($H20="Dragon",INDEX(Butin!$E$41:$K$50,MATCH($B20,Éléments!$C$5:$C$14,1),2),INDEX(Butin!$E$15:$K$24,MATCH($B20,Éléments!$C$5:$C$14,1),2)))</f>
        <v>0.28</v>
      </c>
      <c r="AP20" s="30" t="n">
        <f aca="false">IF($H20="Boss",INDEX(Butin!$E$28:$K$37,MATCH($B20,Éléments!$C$5:$C$14,1),3),IF($H20="Dragon",INDEX(Butin!$E$41:$K$50,MATCH($B20,Éléments!$C$5:$C$14,1),3),INDEX(Butin!$E$15:$K$24,MATCH($B20,Éléments!$C$5:$C$14,1),3)))</f>
        <v>0.07</v>
      </c>
      <c r="AQ20" s="30" t="n">
        <f aca="false">IF($H20="Boss",INDEX(Butin!$E$28:$K$37,MATCH($B20,Éléments!$C$5:$C$14,1),4),IF($H20="Dragon",INDEX(Butin!$E$41:$K$50,MATCH($B20,Éléments!$C$5:$C$14,1),4),INDEX(Butin!$E$15:$K$24,MATCH($B20,Éléments!$C$5:$C$14,1),4)))</f>
        <v>0</v>
      </c>
      <c r="AR20" s="30" t="n">
        <f aca="false">IF($H20="Boss",INDEX(Butin!$E$28:$K$37,MATCH($B20,Éléments!$C$5:$C$14,1),5),IF($H20="Dragon",INDEX(Butin!$E$41:$K$50,MATCH($B20,Éléments!$C$5:$C$14,1),5),INDEX(Butin!$E$15:$K$24,MATCH($B20,Éléments!$C$5:$C$14,1),5)))</f>
        <v>0</v>
      </c>
      <c r="AS20" s="30" t="n">
        <f aca="false">IF($H20="Boss",INDEX(Butin!$E$28:$K$37,MATCH($B20,Éléments!$C$5:$C$14,1),6),IF($H20="Dragon",INDEX(Butin!$E$41:$K$50,MATCH($B20,Éléments!$C$5:$C$14,1),6),INDEX(Butin!$E$15:$K$24,MATCH($B20,Éléments!$C$5:$C$14,1),6)))</f>
        <v>0</v>
      </c>
      <c r="AT20" s="30" t="n">
        <f aca="false">IF($H20="Boss",INDEX(Butin!$E$28:$K$37,MATCH($B20,Éléments!$C$5:$C$14,1),7),IF($H20="Dragon",INDEX(Butin!$E$41:$K$50,MATCH($B20,Éléments!$C$5:$C$14,1),7),INDEX(Butin!$E$15:$K$24,MATCH($B20,Éléments!$C$5:$C$14,1),7)))</f>
        <v>0</v>
      </c>
      <c r="AU20" s="38" t="str">
        <f aca="false">IF(AT20=0,"—",INDEX(Butin!$D$54:$D$63,MATCH($B20,Éléments!$C$5:$C$14,1))&amp;" · "&amp;INDEX(Butin!$F$54:$F$63,MATCH($B20,Éléments!$C$5:$C$14,1))&amp;" · "&amp;INDEX(Butin!$H$54:$H$63,MATCH($B20,Éléments!$C$5:$C$14,1)))</f>
        <v>—</v>
      </c>
      <c r="AV20" s="20" t="s">
        <v>192</v>
      </c>
      <c r="AW20" s="39" t="str">
        <f aca="false">B20&amp;IF(G20="Oui","|B","|N")</f>
        <v>15|N</v>
      </c>
      <c r="AX20" s="40" t="n">
        <f aca="false">(Paramètres!$B$5+(1-Paramètres!$B$5)*((K20-Paramètres!$B$7)/(Paramètres!$B$8-Paramètres!$B$7))^Paramètres!$B$6)</f>
        <v>0.140847925475674</v>
      </c>
      <c r="AY20" s="39" t="n">
        <f aca="false">MATCH(I20,Rôles!$A$5:$A$13,0)</f>
        <v>3</v>
      </c>
      <c r="AZ20" s="39" t="n">
        <f aca="false">MATCH(H20,Rôles!$A$18:$A$22,0)</f>
        <v>3</v>
      </c>
    </row>
    <row r="21" customFormat="false" ht="15.75" hidden="false" customHeight="true" outlineLevel="0" collapsed="false">
      <c r="A21" s="20" t="s">
        <v>193</v>
      </c>
      <c r="B21" s="21" t="n">
        <v>15</v>
      </c>
      <c r="C21" s="22" t="str">
        <f aca="false" t="array" ref="C21:C21">INDEX(Zones!$B$6:$B$35,MATCH(B21,Zones!$A$6:$A$35,0))</f>
        <v>Mine abandonnée</v>
      </c>
      <c r="D21" s="23" t="str">
        <f aca="false" t="array" ref="D21:D21">INDEX(Éléments!$B$5:$B$14,MATCH(B21,Éléments!$C$5:$C$14,1))</f>
        <v>Montagne</v>
      </c>
      <c r="E21" s="41" t="str">
        <f aca="false" t="array" ref="E21:E21">INDEX(Éléments!$A$5:$A$14,MATCH(B21,Éléments!$C$5:$C$14,1))</f>
        <v>Terre</v>
      </c>
      <c r="F21" s="25" t="s">
        <v>194</v>
      </c>
      <c r="G21" s="23" t="str">
        <f aca="false">IF(OR(H21="Boss",H21="Dragon"),"Oui","Non")</f>
        <v>Non</v>
      </c>
      <c r="H21" s="26" t="s">
        <v>138</v>
      </c>
      <c r="I21" s="26" t="s">
        <v>195</v>
      </c>
      <c r="J21" s="26" t="s">
        <v>173</v>
      </c>
      <c r="K21" s="27" t="n">
        <f aca="false">IF($F$3="",B21,$F$3)</f>
        <v>15</v>
      </c>
      <c r="L21" s="28" t="n">
        <f aca="false" t="array" ref="L21:L21">ROUND(Paramètres!$B$16*(Paramètres!$B$5+(1-Paramètres!$B$5)*((K21-Paramètres!$B$7)/(Paramètres!$B$8-Paramètres!$B$7))^Paramètres!$B$6)*INDEX(Rôles!$B$18:$B$22,AZ21)*INDEX(Rôles!$B$5:$B$13,AY21),0)</f>
        <v>155</v>
      </c>
      <c r="M21" s="29" t="n">
        <f aca="false" t="array" ref="M21:M21">ROUND(IF(J21="Physique",1,IF(J21="Mixte",Paramètres!$B$32,0))*Paramètres!$B$12*(Paramètres!$B$5+(1-Paramètres!$B$5)*((K21-Paramètres!$B$7)/(Paramètres!$B$8-Paramètres!$B$7))^Paramètres!$B$6)*INDEX(Rôles!$C$18:$C$22,AZ21)*INDEX(Rôles!$C$5:$C$13,AY21)/(Paramètres!$B$35*(1-Paramètres!$B$36)),0)</f>
        <v>0</v>
      </c>
      <c r="N21" s="29" t="n">
        <f aca="false" t="array" ref="N21:N21">ROUND(IF(J21="Magique",1,IF(J21="Mixte",Paramètres!$B$32,0))*Paramètres!$B$12*(Paramètres!$B$5+(1-Paramètres!$B$5)*((K21-Paramètres!$B$7)/(Paramètres!$B$8-Paramètres!$B$7))^Paramètres!$B$6)*INDEX(Rôles!$C$18:$C$22,AZ21)*INDEX(Rôles!$C$5:$C$13,AY21)/(Paramètres!$B$35*(1-Paramètres!$B$36)),0)</f>
        <v>60</v>
      </c>
      <c r="O21" s="29" t="n">
        <f aca="false" t="array" ref="O21:O21">ROUND(Paramètres!$B$18*(Paramètres!$B$5+(1-Paramètres!$B$5)*((K21-Paramètres!$B$7)/(Paramètres!$B$8-Paramètres!$B$7))^Paramètres!$B$6)*INDEX(Rôles!$D$5:$D$13,AY21)*INDEX(Rôles!$D$18:$D$22,AZ21),0)</f>
        <v>70</v>
      </c>
      <c r="P21" s="29" t="n">
        <f aca="false" t="array" ref="P21:P21">ROUND(Paramètres!$B$19*(Paramètres!$B$5+(1-Paramètres!$B$5)*((K21-Paramètres!$B$7)/(Paramètres!$B$8-Paramètres!$B$7))^Paramètres!$B$6)*INDEX(Rôles!$E$5:$E$13,AY21)*INDEX(Rôles!$D$18:$D$22,AZ21),0)</f>
        <v>23</v>
      </c>
      <c r="Q21" s="29" t="n">
        <f aca="false" t="array" ref="Q21:Q21">ROUND(Paramètres!$B$20*(Paramètres!$B$5+(1-Paramètres!$B$5)*((K21-Paramètres!$B$7)/(Paramètres!$B$8-Paramètres!$B$7))^Paramètres!$B$6)*INDEX(Rôles!$F$5:$F$13,AY21),0)</f>
        <v>15</v>
      </c>
      <c r="R21" s="29" t="n">
        <f aca="false">ROUND(Paramètres!$B$64*$AX21*INDEX(Rôles!$N$5:$N$13,$AY21)*INDEX(Rôles!$I$18:$I$22,$AZ21),0)</f>
        <v>13</v>
      </c>
      <c r="S21" s="30" t="n">
        <f aca="false" t="array" ref="S21:S21">MIN(1,ROUND(Paramètres!$B$21*INDEX(Rôles!$G$5:$G$13,AY21),3))</f>
        <v>0.9</v>
      </c>
      <c r="T21" s="30" t="n">
        <f aca="false" t="array" ref="T21:T21">MIN(Paramètres!$B$28,ROUND(Paramètres!$B$22*INDEX(Rôles!$H$5:$H$13,AY21),3))</f>
        <v>0.05</v>
      </c>
      <c r="U21" s="30" t="n">
        <f aca="false" t="array" ref="U21:U21">ROUND(Paramètres!$B$23*INDEX(Rôles!$I$5:$I$13,AY21),3)</f>
        <v>0.5</v>
      </c>
      <c r="V21" s="30" t="n">
        <f aca="false" t="array" ref="V21:V21">MIN(Paramètres!$B$29,ROUND(Paramètres!$B$24*INDEX(Rôles!$J$5:$J$13,AY21),3))</f>
        <v>0.065</v>
      </c>
      <c r="W21" s="30" t="n">
        <f aca="false" t="array" ref="W21:W21">MIN(Paramètres!$B$27,ROUND((Paramètres!$B$25+(Paramètres!$B$26-Paramètres!$B$25)*(K21-Paramètres!$B$7)/(Paramètres!$B$8-Paramètres!$B$7))*INDEX(Rôles!$K$5:$K$13,AY21)+INDEX(Rôles!$G$18:$G$22,AZ21),3))</f>
        <v>0.102</v>
      </c>
      <c r="X21" s="30" t="n">
        <f aca="false">ROUND(1-(1-P21/(P21+(Paramètres!$B$19*(Paramètres!$B$5+(1-Paramètres!$B$5)*((K21-Paramètres!$B$7)/(Paramètres!$B$8-Paramètres!$B$7))^Paramètres!$B$6)*(1-Paramètres!$B$30)/Paramètres!$B$30)))*(1-O21/(O21+(Paramètres!$B$18*(Paramètres!$B$5+(1-Paramètres!$B$5)*((K21-Paramètres!$B$7)/(Paramètres!$B$8-Paramètres!$B$7))^Paramètres!$B$6)*(1-Paramètres!$B$31)/Paramètres!$B$31))),3)</f>
        <v>0.241</v>
      </c>
      <c r="Y21" s="30" t="n">
        <f aca="false">ROUND(O21/(O21+(Paramètres!$B$18*(Paramètres!$B$5+(1-Paramètres!$B$5)*((K21-Paramètres!$B$7)/(Paramètres!$B$8-Paramètres!$B$7))^Paramètres!$B$6)*(1-Paramètres!$B$31)/Paramètres!$B$31)),3)</f>
        <v>0.163</v>
      </c>
      <c r="Z21" s="31" t="n">
        <f aca="false" t="array" ref="Z21:Z21">IF(E21="Neutre",0,MIN(1,INDEX(Rôles!$L$5:$L$13,AY21)+INDEX(Rôles!$F$18:$F$22,AZ21)))</f>
        <v>1</v>
      </c>
      <c r="AA21" s="32" t="n">
        <f aca="false" t="array" ref="AA21:AA21">ROUND(INDEX(Rôles!$C$18:$C$22,AZ21)*INDEX(Rôles!$C$5:$C$13,AY21),4)</f>
        <v>0.0188</v>
      </c>
      <c r="AB21" s="33" t="n">
        <f aca="false" t="array" ref="AB21:AB21">ROUND(INDEX(Rôles!$B$18:$B$22,AZ21)*INDEX(Rôles!$B$5:$B$13,AY21),2)</f>
        <v>1.4</v>
      </c>
      <c r="AC21" s="33" t="n">
        <f aca="false" t="array" ref="AC21:AC21">INDEX(Rôles!$E$18:$E$22,AZ21)</f>
        <v>1</v>
      </c>
      <c r="AD21" s="23" t="str">
        <f aca="false" t="array" ref="AD21:AD21">INDEX(Éléments!$F$5:$F$14,MATCH(E21,Éléments!$A$5:$A$14,0))</f>
        <v>Acide, Vent</v>
      </c>
      <c r="AE21" s="23" t="str">
        <f aca="false" t="array" ref="AE21:AE21">INDEX(Éléments!$G$5:$G$14,MATCH(E21,Éléments!$A$5:$A$14,0))</f>
        <v>Électricité</v>
      </c>
      <c r="AF21" s="34" t="s">
        <v>181</v>
      </c>
      <c r="AG21" s="35" t="n">
        <v>0.25</v>
      </c>
      <c r="AH21" s="34" t="s">
        <v>188</v>
      </c>
      <c r="AI21" s="35" t="n">
        <v>0.2</v>
      </c>
      <c r="AJ21" s="29" t="n">
        <f aca="false" t="array" ref="AJ21:AJ21">ROUND(ROUND(Paramètres!$B$49*K21^Paramètres!$B$50,0)*INDEX(Rôles!$E$18:$E$22,AZ21),0)</f>
        <v>177</v>
      </c>
      <c r="AK21" s="29" t="n">
        <f aca="false" t="array" ref="AK21:AK21">ROUND(ROUND(Paramètres!$B$53*K21^Paramètres!$B$54,0)*INDEX(Rôles!$E$18:$E$22,AZ21),0)</f>
        <v>116</v>
      </c>
      <c r="AL21" s="36" t="n">
        <f aca="false">INDEX(Butin!$B$7:$B$11,AZ21)</f>
        <v>0.05</v>
      </c>
      <c r="AM21" s="37" t="n">
        <f aca="false">INDEX(Butin!$E$7:$E$11,AZ21)</f>
        <v>0.05</v>
      </c>
      <c r="AN21" s="30" t="n">
        <f aca="false">IF($H21="Boss",INDEX(Butin!$E$28:$K$37,MATCH($B21,Éléments!$C$5:$C$14,1),1),IF($H21="Dragon",INDEX(Butin!$E$41:$K$50,MATCH($B21,Éléments!$C$5:$C$14,1),1),INDEX(Butin!$E$15:$K$24,MATCH($B21,Éléments!$C$5:$C$14,1),1)))</f>
        <v>0.65</v>
      </c>
      <c r="AO21" s="30" t="n">
        <f aca="false">IF($H21="Boss",INDEX(Butin!$E$28:$K$37,MATCH($B21,Éléments!$C$5:$C$14,1),2),IF($H21="Dragon",INDEX(Butin!$E$41:$K$50,MATCH($B21,Éléments!$C$5:$C$14,1),2),INDEX(Butin!$E$15:$K$24,MATCH($B21,Éléments!$C$5:$C$14,1),2)))</f>
        <v>0.28</v>
      </c>
      <c r="AP21" s="30" t="n">
        <f aca="false">IF($H21="Boss",INDEX(Butin!$E$28:$K$37,MATCH($B21,Éléments!$C$5:$C$14,1),3),IF($H21="Dragon",INDEX(Butin!$E$41:$K$50,MATCH($B21,Éléments!$C$5:$C$14,1),3),INDEX(Butin!$E$15:$K$24,MATCH($B21,Éléments!$C$5:$C$14,1),3)))</f>
        <v>0.07</v>
      </c>
      <c r="AQ21" s="30" t="n">
        <f aca="false">IF($H21="Boss",INDEX(Butin!$E$28:$K$37,MATCH($B21,Éléments!$C$5:$C$14,1),4),IF($H21="Dragon",INDEX(Butin!$E$41:$K$50,MATCH($B21,Éléments!$C$5:$C$14,1),4),INDEX(Butin!$E$15:$K$24,MATCH($B21,Éléments!$C$5:$C$14,1),4)))</f>
        <v>0</v>
      </c>
      <c r="AR21" s="30" t="n">
        <f aca="false">IF($H21="Boss",INDEX(Butin!$E$28:$K$37,MATCH($B21,Éléments!$C$5:$C$14,1),5),IF($H21="Dragon",INDEX(Butin!$E$41:$K$50,MATCH($B21,Éléments!$C$5:$C$14,1),5),INDEX(Butin!$E$15:$K$24,MATCH($B21,Éléments!$C$5:$C$14,1),5)))</f>
        <v>0</v>
      </c>
      <c r="AS21" s="30" t="n">
        <f aca="false">IF($H21="Boss",INDEX(Butin!$E$28:$K$37,MATCH($B21,Éléments!$C$5:$C$14,1),6),IF($H21="Dragon",INDEX(Butin!$E$41:$K$50,MATCH($B21,Éléments!$C$5:$C$14,1),6),INDEX(Butin!$E$15:$K$24,MATCH($B21,Éléments!$C$5:$C$14,1),6)))</f>
        <v>0</v>
      </c>
      <c r="AT21" s="30" t="n">
        <f aca="false">IF($H21="Boss",INDEX(Butin!$E$28:$K$37,MATCH($B21,Éléments!$C$5:$C$14,1),7),IF($H21="Dragon",INDEX(Butin!$E$41:$K$50,MATCH($B21,Éléments!$C$5:$C$14,1),7),INDEX(Butin!$E$15:$K$24,MATCH($B21,Éléments!$C$5:$C$14,1),7)))</f>
        <v>0</v>
      </c>
      <c r="AU21" s="38" t="str">
        <f aca="false">IF(AT21=0,"—",INDEX(Butin!$D$54:$D$63,MATCH($B21,Éléments!$C$5:$C$14,1))&amp;" · "&amp;INDEX(Butin!$F$54:$F$63,MATCH($B21,Éléments!$C$5:$C$14,1))&amp;" · "&amp;INDEX(Butin!$H$54:$H$63,MATCH($B21,Éléments!$C$5:$C$14,1)))</f>
        <v>—</v>
      </c>
      <c r="AV21" s="20" t="s">
        <v>196</v>
      </c>
      <c r="AW21" s="39" t="str">
        <f aca="false">B21&amp;IF(G21="Oui","|B","|N")</f>
        <v>15|N</v>
      </c>
      <c r="AX21" s="40" t="n">
        <f aca="false">(Paramètres!$B$5+(1-Paramètres!$B$5)*((K21-Paramètres!$B$7)/(Paramètres!$B$8-Paramètres!$B$7))^Paramètres!$B$6)</f>
        <v>0.140847925475674</v>
      </c>
      <c r="AY21" s="39" t="n">
        <f aca="false">MATCH(I21,Rôles!$A$5:$A$13,0)</f>
        <v>5</v>
      </c>
      <c r="AZ21" s="39" t="n">
        <f aca="false">MATCH(H21,Rôles!$A$18:$A$22,0)</f>
        <v>2</v>
      </c>
    </row>
    <row r="22" customFormat="false" ht="15.75" hidden="false" customHeight="true" outlineLevel="0" collapsed="false">
      <c r="A22" s="20" t="s">
        <v>197</v>
      </c>
      <c r="B22" s="21" t="n">
        <v>19</v>
      </c>
      <c r="C22" s="22" t="str">
        <f aca="false" t="array" ref="C22:C22">INDEX(Zones!$B$6:$B$35,MATCH(B22,Zones!$A$6:$A$35,0))</f>
        <v>Tannière du dragon (19)</v>
      </c>
      <c r="D22" s="23" t="str">
        <f aca="false" t="array" ref="D22:D22">INDEX(Éléments!$B$5:$B$14,MATCH(B22,Éléments!$C$5:$C$14,1))</f>
        <v>Montagne</v>
      </c>
      <c r="E22" s="41" t="str">
        <f aca="false" t="array" ref="E22:E22">INDEX(Éléments!$A$5:$A$14,MATCH(B22,Éléments!$C$5:$C$14,1))</f>
        <v>Terre</v>
      </c>
      <c r="F22" s="25" t="s">
        <v>198</v>
      </c>
      <c r="G22" s="23" t="str">
        <f aca="false">IF(OR(H22="Boss",H22="Dragon"),"Oui","Non")</f>
        <v>Oui</v>
      </c>
      <c r="H22" s="26" t="s">
        <v>156</v>
      </c>
      <c r="I22" s="26" t="s">
        <v>156</v>
      </c>
      <c r="J22" s="26" t="s">
        <v>157</v>
      </c>
      <c r="K22" s="27" t="n">
        <f aca="false">IF($F$3="",B22,$F$3)</f>
        <v>19</v>
      </c>
      <c r="L22" s="28" t="n">
        <f aca="false" t="array" ref="L22:L22">ROUND(Paramètres!$B$16*(Paramètres!$B$5+(1-Paramètres!$B$5)*((K22-Paramètres!$B$7)/(Paramètres!$B$8-Paramètres!$B$7))^Paramètres!$B$6)*INDEX(Rôles!$B$18:$B$22,AZ22)*INDEX(Rôles!$B$5:$B$13,AY22),0)</f>
        <v>2722</v>
      </c>
      <c r="M22" s="29" t="n">
        <f aca="false" t="array" ref="M22:M22">ROUND(IF(J22="Physique",1,IF(J22="Mixte",Paramètres!$B$32,0))*Paramètres!$B$12*(Paramètres!$B$5+(1-Paramètres!$B$5)*((K22-Paramètres!$B$7)/(Paramètres!$B$8-Paramètres!$B$7))^Paramètres!$B$6)*INDEX(Rôles!$C$18:$C$22,AZ22)*INDEX(Rôles!$C$5:$C$13,AY22)/(Paramètres!$B$35*(1-Paramètres!$B$36)),0)</f>
        <v>89</v>
      </c>
      <c r="N22" s="29" t="n">
        <f aca="false" t="array" ref="N22:N22">ROUND(IF(J22="Magique",1,IF(J22="Mixte",Paramètres!$B$32,0))*Paramètres!$B$12*(Paramètres!$B$5+(1-Paramètres!$B$5)*((K22-Paramètres!$B$7)/(Paramètres!$B$8-Paramètres!$B$7))^Paramètres!$B$6)*INDEX(Rôles!$C$18:$C$22,AZ22)*INDEX(Rôles!$C$5:$C$13,AY22)/(Paramètres!$B$35*(1-Paramètres!$B$36)),0)</f>
        <v>89</v>
      </c>
      <c r="O22" s="29" t="n">
        <f aca="false" t="array" ref="O22:O22">ROUND(Paramètres!$B$18*(Paramètres!$B$5+(1-Paramètres!$B$5)*((K22-Paramètres!$B$7)/(Paramètres!$B$8-Paramètres!$B$7))^Paramètres!$B$6)*INDEX(Rôles!$D$5:$D$13,AY22)*INDEX(Rôles!$D$18:$D$22,AZ22),0)</f>
        <v>131</v>
      </c>
      <c r="P22" s="29" t="n">
        <f aca="false" t="array" ref="P22:P22">ROUND(Paramètres!$B$19*(Paramètres!$B$5+(1-Paramètres!$B$5)*((K22-Paramètres!$B$7)/(Paramètres!$B$8-Paramètres!$B$7))^Paramètres!$B$6)*INDEX(Rôles!$E$5:$E$13,AY22)*INDEX(Rôles!$D$18:$D$22,AZ22),0)</f>
        <v>126</v>
      </c>
      <c r="Q22" s="29" t="n">
        <f aca="false" t="array" ref="Q22:Q22">ROUND(Paramètres!$B$20*(Paramètres!$B$5+(1-Paramètres!$B$5)*((K22-Paramètres!$B$7)/(Paramètres!$B$8-Paramètres!$B$7))^Paramètres!$B$6)*INDEX(Rôles!$F$5:$F$13,AY22),0)</f>
        <v>17</v>
      </c>
      <c r="R22" s="29" t="n">
        <f aca="false">ROUND(Paramètres!$B$64*$AX22*INDEX(Rôles!$N$5:$N$13,$AY22)*INDEX(Rôles!$I$18:$I$22,$AZ22),0)</f>
        <v>14</v>
      </c>
      <c r="S22" s="30" t="n">
        <f aca="false" t="array" ref="S22:S22">MIN(1,ROUND(Paramètres!$B$21*INDEX(Rôles!$G$5:$G$13,AY22),3))</f>
        <v>0.9</v>
      </c>
      <c r="T22" s="30" t="n">
        <f aca="false" t="array" ref="T22:T22">MIN(Paramètres!$B$28,ROUND(Paramètres!$B$22*INDEX(Rôles!$H$5:$H$13,AY22),3))</f>
        <v>0.05</v>
      </c>
      <c r="U22" s="30" t="n">
        <f aca="false" t="array" ref="U22:U22">ROUND(Paramètres!$B$23*INDEX(Rôles!$I$5:$I$13,AY22),3)</f>
        <v>0.5</v>
      </c>
      <c r="V22" s="30" t="n">
        <f aca="false" t="array" ref="V22:V22">MIN(Paramètres!$B$29,ROUND(Paramètres!$B$24*INDEX(Rôles!$J$5:$J$13,AY22),3))</f>
        <v>0.05</v>
      </c>
      <c r="W22" s="30" t="n">
        <f aca="false" t="array" ref="W22:W22">MIN(Paramètres!$B$27,ROUND((Paramètres!$B$25+(Paramètres!$B$26-Paramètres!$B$25)*(K22-Paramètres!$B$7)/(Paramètres!$B$8-Paramètres!$B$7))*INDEX(Rôles!$K$5:$K$13,AY22)+INDEX(Rôles!$G$18:$G$22,AZ22),3))</f>
        <v>0.324</v>
      </c>
      <c r="X22" s="30" t="n">
        <f aca="false">ROUND(1-(1-P22/(P22+(Paramètres!$B$19*(Paramètres!$B$5+(1-Paramètres!$B$5)*((K22-Paramètres!$B$7)/(Paramètres!$B$8-Paramètres!$B$7))^Paramètres!$B$6)*(1-Paramètres!$B$30)/Paramètres!$B$30)))*(1-O22/(O22+(Paramètres!$B$18*(Paramètres!$B$5+(1-Paramètres!$B$5)*((K22-Paramètres!$B$7)/(Paramètres!$B$8-Paramètres!$B$7))^Paramètres!$B$6)*(1-Paramètres!$B$31)/Paramètres!$B$31))),3)</f>
        <v>0.47</v>
      </c>
      <c r="Y22" s="30" t="n">
        <f aca="false">ROUND(O22/(O22+(Paramètres!$B$18*(Paramètres!$B$5+(1-Paramètres!$B$5)*((K22-Paramètres!$B$7)/(Paramètres!$B$8-Paramètres!$B$7))^Paramètres!$B$6)*(1-Paramètres!$B$31)/Paramètres!$B$31)),3)</f>
        <v>0.229</v>
      </c>
      <c r="Z22" s="31" t="n">
        <f aca="false" t="array" ref="Z22:Z22">IF(E22="Neutre",0,MIN(1,INDEX(Rôles!$L$5:$L$13,AY22)+INDEX(Rôles!$F$18:$F$22,AZ22)))</f>
        <v>1</v>
      </c>
      <c r="AA22" s="32" t="n">
        <f aca="false" t="array" ref="AA22:AA22">ROUND(INDEX(Rôles!$C$18:$C$22,AZ22)*INDEX(Rôles!$C$5:$C$13,AY22),4)</f>
        <v>0.03</v>
      </c>
      <c r="AB22" s="33" t="n">
        <f aca="false" t="array" ref="AB22:AB22">ROUND(INDEX(Rôles!$B$18:$B$22,AZ22)*INDEX(Rôles!$B$5:$B$13,AY22),2)</f>
        <v>20</v>
      </c>
      <c r="AC22" s="33" t="n">
        <f aca="false" t="array" ref="AC22:AC22">INDEX(Rôles!$E$18:$E$22,AZ22)</f>
        <v>12</v>
      </c>
      <c r="AD22" s="23" t="str">
        <f aca="false" t="array" ref="AD22:AD22">INDEX(Éléments!$F$5:$F$14,MATCH(E22,Éléments!$A$5:$A$14,0))</f>
        <v>Acide, Vent</v>
      </c>
      <c r="AE22" s="23" t="str">
        <f aca="false" t="array" ref="AE22:AE22">INDEX(Éléments!$G$5:$G$14,MATCH(E22,Éléments!$A$5:$A$14,0))</f>
        <v>Électricité</v>
      </c>
      <c r="AF22" s="34" t="s">
        <v>181</v>
      </c>
      <c r="AG22" s="35" t="n">
        <v>0.25</v>
      </c>
      <c r="AH22" s="34" t="s">
        <v>188</v>
      </c>
      <c r="AI22" s="35" t="n">
        <v>0.2</v>
      </c>
      <c r="AJ22" s="29" t="n">
        <f aca="false" t="array" ref="AJ22:AJ22">ROUND(ROUND(Paramètres!$B$49*K22^Paramètres!$B$50,0)*INDEX(Rôles!$E$18:$E$22,AZ22),0)</f>
        <v>2856</v>
      </c>
      <c r="AK22" s="29" t="n">
        <f aca="false" t="array" ref="AK22:AK22">ROUND(ROUND(Paramètres!$B$53*K22^Paramètres!$B$54,0)*INDEX(Rôles!$E$18:$E$22,AZ22),0)</f>
        <v>1920</v>
      </c>
      <c r="AL22" s="36" t="n">
        <f aca="false">INDEX(Butin!$B$7:$B$11,AZ22)</f>
        <v>1</v>
      </c>
      <c r="AM22" s="37" t="n">
        <f aca="false">INDEX(Butin!$E$7:$E$11,AZ22)</f>
        <v>2.5</v>
      </c>
      <c r="AN22" s="30" t="n">
        <f aca="false">IF($H22="Boss",INDEX(Butin!$E$28:$K$37,MATCH($B22,Éléments!$C$5:$C$14,1),1),IF($H22="Dragon",INDEX(Butin!$E$41:$K$50,MATCH($B22,Éléments!$C$5:$C$14,1),1),INDEX(Butin!$E$15:$K$24,MATCH($B22,Éléments!$C$5:$C$14,1),1)))</f>
        <v>0.2</v>
      </c>
      <c r="AO22" s="30" t="n">
        <f aca="false">IF($H22="Boss",INDEX(Butin!$E$28:$K$37,MATCH($B22,Éléments!$C$5:$C$14,1),2),IF($H22="Dragon",INDEX(Butin!$E$41:$K$50,MATCH($B22,Éléments!$C$5:$C$14,1),2),INDEX(Butin!$E$15:$K$24,MATCH($B22,Éléments!$C$5:$C$14,1),2)))</f>
        <v>0.36</v>
      </c>
      <c r="AP22" s="30" t="n">
        <f aca="false">IF($H22="Boss",INDEX(Butin!$E$28:$K$37,MATCH($B22,Éléments!$C$5:$C$14,1),3),IF($H22="Dragon",INDEX(Butin!$E$41:$K$50,MATCH($B22,Éléments!$C$5:$C$14,1),3),INDEX(Butin!$E$15:$K$24,MATCH($B22,Éléments!$C$5:$C$14,1),3)))</f>
        <v>0.28</v>
      </c>
      <c r="AQ22" s="30" t="n">
        <f aca="false">IF($H22="Boss",INDEX(Butin!$E$28:$K$37,MATCH($B22,Éléments!$C$5:$C$14,1),4),IF($H22="Dragon",INDEX(Butin!$E$41:$K$50,MATCH($B22,Éléments!$C$5:$C$14,1),4),INDEX(Butin!$E$15:$K$24,MATCH($B22,Éléments!$C$5:$C$14,1),4)))</f>
        <v>0.12</v>
      </c>
      <c r="AR22" s="30" t="n">
        <f aca="false">IF($H22="Boss",INDEX(Butin!$E$28:$K$37,MATCH($B22,Éléments!$C$5:$C$14,1),5),IF($H22="Dragon",INDEX(Butin!$E$41:$K$50,MATCH($B22,Éléments!$C$5:$C$14,1),5),INDEX(Butin!$E$15:$K$24,MATCH($B22,Éléments!$C$5:$C$14,1),5)))</f>
        <v>0.01</v>
      </c>
      <c r="AS22" s="30" t="n">
        <f aca="false">IF($H22="Boss",INDEX(Butin!$E$28:$K$37,MATCH($B22,Éléments!$C$5:$C$14,1),6),IF($H22="Dragon",INDEX(Butin!$E$41:$K$50,MATCH($B22,Éléments!$C$5:$C$14,1),6),INDEX(Butin!$E$15:$K$24,MATCH($B22,Éléments!$C$5:$C$14,1),6)))</f>
        <v>0</v>
      </c>
      <c r="AT22" s="30" t="n">
        <f aca="false">IF($H22="Boss",INDEX(Butin!$E$28:$K$37,MATCH($B22,Éléments!$C$5:$C$14,1),7),IF($H22="Dragon",INDEX(Butin!$E$41:$K$50,MATCH($B22,Éléments!$C$5:$C$14,1),7),INDEX(Butin!$E$15:$K$24,MATCH($B22,Éléments!$C$5:$C$14,1),7)))</f>
        <v>0.03</v>
      </c>
      <c r="AU22" s="38" t="str">
        <f aca="false">IF(AT22=0,"—",INDEX(Butin!$D$54:$D$63,MATCH($B22,Éléments!$C$5:$C$14,1))&amp;" · "&amp;INDEX(Butin!$F$54:$F$63,MATCH($B22,Éléments!$C$5:$C$14,1))&amp;" · "&amp;INDEX(Butin!$H$54:$H$63,MATCH($B22,Éléments!$C$5:$C$14,1)))</f>
        <v>Plastron du Titan de Pierre · Sceau de la Terre Ancestrale · Pendentif de la Sentinelle de Pierre</v>
      </c>
      <c r="AV22" s="20" t="s">
        <v>198</v>
      </c>
      <c r="AW22" s="39" t="str">
        <f aca="false">B22&amp;IF(G22="Oui","|B","|N")</f>
        <v>19|B</v>
      </c>
      <c r="AX22" s="40" t="n">
        <f aca="false">(Paramètres!$B$5+(1-Paramètres!$B$5)*((K22-Paramètres!$B$7)/(Paramètres!$B$8-Paramètres!$B$7))^Paramètres!$B$6)</f>
        <v>0.172825453944077</v>
      </c>
      <c r="AY22" s="39" t="n">
        <f aca="false">MATCH(I22,Rôles!$A$5:$A$13,0)</f>
        <v>9</v>
      </c>
      <c r="AZ22" s="39" t="n">
        <f aca="false">MATCH(H22,Rôles!$A$18:$A$22,0)</f>
        <v>5</v>
      </c>
    </row>
    <row r="23" customFormat="false" ht="15.75" hidden="false" customHeight="true" outlineLevel="0" collapsed="false">
      <c r="A23" s="20" t="s">
        <v>199</v>
      </c>
      <c r="B23" s="21" t="n">
        <v>20</v>
      </c>
      <c r="C23" s="22" t="str">
        <f aca="false" t="array" ref="C23:C23">INDEX(Zones!$B$6:$B$35,MATCH(B23,Zones!$A$6:$A$35,0))</f>
        <v>Grotte profonde</v>
      </c>
      <c r="D23" s="23" t="str">
        <f aca="false" t="array" ref="D23:D23">INDEX(Éléments!$B$5:$B$14,MATCH(B23,Éléments!$C$5:$C$14,1))</f>
        <v>Montagne</v>
      </c>
      <c r="E23" s="41" t="str">
        <f aca="false" t="array" ref="E23:E23">INDEX(Éléments!$A$5:$A$14,MATCH(B23,Éléments!$C$5:$C$14,1))</f>
        <v>Terre</v>
      </c>
      <c r="F23" s="25" t="s">
        <v>200</v>
      </c>
      <c r="G23" s="23" t="str">
        <f aca="false">IF(OR(H23="Boss",H23="Dragon"),"Oui","Non")</f>
        <v>Oui</v>
      </c>
      <c r="H23" s="26" t="s">
        <v>152</v>
      </c>
      <c r="I23" s="26" t="s">
        <v>149</v>
      </c>
      <c r="J23" s="26" t="s">
        <v>140</v>
      </c>
      <c r="K23" s="27" t="n">
        <f aca="false">IF($F$3="",B23,$F$3)</f>
        <v>20</v>
      </c>
      <c r="L23" s="28" t="n">
        <f aca="false" t="array" ref="L23:L23">ROUND(Paramètres!$B$16*(Paramètres!$B$5+(1-Paramètres!$B$5)*((K23-Paramètres!$B$7)/(Paramètres!$B$8-Paramètres!$B$7))^Paramètres!$B$6)*INDEX(Rôles!$B$18:$B$22,AZ23)*INDEX(Rôles!$B$5:$B$13,AY23),0)</f>
        <v>2567</v>
      </c>
      <c r="M23" s="29" t="n">
        <f aca="false" t="array" ref="M23:M23">ROUND(IF(J23="Physique",1,IF(J23="Mixte",Paramètres!$B$32,0))*Paramètres!$B$12*(Paramètres!$B$5+(1-Paramètres!$B$5)*((K23-Paramètres!$B$7)/(Paramètres!$B$8-Paramètres!$B$7))^Paramètres!$B$6)*INDEX(Rôles!$C$18:$C$22,AZ23)*INDEX(Rôles!$C$5:$C$13,AY23)/(Paramètres!$B$35*(1-Paramètres!$B$36)),0)</f>
        <v>118</v>
      </c>
      <c r="N23" s="29" t="n">
        <f aca="false" t="array" ref="N23:N23">ROUND(IF(J23="Magique",1,IF(J23="Mixte",Paramètres!$B$32,0))*Paramètres!$B$12*(Paramètres!$B$5+(1-Paramètres!$B$5)*((K23-Paramètres!$B$7)/(Paramètres!$B$8-Paramètres!$B$7))^Paramètres!$B$6)*INDEX(Rôles!$C$18:$C$22,AZ23)*INDEX(Rôles!$C$5:$C$13,AY23)/(Paramètres!$B$35*(1-Paramètres!$B$36)),0)</f>
        <v>0</v>
      </c>
      <c r="O23" s="29" t="n">
        <f aca="false" t="array" ref="O23:O23">ROUND(Paramètres!$B$18*(Paramètres!$B$5+(1-Paramètres!$B$5)*((K23-Paramètres!$B$7)/(Paramètres!$B$8-Paramètres!$B$7))^Paramètres!$B$6)*INDEX(Rôles!$D$5:$D$13,AY23)*INDEX(Rôles!$D$18:$D$22,AZ23),0)</f>
        <v>127</v>
      </c>
      <c r="P23" s="29" t="n">
        <f aca="false" t="array" ref="P23:P23">ROUND(Paramètres!$B$19*(Paramètres!$B$5+(1-Paramètres!$B$5)*((K23-Paramètres!$B$7)/(Paramètres!$B$8-Paramètres!$B$7))^Paramètres!$B$6)*INDEX(Rôles!$E$5:$E$13,AY23)*INDEX(Rôles!$D$18:$D$22,AZ23),0)</f>
        <v>141</v>
      </c>
      <c r="Q23" s="29" t="n">
        <f aca="false" t="array" ref="Q23:Q23">ROUND(Paramètres!$B$20*(Paramètres!$B$5+(1-Paramètres!$B$5)*((K23-Paramètres!$B$7)/(Paramètres!$B$8-Paramètres!$B$7))^Paramètres!$B$6)*INDEX(Rôles!$F$5:$F$13,AY23),0)</f>
        <v>13</v>
      </c>
      <c r="R23" s="29" t="n">
        <f aca="false">ROUND(Paramètres!$B$64*$AX23*INDEX(Rôles!$N$5:$N$13,$AY23)*INDEX(Rôles!$I$18:$I$22,$AZ23),0)</f>
        <v>15</v>
      </c>
      <c r="S23" s="30" t="n">
        <f aca="false" t="array" ref="S23:S23">MIN(1,ROUND(Paramètres!$B$21*INDEX(Rôles!$G$5:$G$13,AY23),3))</f>
        <v>0.765</v>
      </c>
      <c r="T23" s="30" t="n">
        <f aca="false" t="array" ref="T23:T23">MIN(Paramètres!$B$28,ROUND(Paramètres!$B$22*INDEX(Rôles!$H$5:$H$13,AY23),3))</f>
        <v>0.03</v>
      </c>
      <c r="U23" s="30" t="n">
        <f aca="false" t="array" ref="U23:U23">ROUND(Paramètres!$B$23*INDEX(Rôles!$I$5:$I$13,AY23),3)</f>
        <v>0.5</v>
      </c>
      <c r="V23" s="30" t="n">
        <f aca="false" t="array" ref="V23:V23">MIN(Paramètres!$B$29,ROUND(Paramètres!$B$24*INDEX(Rôles!$J$5:$J$13,AY23),3))</f>
        <v>0.04</v>
      </c>
      <c r="W23" s="30" t="n">
        <f aca="false" t="array" ref="W23:W23">MIN(Paramètres!$B$27,ROUND((Paramètres!$B$25+(Paramètres!$B$26-Paramètres!$B$25)*(K23-Paramètres!$B$7)/(Paramètres!$B$8-Paramètres!$B$7))*INDEX(Rôles!$K$5:$K$13,AY23)+INDEX(Rôles!$G$18:$G$22,AZ23),3))</f>
        <v>0.318</v>
      </c>
      <c r="X23" s="30" t="n">
        <f aca="false">ROUND(1-(1-P23/(P23+(Paramètres!$B$19*(Paramètres!$B$5+(1-Paramètres!$B$5)*((K23-Paramètres!$B$7)/(Paramètres!$B$8-Paramètres!$B$7))^Paramètres!$B$6)*(1-Paramètres!$B$30)/Paramètres!$B$30)))*(1-O23/(O23+(Paramètres!$B$18*(Paramètres!$B$5+(1-Paramètres!$B$5)*((K23-Paramètres!$B$7)/(Paramètres!$B$8-Paramètres!$B$7))^Paramètres!$B$6)*(1-Paramètres!$B$31)/Paramètres!$B$31))),3)</f>
        <v>0.472</v>
      </c>
      <c r="Y23" s="30" t="n">
        <f aca="false">ROUND(O23/(O23+(Paramètres!$B$18*(Paramètres!$B$5+(1-Paramètres!$B$5)*((K23-Paramètres!$B$7)/(Paramètres!$B$8-Paramètres!$B$7))^Paramètres!$B$6)*(1-Paramètres!$B$31)/Paramètres!$B$31)),3)</f>
        <v>0.216</v>
      </c>
      <c r="Z23" s="31" t="n">
        <f aca="false" t="array" ref="Z23:Z23">IF(E23="Neutre",0,MIN(1,INDEX(Rôles!$L$5:$L$13,AY23)+INDEX(Rôles!$F$18:$F$22,AZ23)))</f>
        <v>0.6</v>
      </c>
      <c r="AA23" s="32" t="n">
        <f aca="false" t="array" ref="AA23:AA23">ROUND(INDEX(Rôles!$C$18:$C$22,AZ23)*INDEX(Rôles!$C$5:$C$13,AY23),4)</f>
        <v>0.0285</v>
      </c>
      <c r="AB23" s="33" t="n">
        <f aca="false" t="array" ref="AB23:AB23">ROUND(INDEX(Rôles!$B$18:$B$22,AZ23)*INDEX(Rôles!$B$5:$B$13,AY23),2)</f>
        <v>18</v>
      </c>
      <c r="AC23" s="33" t="n">
        <f aca="false" t="array" ref="AC23:AC23">INDEX(Rôles!$E$18:$E$22,AZ23)</f>
        <v>8</v>
      </c>
      <c r="AD23" s="23" t="str">
        <f aca="false" t="array" ref="AD23:AD23">INDEX(Éléments!$F$5:$F$14,MATCH(E23,Éléments!$A$5:$A$14,0))</f>
        <v>Acide, Vent</v>
      </c>
      <c r="AE23" s="23" t="str">
        <f aca="false" t="array" ref="AE23:AE23">INDEX(Éléments!$G$5:$G$14,MATCH(E23,Éléments!$A$5:$A$14,0))</f>
        <v>Électricité</v>
      </c>
      <c r="AF23" s="34" t="s">
        <v>181</v>
      </c>
      <c r="AG23" s="35" t="n">
        <v>0.35</v>
      </c>
      <c r="AH23" s="34" t="s">
        <v>142</v>
      </c>
      <c r="AI23" s="35" t="n">
        <v>0.25</v>
      </c>
      <c r="AJ23" s="29" t="n">
        <f aca="false" t="array" ref="AJ23:AJ23">ROUND(ROUND(Paramètres!$B$49*K23^Paramètres!$B$50,0)*INDEX(Rôles!$E$18:$E$22,AZ23),0)</f>
        <v>2032</v>
      </c>
      <c r="AK23" s="29" t="n">
        <f aca="false" t="array" ref="AK23:AK23">ROUND(ROUND(Paramètres!$B$53*K23^Paramètres!$B$54,0)*INDEX(Rôles!$E$18:$E$22,AZ23),0)</f>
        <v>1368</v>
      </c>
      <c r="AL23" s="36" t="n">
        <f aca="false">INDEX(Butin!$B$7:$B$11,AZ23)</f>
        <v>1</v>
      </c>
      <c r="AM23" s="37" t="n">
        <f aca="false">INDEX(Butin!$E$7:$E$11,AZ23)</f>
        <v>1.4</v>
      </c>
      <c r="AN23" s="30" t="n">
        <f aca="false">IF($H23="Boss",INDEX(Butin!$E$28:$K$37,MATCH($B23,Éléments!$C$5:$C$14,1),1),IF($H23="Dragon",INDEX(Butin!$E$41:$K$50,MATCH($B23,Éléments!$C$5:$C$14,1),1),INDEX(Butin!$E$15:$K$24,MATCH($B23,Éléments!$C$5:$C$14,1),1)))</f>
        <v>0.28</v>
      </c>
      <c r="AO23" s="30" t="n">
        <f aca="false">IF($H23="Boss",INDEX(Butin!$E$28:$K$37,MATCH($B23,Éléments!$C$5:$C$14,1),2),IF($H23="Dragon",INDEX(Butin!$E$41:$K$50,MATCH($B23,Éléments!$C$5:$C$14,1),2),INDEX(Butin!$E$15:$K$24,MATCH($B23,Éléments!$C$5:$C$14,1),2)))</f>
        <v>0.38</v>
      </c>
      <c r="AP23" s="30" t="n">
        <f aca="false">IF($H23="Boss",INDEX(Butin!$E$28:$K$37,MATCH($B23,Éléments!$C$5:$C$14,1),3),IF($H23="Dragon",INDEX(Butin!$E$41:$K$50,MATCH($B23,Éléments!$C$5:$C$14,1),3),INDEX(Butin!$E$15:$K$24,MATCH($B23,Éléments!$C$5:$C$14,1),3)))</f>
        <v>0.24</v>
      </c>
      <c r="AQ23" s="30" t="n">
        <f aca="false">IF($H23="Boss",INDEX(Butin!$E$28:$K$37,MATCH($B23,Éléments!$C$5:$C$14,1),4),IF($H23="Dragon",INDEX(Butin!$E$41:$K$50,MATCH($B23,Éléments!$C$5:$C$14,1),4),INDEX(Butin!$E$15:$K$24,MATCH($B23,Éléments!$C$5:$C$14,1),4)))</f>
        <v>0.08</v>
      </c>
      <c r="AR23" s="30" t="n">
        <f aca="false">IF($H23="Boss",INDEX(Butin!$E$28:$K$37,MATCH($B23,Éléments!$C$5:$C$14,1),5),IF($H23="Dragon",INDEX(Butin!$E$41:$K$50,MATCH($B23,Éléments!$C$5:$C$14,1),5),INDEX(Butin!$E$15:$K$24,MATCH($B23,Éléments!$C$5:$C$14,1),5)))</f>
        <v>0</v>
      </c>
      <c r="AS23" s="30" t="n">
        <f aca="false">IF($H23="Boss",INDEX(Butin!$E$28:$K$37,MATCH($B23,Éléments!$C$5:$C$14,1),6),IF($H23="Dragon",INDEX(Butin!$E$41:$K$50,MATCH($B23,Éléments!$C$5:$C$14,1),6),INDEX(Butin!$E$15:$K$24,MATCH($B23,Éléments!$C$5:$C$14,1),6)))</f>
        <v>0</v>
      </c>
      <c r="AT23" s="30" t="n">
        <f aca="false">IF($H23="Boss",INDEX(Butin!$E$28:$K$37,MATCH($B23,Éléments!$C$5:$C$14,1),7),IF($H23="Dragon",INDEX(Butin!$E$41:$K$50,MATCH($B23,Éléments!$C$5:$C$14,1),7),INDEX(Butin!$E$15:$K$24,MATCH($B23,Éléments!$C$5:$C$14,1),7)))</f>
        <v>0.02</v>
      </c>
      <c r="AU23" s="38" t="str">
        <f aca="false">IF(AT23=0,"—",INDEX(Butin!$D$54:$D$63,MATCH($B23,Éléments!$C$5:$C$14,1))&amp;" · "&amp;INDEX(Butin!$F$54:$F$63,MATCH($B23,Éléments!$C$5:$C$14,1))&amp;" · "&amp;INDEX(Butin!$H$54:$H$63,MATCH($B23,Éléments!$C$5:$C$14,1)))</f>
        <v>Plastron du Titan de Pierre · Sceau de la Terre Ancestrale · Pendentif de la Sentinelle de Pierre</v>
      </c>
      <c r="AV23" s="20" t="s">
        <v>200</v>
      </c>
      <c r="AW23" s="39" t="str">
        <f aca="false">B23&amp;IF(G23="Oui","|B","|N")</f>
        <v>20|B</v>
      </c>
      <c r="AX23" s="40" t="n">
        <f aca="false">(Paramètres!$B$5+(1-Paramètres!$B$5)*((K23-Paramètres!$B$7)/(Paramètres!$B$8-Paramètres!$B$7))^Paramètres!$B$6)</f>
        <v>0.181058650851904</v>
      </c>
      <c r="AY23" s="39" t="n">
        <f aca="false">MATCH(I23,Rôles!$A$5:$A$13,0)</f>
        <v>2</v>
      </c>
      <c r="AZ23" s="39" t="n">
        <f aca="false">MATCH(H23,Rôles!$A$18:$A$22,0)</f>
        <v>4</v>
      </c>
    </row>
    <row r="24" customFormat="false" ht="15.75" hidden="false" customHeight="true" outlineLevel="0" collapsed="false">
      <c r="A24" s="20" t="s">
        <v>201</v>
      </c>
      <c r="B24" s="21" t="n">
        <v>20</v>
      </c>
      <c r="C24" s="22" t="str">
        <f aca="false" t="array" ref="C24:C24">INDEX(Zones!$B$6:$B$35,MATCH(B24,Zones!$A$6:$A$35,0))</f>
        <v>Grotte profonde</v>
      </c>
      <c r="D24" s="23" t="str">
        <f aca="false" t="array" ref="D24:D24">INDEX(Éléments!$B$5:$B$14,MATCH(B24,Éléments!$C$5:$C$14,1))</f>
        <v>Montagne</v>
      </c>
      <c r="E24" s="41" t="str">
        <f aca="false" t="array" ref="E24:E24">INDEX(Éléments!$A$5:$A$14,MATCH(B24,Éléments!$C$5:$C$14,1))</f>
        <v>Terre</v>
      </c>
      <c r="F24" s="25" t="s">
        <v>202</v>
      </c>
      <c r="G24" s="23" t="str">
        <f aca="false">IF(OR(H24="Boss",H24="Dragon"),"Oui","Non")</f>
        <v>Non</v>
      </c>
      <c r="H24" s="26" t="s">
        <v>138</v>
      </c>
      <c r="I24" s="26" t="s">
        <v>160</v>
      </c>
      <c r="J24" s="26" t="s">
        <v>140</v>
      </c>
      <c r="K24" s="27" t="n">
        <f aca="false">IF($F$3="",B24,$F$3)</f>
        <v>20</v>
      </c>
      <c r="L24" s="28" t="n">
        <f aca="false" t="array" ref="L24:L24">ROUND(Paramètres!$B$16*(Paramètres!$B$5+(1-Paramètres!$B$5)*((K24-Paramètres!$B$7)/(Paramètres!$B$8-Paramètres!$B$7))^Paramètres!$B$6)*INDEX(Rôles!$B$18:$B$22,AZ24)*INDEX(Rôles!$B$5:$B$13,AY24),0)</f>
        <v>328</v>
      </c>
      <c r="M24" s="29" t="n">
        <f aca="false" t="array" ref="M24:M24">ROUND(IF(J24="Physique",1,IF(J24="Mixte",Paramètres!$B$32,0))*Paramètres!$B$12*(Paramètres!$B$5+(1-Paramètres!$B$5)*((K24-Paramètres!$B$7)/(Paramètres!$B$8-Paramètres!$B$7))^Paramètres!$B$6)*INDEX(Rôles!$C$18:$C$22,AZ24)*INDEX(Rôles!$C$5:$C$13,AY24)/(Paramètres!$B$35*(1-Paramètres!$B$36)),0)</f>
        <v>62</v>
      </c>
      <c r="N24" s="29" t="n">
        <f aca="false" t="array" ref="N24:N24">ROUND(IF(J24="Magique",1,IF(J24="Mixte",Paramètres!$B$32,0))*Paramètres!$B$12*(Paramètres!$B$5+(1-Paramètres!$B$5)*((K24-Paramètres!$B$7)/(Paramètres!$B$8-Paramètres!$B$7))^Paramètres!$B$6)*INDEX(Rôles!$C$18:$C$22,AZ24)*INDEX(Rôles!$C$5:$C$13,AY24)/(Paramètres!$B$35*(1-Paramètres!$B$36)),0)</f>
        <v>0</v>
      </c>
      <c r="O24" s="29" t="n">
        <f aca="false" t="array" ref="O24:O24">ROUND(Paramètres!$B$18*(Paramètres!$B$5+(1-Paramètres!$B$5)*((K24-Paramètres!$B$7)/(Paramètres!$B$8-Paramètres!$B$7))^Paramètres!$B$6)*INDEX(Rôles!$D$5:$D$13,AY24)*INDEX(Rôles!$D$18:$D$22,AZ24),0)</f>
        <v>81</v>
      </c>
      <c r="P24" s="29" t="n">
        <f aca="false" t="array" ref="P24:P24">ROUND(Paramètres!$B$19*(Paramètres!$B$5+(1-Paramètres!$B$5)*((K24-Paramètres!$B$7)/(Paramètres!$B$8-Paramètres!$B$7))^Paramètres!$B$6)*INDEX(Rôles!$E$5:$E$13,AY24)*INDEX(Rôles!$D$18:$D$22,AZ24),0)</f>
        <v>87</v>
      </c>
      <c r="Q24" s="29" t="n">
        <f aca="false" t="array" ref="Q24:Q24">ROUND(Paramètres!$B$20*(Paramètres!$B$5+(1-Paramètres!$B$5)*((K24-Paramètres!$B$7)/(Paramètres!$B$8-Paramètres!$B$7))^Paramètres!$B$6)*INDEX(Rôles!$F$5:$F$13,AY24),0)</f>
        <v>20</v>
      </c>
      <c r="R24" s="29" t="n">
        <f aca="false">ROUND(Paramètres!$B$64*$AX24*INDEX(Rôles!$N$5:$N$13,$AY24)*INDEX(Rôles!$I$18:$I$22,$AZ24),0)</f>
        <v>17</v>
      </c>
      <c r="S24" s="30" t="n">
        <f aca="false" t="array" ref="S24:S24">MIN(1,ROUND(Paramètres!$B$21*INDEX(Rôles!$G$5:$G$13,AY24),3))</f>
        <v>0.9</v>
      </c>
      <c r="T24" s="30" t="n">
        <f aca="false" t="array" ref="T24:T24">MIN(Paramètres!$B$28,ROUND(Paramètres!$B$22*INDEX(Rôles!$H$5:$H$13,AY24),3))</f>
        <v>0.05</v>
      </c>
      <c r="U24" s="30" t="n">
        <f aca="false" t="array" ref="U24:U24">ROUND(Paramètres!$B$23*INDEX(Rôles!$I$5:$I$13,AY24),3)</f>
        <v>0.5</v>
      </c>
      <c r="V24" s="30" t="n">
        <f aca="false" t="array" ref="V24:V24">MIN(Paramètres!$B$29,ROUND(Paramètres!$B$24*INDEX(Rôles!$J$5:$J$13,AY24),3))</f>
        <v>0.05</v>
      </c>
      <c r="W24" s="30" t="n">
        <f aca="false" t="array" ref="W24:W24">MIN(Paramètres!$B$27,ROUND((Paramètres!$B$25+(Paramètres!$B$26-Paramètres!$B$25)*(K24-Paramètres!$B$7)/(Paramètres!$B$8-Paramètres!$B$7))*INDEX(Rôles!$K$5:$K$13,AY24)+INDEX(Rôles!$G$18:$G$22,AZ24),3))</f>
        <v>0.098</v>
      </c>
      <c r="X24" s="30" t="n">
        <f aca="false">ROUND(1-(1-P24/(P24+(Paramètres!$B$19*(Paramètres!$B$5+(1-Paramètres!$B$5)*((K24-Paramètres!$B$7)/(Paramètres!$B$8-Paramètres!$B$7))^Paramètres!$B$6)*(1-Paramètres!$B$30)/Paramètres!$B$30)))*(1-O24/(O24+(Paramètres!$B$18*(Paramètres!$B$5+(1-Paramètres!$B$5)*((K24-Paramètres!$B$7)/(Paramètres!$B$8-Paramètres!$B$7))^Paramètres!$B$6)*(1-Paramètres!$B$31)/Paramètres!$B$31))),3)</f>
        <v>0.346</v>
      </c>
      <c r="Y24" s="30" t="n">
        <f aca="false">ROUND(O24/(O24+(Paramètres!$B$18*(Paramètres!$B$5+(1-Paramètres!$B$5)*((K24-Paramètres!$B$7)/(Paramètres!$B$8-Paramètres!$B$7))^Paramètres!$B$6)*(1-Paramètres!$B$31)/Paramètres!$B$31)),3)</f>
        <v>0.149</v>
      </c>
      <c r="Z24" s="31" t="n">
        <f aca="false" t="array" ref="Z24:Z24">IF(E24="Neutre",0,MIN(1,INDEX(Rôles!$L$5:$L$13,AY24)+INDEX(Rôles!$F$18:$F$22,AZ24)))</f>
        <v>0.5</v>
      </c>
      <c r="AA24" s="32" t="n">
        <f aca="false" t="array" ref="AA24:AA24">ROUND(INDEX(Rôles!$C$18:$C$22,AZ24)*INDEX(Rôles!$C$5:$C$13,AY24),4)</f>
        <v>0.015</v>
      </c>
      <c r="AB24" s="33" t="n">
        <f aca="false" t="array" ref="AB24:AB24">ROUND(INDEX(Rôles!$B$18:$B$22,AZ24)*INDEX(Rôles!$B$5:$B$13,AY24),2)</f>
        <v>2.3</v>
      </c>
      <c r="AC24" s="33" t="n">
        <f aca="false" t="array" ref="AC24:AC24">INDEX(Rôles!$E$18:$E$22,AZ24)</f>
        <v>1</v>
      </c>
      <c r="AD24" s="23" t="str">
        <f aca="false" t="array" ref="AD24:AD24">INDEX(Éléments!$F$5:$F$14,MATCH(E24,Éléments!$A$5:$A$14,0))</f>
        <v>Acide, Vent</v>
      </c>
      <c r="AE24" s="23" t="str">
        <f aca="false" t="array" ref="AE24:AE24">INDEX(Éléments!$G$5:$G$14,MATCH(E24,Éléments!$A$5:$A$14,0))</f>
        <v>Électricité</v>
      </c>
      <c r="AF24" s="34" t="s">
        <v>181</v>
      </c>
      <c r="AG24" s="35" t="n">
        <v>0.2</v>
      </c>
      <c r="AH24" s="34" t="s">
        <v>141</v>
      </c>
      <c r="AI24" s="35" t="n">
        <v>0.15</v>
      </c>
      <c r="AJ24" s="29" t="n">
        <f aca="false" t="array" ref="AJ24:AJ24">ROUND(ROUND(Paramètres!$B$49*K24^Paramètres!$B$50,0)*INDEX(Rôles!$E$18:$E$22,AZ24),0)</f>
        <v>254</v>
      </c>
      <c r="AK24" s="29" t="n">
        <f aca="false" t="array" ref="AK24:AK24">ROUND(ROUND(Paramètres!$B$53*K24^Paramètres!$B$54,0)*INDEX(Rôles!$E$18:$E$22,AZ24),0)</f>
        <v>171</v>
      </c>
      <c r="AL24" s="36" t="n">
        <f aca="false">INDEX(Butin!$B$7:$B$11,AZ24)</f>
        <v>0.05</v>
      </c>
      <c r="AM24" s="37" t="n">
        <f aca="false">INDEX(Butin!$E$7:$E$11,AZ24)</f>
        <v>0.05</v>
      </c>
      <c r="AN24" s="30" t="n">
        <f aca="false">IF($H24="Boss",INDEX(Butin!$E$28:$K$37,MATCH($B24,Éléments!$C$5:$C$14,1),1),IF($H24="Dragon",INDEX(Butin!$E$41:$K$50,MATCH($B24,Éléments!$C$5:$C$14,1),1),INDEX(Butin!$E$15:$K$24,MATCH($B24,Éléments!$C$5:$C$14,1),1)))</f>
        <v>0.65</v>
      </c>
      <c r="AO24" s="30" t="n">
        <f aca="false">IF($H24="Boss",INDEX(Butin!$E$28:$K$37,MATCH($B24,Éléments!$C$5:$C$14,1),2),IF($H24="Dragon",INDEX(Butin!$E$41:$K$50,MATCH($B24,Éléments!$C$5:$C$14,1),2),INDEX(Butin!$E$15:$K$24,MATCH($B24,Éléments!$C$5:$C$14,1),2)))</f>
        <v>0.28</v>
      </c>
      <c r="AP24" s="30" t="n">
        <f aca="false">IF($H24="Boss",INDEX(Butin!$E$28:$K$37,MATCH($B24,Éléments!$C$5:$C$14,1),3),IF($H24="Dragon",INDEX(Butin!$E$41:$K$50,MATCH($B24,Éléments!$C$5:$C$14,1),3),INDEX(Butin!$E$15:$K$24,MATCH($B24,Éléments!$C$5:$C$14,1),3)))</f>
        <v>0.07</v>
      </c>
      <c r="AQ24" s="30" t="n">
        <f aca="false">IF($H24="Boss",INDEX(Butin!$E$28:$K$37,MATCH($B24,Éléments!$C$5:$C$14,1),4),IF($H24="Dragon",INDEX(Butin!$E$41:$K$50,MATCH($B24,Éléments!$C$5:$C$14,1),4),INDEX(Butin!$E$15:$K$24,MATCH($B24,Éléments!$C$5:$C$14,1),4)))</f>
        <v>0</v>
      </c>
      <c r="AR24" s="30" t="n">
        <f aca="false">IF($H24="Boss",INDEX(Butin!$E$28:$K$37,MATCH($B24,Éléments!$C$5:$C$14,1),5),IF($H24="Dragon",INDEX(Butin!$E$41:$K$50,MATCH($B24,Éléments!$C$5:$C$14,1),5),INDEX(Butin!$E$15:$K$24,MATCH($B24,Éléments!$C$5:$C$14,1),5)))</f>
        <v>0</v>
      </c>
      <c r="AS24" s="30" t="n">
        <f aca="false">IF($H24="Boss",INDEX(Butin!$E$28:$K$37,MATCH($B24,Éléments!$C$5:$C$14,1),6),IF($H24="Dragon",INDEX(Butin!$E$41:$K$50,MATCH($B24,Éléments!$C$5:$C$14,1),6),INDEX(Butin!$E$15:$K$24,MATCH($B24,Éléments!$C$5:$C$14,1),6)))</f>
        <v>0</v>
      </c>
      <c r="AT24" s="30" t="n">
        <f aca="false">IF($H24="Boss",INDEX(Butin!$E$28:$K$37,MATCH($B24,Éléments!$C$5:$C$14,1),7),IF($H24="Dragon",INDEX(Butin!$E$41:$K$50,MATCH($B24,Éléments!$C$5:$C$14,1),7),INDEX(Butin!$E$15:$K$24,MATCH($B24,Éléments!$C$5:$C$14,1),7)))</f>
        <v>0</v>
      </c>
      <c r="AU24" s="38" t="str">
        <f aca="false">IF(AT24=0,"—",INDEX(Butin!$D$54:$D$63,MATCH($B24,Éléments!$C$5:$C$14,1))&amp;" · "&amp;INDEX(Butin!$F$54:$F$63,MATCH($B24,Éléments!$C$5:$C$14,1))&amp;" · "&amp;INDEX(Butin!$H$54:$H$63,MATCH($B24,Éléments!$C$5:$C$14,1)))</f>
        <v>—</v>
      </c>
      <c r="AV24" s="20" t="s">
        <v>202</v>
      </c>
      <c r="AW24" s="39" t="str">
        <f aca="false">B24&amp;IF(G24="Oui","|B","|N")</f>
        <v>20|N</v>
      </c>
      <c r="AX24" s="40" t="n">
        <f aca="false">(Paramètres!$B$5+(1-Paramètres!$B$5)*((K24-Paramètres!$B$7)/(Paramètres!$B$8-Paramètres!$B$7))^Paramètres!$B$6)</f>
        <v>0.181058650851904</v>
      </c>
      <c r="AY24" s="39" t="n">
        <f aca="false">MATCH(I24,Rôles!$A$5:$A$13,0)</f>
        <v>3</v>
      </c>
      <c r="AZ24" s="39" t="n">
        <f aca="false">MATCH(H24,Rôles!$A$18:$A$22,0)</f>
        <v>2</v>
      </c>
    </row>
    <row r="25" customFormat="false" ht="15.75" hidden="false" customHeight="true" outlineLevel="0" collapsed="false">
      <c r="A25" s="20" t="s">
        <v>203</v>
      </c>
      <c r="B25" s="21" t="n">
        <v>20</v>
      </c>
      <c r="C25" s="22" t="str">
        <f aca="false" t="array" ref="C25:C25">INDEX(Zones!$B$6:$B$35,MATCH(B25,Zones!$A$6:$A$35,0))</f>
        <v>Grotte profonde</v>
      </c>
      <c r="D25" s="23" t="str">
        <f aca="false" t="array" ref="D25:D25">INDEX(Éléments!$B$5:$B$14,MATCH(B25,Éléments!$C$5:$C$14,1))</f>
        <v>Montagne</v>
      </c>
      <c r="E25" s="41" t="str">
        <f aca="false" t="array" ref="E25:E25">INDEX(Éléments!$A$5:$A$14,MATCH(B25,Éléments!$C$5:$C$14,1))</f>
        <v>Terre</v>
      </c>
      <c r="F25" s="25" t="s">
        <v>204</v>
      </c>
      <c r="G25" s="23" t="str">
        <f aca="false">IF(OR(H25="Boss",H25="Dragon"),"Oui","Non")</f>
        <v>Non</v>
      </c>
      <c r="H25" s="26" t="s">
        <v>148</v>
      </c>
      <c r="I25" s="26" t="s">
        <v>160</v>
      </c>
      <c r="J25" s="26" t="s">
        <v>140</v>
      </c>
      <c r="K25" s="27" t="n">
        <f aca="false">IF($F$3="",B25,$F$3)</f>
        <v>20</v>
      </c>
      <c r="L25" s="28" t="n">
        <f aca="false" t="array" ref="L25:L25">ROUND(Paramètres!$B$16*(Paramètres!$B$5+(1-Paramètres!$B$5)*((K25-Paramètres!$B$7)/(Paramètres!$B$8-Paramètres!$B$7))^Paramètres!$B$6)*INDEX(Rôles!$B$18:$B$22,AZ25)*INDEX(Rôles!$B$5:$B$13,AY25),0)</f>
        <v>459</v>
      </c>
      <c r="M25" s="29" t="n">
        <f aca="false" t="array" ref="M25:M25">ROUND(IF(J25="Physique",1,IF(J25="Mixte",Paramètres!$B$32,0))*Paramètres!$B$12*(Paramètres!$B$5+(1-Paramètres!$B$5)*((K25-Paramètres!$B$7)/(Paramètres!$B$8-Paramètres!$B$7))^Paramètres!$B$6)*INDEX(Rôles!$C$18:$C$22,AZ25)*INDEX(Rôles!$C$5:$C$13,AY25)/(Paramètres!$B$35*(1-Paramètres!$B$36)),0)</f>
        <v>79</v>
      </c>
      <c r="N25" s="29" t="n">
        <f aca="false" t="array" ref="N25:N25">ROUND(IF(J25="Magique",1,IF(J25="Mixte",Paramètres!$B$32,0))*Paramètres!$B$12*(Paramètres!$B$5+(1-Paramètres!$B$5)*((K25-Paramètres!$B$7)/(Paramètres!$B$8-Paramètres!$B$7))^Paramètres!$B$6)*INDEX(Rôles!$C$18:$C$22,AZ25)*INDEX(Rôles!$C$5:$C$13,AY25)/(Paramètres!$B$35*(1-Paramètres!$B$36)),0)</f>
        <v>0</v>
      </c>
      <c r="O25" s="29" t="n">
        <f aca="false" t="array" ref="O25:O25">ROUND(Paramètres!$B$18*(Paramètres!$B$5+(1-Paramètres!$B$5)*((K25-Paramètres!$B$7)/(Paramètres!$B$8-Paramètres!$B$7))^Paramètres!$B$6)*INDEX(Rôles!$D$5:$D$13,AY25)*INDEX(Rôles!$D$18:$D$22,AZ25),0)</f>
        <v>94</v>
      </c>
      <c r="P25" s="29" t="n">
        <f aca="false" t="array" ref="P25:P25">ROUND(Paramètres!$B$19*(Paramètres!$B$5+(1-Paramètres!$B$5)*((K25-Paramètres!$B$7)/(Paramètres!$B$8-Paramètres!$B$7))^Paramètres!$B$6)*INDEX(Rôles!$E$5:$E$13,AY25)*INDEX(Rôles!$D$18:$D$22,AZ25),0)</f>
        <v>100</v>
      </c>
      <c r="Q25" s="29" t="n">
        <f aca="false" t="array" ref="Q25:Q25">ROUND(Paramètres!$B$20*(Paramètres!$B$5+(1-Paramètres!$B$5)*((K25-Paramètres!$B$7)/(Paramètres!$B$8-Paramètres!$B$7))^Paramètres!$B$6)*INDEX(Rôles!$F$5:$F$13,AY25),0)</f>
        <v>20</v>
      </c>
      <c r="R25" s="29" t="n">
        <f aca="false">ROUND(Paramètres!$B$64*$AX25*INDEX(Rôles!$N$5:$N$13,$AY25)*INDEX(Rôles!$I$18:$I$22,$AZ25),0)</f>
        <v>18</v>
      </c>
      <c r="S25" s="30" t="n">
        <f aca="false" t="array" ref="S25:S25">MIN(1,ROUND(Paramètres!$B$21*INDEX(Rôles!$G$5:$G$13,AY25),3))</f>
        <v>0.9</v>
      </c>
      <c r="T25" s="30" t="n">
        <f aca="false" t="array" ref="T25:T25">MIN(Paramètres!$B$28,ROUND(Paramètres!$B$22*INDEX(Rôles!$H$5:$H$13,AY25),3))</f>
        <v>0.05</v>
      </c>
      <c r="U25" s="30" t="n">
        <f aca="false" t="array" ref="U25:U25">ROUND(Paramètres!$B$23*INDEX(Rôles!$I$5:$I$13,AY25),3)</f>
        <v>0.5</v>
      </c>
      <c r="V25" s="30" t="n">
        <f aca="false" t="array" ref="V25:V25">MIN(Paramètres!$B$29,ROUND(Paramètres!$B$24*INDEX(Rôles!$J$5:$J$13,AY25),3))</f>
        <v>0.05</v>
      </c>
      <c r="W25" s="30" t="n">
        <f aca="false" t="array" ref="W25:W25">MIN(Paramètres!$B$27,ROUND((Paramètres!$B$25+(Paramètres!$B$26-Paramètres!$B$25)*(K25-Paramètres!$B$7)/(Paramètres!$B$8-Paramètres!$B$7))*INDEX(Rôles!$K$5:$K$13,AY25)+INDEX(Rôles!$G$18:$G$22,AZ25),3))</f>
        <v>0.098</v>
      </c>
      <c r="X25" s="30" t="n">
        <f aca="false">ROUND(1-(1-P25/(P25+(Paramètres!$B$19*(Paramètres!$B$5+(1-Paramètres!$B$5)*((K25-Paramètres!$B$7)/(Paramètres!$B$8-Paramètres!$B$7))^Paramètres!$B$6)*(1-Paramètres!$B$30)/Paramètres!$B$30)))*(1-O25/(O25+(Paramètres!$B$18*(Paramètres!$B$5+(1-Paramètres!$B$5)*((K25-Paramètres!$B$7)/(Paramètres!$B$8-Paramètres!$B$7))^Paramètres!$B$6)*(1-Paramètres!$B$31)/Paramètres!$B$31))),3)</f>
        <v>0.382</v>
      </c>
      <c r="Y25" s="30" t="n">
        <f aca="false">ROUND(O25/(O25+(Paramètres!$B$18*(Paramètres!$B$5+(1-Paramètres!$B$5)*((K25-Paramètres!$B$7)/(Paramètres!$B$8-Paramètres!$B$7))^Paramètres!$B$6)*(1-Paramètres!$B$31)/Paramètres!$B$31)),3)</f>
        <v>0.169</v>
      </c>
      <c r="Z25" s="31" t="n">
        <f aca="false" t="array" ref="Z25:Z25">IF(E25="Neutre",0,MIN(1,INDEX(Rôles!$L$5:$L$13,AY25)+INDEX(Rôles!$F$18:$F$22,AZ25)))</f>
        <v>0.5</v>
      </c>
      <c r="AA25" s="32" t="n">
        <f aca="false" t="array" ref="AA25:AA25">ROUND(INDEX(Rôles!$C$18:$C$22,AZ25)*INDEX(Rôles!$C$5:$C$13,AY25),4)</f>
        <v>0.019</v>
      </c>
      <c r="AB25" s="33" t="n">
        <f aca="false" t="array" ref="AB25:AB25">ROUND(INDEX(Rôles!$B$18:$B$22,AZ25)*INDEX(Rôles!$B$5:$B$13,AY25),2)</f>
        <v>3.22</v>
      </c>
      <c r="AC25" s="33" t="n">
        <f aca="false" t="array" ref="AC25:AC25">INDEX(Rôles!$E$18:$E$22,AZ25)</f>
        <v>1.4</v>
      </c>
      <c r="AD25" s="23" t="str">
        <f aca="false" t="array" ref="AD25:AD25">INDEX(Éléments!$F$5:$F$14,MATCH(E25,Éléments!$A$5:$A$14,0))</f>
        <v>Acide, Vent</v>
      </c>
      <c r="AE25" s="23" t="str">
        <f aca="false" t="array" ref="AE25:AE25">INDEX(Éléments!$G$5:$G$14,MATCH(E25,Éléments!$A$5:$A$14,0))</f>
        <v>Électricité</v>
      </c>
      <c r="AF25" s="34" t="s">
        <v>181</v>
      </c>
      <c r="AG25" s="35" t="n">
        <v>0.25</v>
      </c>
      <c r="AH25" s="34" t="s">
        <v>142</v>
      </c>
      <c r="AI25" s="35" t="n">
        <v>0.12</v>
      </c>
      <c r="AJ25" s="29" t="n">
        <f aca="false" t="array" ref="AJ25:AJ25">ROUND(ROUND(Paramètres!$B$49*K25^Paramètres!$B$50,0)*INDEX(Rôles!$E$18:$E$22,AZ25),0)</f>
        <v>356</v>
      </c>
      <c r="AK25" s="29" t="n">
        <f aca="false" t="array" ref="AK25:AK25">ROUND(ROUND(Paramètres!$B$53*K25^Paramètres!$B$54,0)*INDEX(Rôles!$E$18:$E$22,AZ25),0)</f>
        <v>239</v>
      </c>
      <c r="AL25" s="36" t="n">
        <f aca="false">INDEX(Butin!$B$7:$B$11,AZ25)</f>
        <v>0.08</v>
      </c>
      <c r="AM25" s="37" t="n">
        <f aca="false">INDEX(Butin!$E$7:$E$11,AZ25)</f>
        <v>0.08</v>
      </c>
      <c r="AN25" s="30" t="n">
        <f aca="false">IF($H25="Boss",INDEX(Butin!$E$28:$K$37,MATCH($B25,Éléments!$C$5:$C$14,1),1),IF($H25="Dragon",INDEX(Butin!$E$41:$K$50,MATCH($B25,Éléments!$C$5:$C$14,1),1),INDEX(Butin!$E$15:$K$24,MATCH($B25,Éléments!$C$5:$C$14,1),1)))</f>
        <v>0.65</v>
      </c>
      <c r="AO25" s="30" t="n">
        <f aca="false">IF($H25="Boss",INDEX(Butin!$E$28:$K$37,MATCH($B25,Éléments!$C$5:$C$14,1),2),IF($H25="Dragon",INDEX(Butin!$E$41:$K$50,MATCH($B25,Éléments!$C$5:$C$14,1),2),INDEX(Butin!$E$15:$K$24,MATCH($B25,Éléments!$C$5:$C$14,1),2)))</f>
        <v>0.28</v>
      </c>
      <c r="AP25" s="30" t="n">
        <f aca="false">IF($H25="Boss",INDEX(Butin!$E$28:$K$37,MATCH($B25,Éléments!$C$5:$C$14,1),3),IF($H25="Dragon",INDEX(Butin!$E$41:$K$50,MATCH($B25,Éléments!$C$5:$C$14,1),3),INDEX(Butin!$E$15:$K$24,MATCH($B25,Éléments!$C$5:$C$14,1),3)))</f>
        <v>0.07</v>
      </c>
      <c r="AQ25" s="30" t="n">
        <f aca="false">IF($H25="Boss",INDEX(Butin!$E$28:$K$37,MATCH($B25,Éléments!$C$5:$C$14,1),4),IF($H25="Dragon",INDEX(Butin!$E$41:$K$50,MATCH($B25,Éléments!$C$5:$C$14,1),4),INDEX(Butin!$E$15:$K$24,MATCH($B25,Éléments!$C$5:$C$14,1),4)))</f>
        <v>0</v>
      </c>
      <c r="AR25" s="30" t="n">
        <f aca="false">IF($H25="Boss",INDEX(Butin!$E$28:$K$37,MATCH($B25,Éléments!$C$5:$C$14,1),5),IF($H25="Dragon",INDEX(Butin!$E$41:$K$50,MATCH($B25,Éléments!$C$5:$C$14,1),5),INDEX(Butin!$E$15:$K$24,MATCH($B25,Éléments!$C$5:$C$14,1),5)))</f>
        <v>0</v>
      </c>
      <c r="AS25" s="30" t="n">
        <f aca="false">IF($H25="Boss",INDEX(Butin!$E$28:$K$37,MATCH($B25,Éléments!$C$5:$C$14,1),6),IF($H25="Dragon",INDEX(Butin!$E$41:$K$50,MATCH($B25,Éléments!$C$5:$C$14,1),6),INDEX(Butin!$E$15:$K$24,MATCH($B25,Éléments!$C$5:$C$14,1),6)))</f>
        <v>0</v>
      </c>
      <c r="AT25" s="30" t="n">
        <f aca="false">IF($H25="Boss",INDEX(Butin!$E$28:$K$37,MATCH($B25,Éléments!$C$5:$C$14,1),7),IF($H25="Dragon",INDEX(Butin!$E$41:$K$50,MATCH($B25,Éléments!$C$5:$C$14,1),7),INDEX(Butin!$E$15:$K$24,MATCH($B25,Éléments!$C$5:$C$14,1),7)))</f>
        <v>0</v>
      </c>
      <c r="AU25" s="38" t="str">
        <f aca="false">IF(AT25=0,"—",INDEX(Butin!$D$54:$D$63,MATCH($B25,Éléments!$C$5:$C$14,1))&amp;" · "&amp;INDEX(Butin!$F$54:$F$63,MATCH($B25,Éléments!$C$5:$C$14,1))&amp;" · "&amp;INDEX(Butin!$H$54:$H$63,MATCH($B25,Éléments!$C$5:$C$14,1)))</f>
        <v>—</v>
      </c>
      <c r="AV25" s="20" t="s">
        <v>204</v>
      </c>
      <c r="AW25" s="39" t="str">
        <f aca="false">B25&amp;IF(G25="Oui","|B","|N")</f>
        <v>20|N</v>
      </c>
      <c r="AX25" s="40" t="n">
        <f aca="false">(Paramètres!$B$5+(1-Paramètres!$B$5)*((K25-Paramètres!$B$7)/(Paramètres!$B$8-Paramètres!$B$7))^Paramètres!$B$6)</f>
        <v>0.181058650851904</v>
      </c>
      <c r="AY25" s="39" t="n">
        <f aca="false">MATCH(I25,Rôles!$A$5:$A$13,0)</f>
        <v>3</v>
      </c>
      <c r="AZ25" s="39" t="n">
        <f aca="false">MATCH(H25,Rôles!$A$18:$A$22,0)</f>
        <v>3</v>
      </c>
    </row>
    <row r="26" customFormat="false" ht="15.75" hidden="false" customHeight="true" outlineLevel="0" collapsed="false">
      <c r="A26" s="20" t="s">
        <v>205</v>
      </c>
      <c r="B26" s="21" t="n">
        <v>20</v>
      </c>
      <c r="C26" s="22" t="str">
        <f aca="false" t="array" ref="C26:C26">INDEX(Zones!$B$6:$B$35,MATCH(B26,Zones!$A$6:$A$35,0))</f>
        <v>Grotte profonde</v>
      </c>
      <c r="D26" s="23" t="str">
        <f aca="false" t="array" ref="D26:D26">INDEX(Éléments!$B$5:$B$14,MATCH(B26,Éléments!$C$5:$C$14,1))</f>
        <v>Montagne</v>
      </c>
      <c r="E26" s="41" t="str">
        <f aca="false" t="array" ref="E26:E26">INDEX(Éléments!$A$5:$A$14,MATCH(B26,Éléments!$C$5:$C$14,1))</f>
        <v>Terre</v>
      </c>
      <c r="F26" s="25" t="s">
        <v>206</v>
      </c>
      <c r="G26" s="23" t="str">
        <f aca="false">IF(OR(H26="Boss",H26="Dragon"),"Oui","Non")</f>
        <v>Non</v>
      </c>
      <c r="H26" s="26" t="s">
        <v>138</v>
      </c>
      <c r="I26" s="26" t="s">
        <v>195</v>
      </c>
      <c r="J26" s="26" t="s">
        <v>173</v>
      </c>
      <c r="K26" s="27" t="n">
        <f aca="false">IF($F$3="",B26,$F$3)</f>
        <v>20</v>
      </c>
      <c r="L26" s="28" t="n">
        <f aca="false" t="array" ref="L26:L26">ROUND(Paramètres!$B$16*(Paramètres!$B$5+(1-Paramètres!$B$5)*((K26-Paramètres!$B$7)/(Paramètres!$B$8-Paramètres!$B$7))^Paramètres!$B$6)*INDEX(Rôles!$B$18:$B$22,AZ26)*INDEX(Rôles!$B$5:$B$13,AY26),0)</f>
        <v>200</v>
      </c>
      <c r="M26" s="29" t="n">
        <f aca="false" t="array" ref="M26:M26">ROUND(IF(J26="Physique",1,IF(J26="Mixte",Paramètres!$B$32,0))*Paramètres!$B$12*(Paramètres!$B$5+(1-Paramètres!$B$5)*((K26-Paramètres!$B$7)/(Paramètres!$B$8-Paramètres!$B$7))^Paramètres!$B$6)*INDEX(Rôles!$C$18:$C$22,AZ26)*INDEX(Rôles!$C$5:$C$13,AY26)/(Paramètres!$B$35*(1-Paramètres!$B$36)),0)</f>
        <v>0</v>
      </c>
      <c r="N26" s="29" t="n">
        <f aca="false" t="array" ref="N26:N26">ROUND(IF(J26="Magique",1,IF(J26="Mixte",Paramètres!$B$32,0))*Paramètres!$B$12*(Paramètres!$B$5+(1-Paramètres!$B$5)*((K26-Paramètres!$B$7)/(Paramètres!$B$8-Paramètres!$B$7))^Paramètres!$B$6)*INDEX(Rôles!$C$18:$C$22,AZ26)*INDEX(Rôles!$C$5:$C$13,AY26)/(Paramètres!$B$35*(1-Paramètres!$B$36)),0)</f>
        <v>78</v>
      </c>
      <c r="O26" s="29" t="n">
        <f aca="false" t="array" ref="O26:O26">ROUND(Paramètres!$B$18*(Paramètres!$B$5+(1-Paramètres!$B$5)*((K26-Paramètres!$B$7)/(Paramètres!$B$8-Paramètres!$B$7))^Paramètres!$B$6)*INDEX(Rôles!$D$5:$D$13,AY26)*INDEX(Rôles!$D$18:$D$22,AZ26),0)</f>
        <v>90</v>
      </c>
      <c r="P26" s="29" t="n">
        <f aca="false" t="array" ref="P26:P26">ROUND(Paramètres!$B$19*(Paramètres!$B$5+(1-Paramètres!$B$5)*((K26-Paramètres!$B$7)/(Paramètres!$B$8-Paramètres!$B$7))^Paramètres!$B$6)*INDEX(Rôles!$E$5:$E$13,AY26)*INDEX(Rôles!$D$18:$D$22,AZ26),0)</f>
        <v>29</v>
      </c>
      <c r="Q26" s="29" t="n">
        <f aca="false" t="array" ref="Q26:Q26">ROUND(Paramètres!$B$20*(Paramètres!$B$5+(1-Paramètres!$B$5)*((K26-Paramètres!$B$7)/(Paramètres!$B$8-Paramètres!$B$7))^Paramètres!$B$6)*INDEX(Rôles!$F$5:$F$13,AY26),0)</f>
        <v>20</v>
      </c>
      <c r="R26" s="29" t="n">
        <f aca="false">ROUND(Paramètres!$B$64*$AX26*INDEX(Rôles!$N$5:$N$13,$AY26)*INDEX(Rôles!$I$18:$I$22,$AZ26),0)</f>
        <v>16</v>
      </c>
      <c r="S26" s="30" t="n">
        <f aca="false" t="array" ref="S26:S26">MIN(1,ROUND(Paramètres!$B$21*INDEX(Rôles!$G$5:$G$13,AY26),3))</f>
        <v>0.9</v>
      </c>
      <c r="T26" s="30" t="n">
        <f aca="false" t="array" ref="T26:T26">MIN(Paramètres!$B$28,ROUND(Paramètres!$B$22*INDEX(Rôles!$H$5:$H$13,AY26),3))</f>
        <v>0.05</v>
      </c>
      <c r="U26" s="30" t="n">
        <f aca="false" t="array" ref="U26:U26">ROUND(Paramètres!$B$23*INDEX(Rôles!$I$5:$I$13,AY26),3)</f>
        <v>0.5</v>
      </c>
      <c r="V26" s="30" t="n">
        <f aca="false" t="array" ref="V26:V26">MIN(Paramètres!$B$29,ROUND(Paramètres!$B$24*INDEX(Rôles!$J$5:$J$13,AY26),3))</f>
        <v>0.065</v>
      </c>
      <c r="W26" s="30" t="n">
        <f aca="false" t="array" ref="W26:W26">MIN(Paramètres!$B$27,ROUND((Paramètres!$B$25+(Paramètres!$B$26-Paramètres!$B$25)*(K26-Paramètres!$B$7)/(Paramètres!$B$8-Paramètres!$B$7))*INDEX(Rôles!$K$5:$K$13,AY26)+INDEX(Rôles!$G$18:$G$22,AZ26),3))</f>
        <v>0.118</v>
      </c>
      <c r="X26" s="30" t="n">
        <f aca="false">ROUND(1-(1-P26/(P26+(Paramètres!$B$19*(Paramètres!$B$5+(1-Paramètres!$B$5)*((K26-Paramètres!$B$7)/(Paramètres!$B$8-Paramètres!$B$7))^Paramètres!$B$6)*(1-Paramètres!$B$30)/Paramètres!$B$30)))*(1-O26/(O26+(Paramètres!$B$18*(Paramètres!$B$5+(1-Paramètres!$B$5)*((K26-Paramètres!$B$7)/(Paramètres!$B$8-Paramètres!$B$7))^Paramètres!$B$6)*(1-Paramètres!$B$31)/Paramètres!$B$31))),3)</f>
        <v>0.239</v>
      </c>
      <c r="Y26" s="30" t="n">
        <f aca="false">ROUND(O26/(O26+(Paramètres!$B$18*(Paramètres!$B$5+(1-Paramètres!$B$5)*((K26-Paramètres!$B$7)/(Paramètres!$B$8-Paramètres!$B$7))^Paramètres!$B$6)*(1-Paramètres!$B$31)/Paramètres!$B$31)),3)</f>
        <v>0.163</v>
      </c>
      <c r="Z26" s="31" t="n">
        <f aca="false" t="array" ref="Z26:Z26">IF(E26="Neutre",0,MIN(1,INDEX(Rôles!$L$5:$L$13,AY26)+INDEX(Rôles!$F$18:$F$22,AZ26)))</f>
        <v>1</v>
      </c>
      <c r="AA26" s="32" t="n">
        <f aca="false" t="array" ref="AA26:AA26">ROUND(INDEX(Rôles!$C$18:$C$22,AZ26)*INDEX(Rôles!$C$5:$C$13,AY26),4)</f>
        <v>0.0188</v>
      </c>
      <c r="AB26" s="33" t="n">
        <f aca="false" t="array" ref="AB26:AB26">ROUND(INDEX(Rôles!$B$18:$B$22,AZ26)*INDEX(Rôles!$B$5:$B$13,AY26),2)</f>
        <v>1.4</v>
      </c>
      <c r="AC26" s="33" t="n">
        <f aca="false" t="array" ref="AC26:AC26">INDEX(Rôles!$E$18:$E$22,AZ26)</f>
        <v>1</v>
      </c>
      <c r="AD26" s="23" t="str">
        <f aca="false" t="array" ref="AD26:AD26">INDEX(Éléments!$F$5:$F$14,MATCH(E26,Éléments!$A$5:$A$14,0))</f>
        <v>Acide, Vent</v>
      </c>
      <c r="AE26" s="23" t="str">
        <f aca="false" t="array" ref="AE26:AE26">INDEX(Éléments!$G$5:$G$14,MATCH(E26,Éléments!$A$5:$A$14,0))</f>
        <v>Électricité</v>
      </c>
      <c r="AF26" s="34" t="s">
        <v>188</v>
      </c>
      <c r="AG26" s="35" t="n">
        <v>0.25</v>
      </c>
      <c r="AH26" s="34" t="s">
        <v>161</v>
      </c>
      <c r="AI26" s="35" t="n">
        <v>0.2</v>
      </c>
      <c r="AJ26" s="29" t="n">
        <f aca="false" t="array" ref="AJ26:AJ26">ROUND(ROUND(Paramètres!$B$49*K26^Paramètres!$B$50,0)*INDEX(Rôles!$E$18:$E$22,AZ26),0)</f>
        <v>254</v>
      </c>
      <c r="AK26" s="29" t="n">
        <f aca="false" t="array" ref="AK26:AK26">ROUND(ROUND(Paramètres!$B$53*K26^Paramètres!$B$54,0)*INDEX(Rôles!$E$18:$E$22,AZ26),0)</f>
        <v>171</v>
      </c>
      <c r="AL26" s="36" t="n">
        <f aca="false">INDEX(Butin!$B$7:$B$11,AZ26)</f>
        <v>0.05</v>
      </c>
      <c r="AM26" s="37" t="n">
        <f aca="false">INDEX(Butin!$E$7:$E$11,AZ26)</f>
        <v>0.05</v>
      </c>
      <c r="AN26" s="30" t="n">
        <f aca="false">IF($H26="Boss",INDEX(Butin!$E$28:$K$37,MATCH($B26,Éléments!$C$5:$C$14,1),1),IF($H26="Dragon",INDEX(Butin!$E$41:$K$50,MATCH($B26,Éléments!$C$5:$C$14,1),1),INDEX(Butin!$E$15:$K$24,MATCH($B26,Éléments!$C$5:$C$14,1),1)))</f>
        <v>0.65</v>
      </c>
      <c r="AO26" s="30" t="n">
        <f aca="false">IF($H26="Boss",INDEX(Butin!$E$28:$K$37,MATCH($B26,Éléments!$C$5:$C$14,1),2),IF($H26="Dragon",INDEX(Butin!$E$41:$K$50,MATCH($B26,Éléments!$C$5:$C$14,1),2),INDEX(Butin!$E$15:$K$24,MATCH($B26,Éléments!$C$5:$C$14,1),2)))</f>
        <v>0.28</v>
      </c>
      <c r="AP26" s="30" t="n">
        <f aca="false">IF($H26="Boss",INDEX(Butin!$E$28:$K$37,MATCH($B26,Éléments!$C$5:$C$14,1),3),IF($H26="Dragon",INDEX(Butin!$E$41:$K$50,MATCH($B26,Éléments!$C$5:$C$14,1),3),INDEX(Butin!$E$15:$K$24,MATCH($B26,Éléments!$C$5:$C$14,1),3)))</f>
        <v>0.07</v>
      </c>
      <c r="AQ26" s="30" t="n">
        <f aca="false">IF($H26="Boss",INDEX(Butin!$E$28:$K$37,MATCH($B26,Éléments!$C$5:$C$14,1),4),IF($H26="Dragon",INDEX(Butin!$E$41:$K$50,MATCH($B26,Éléments!$C$5:$C$14,1),4),INDEX(Butin!$E$15:$K$24,MATCH($B26,Éléments!$C$5:$C$14,1),4)))</f>
        <v>0</v>
      </c>
      <c r="AR26" s="30" t="n">
        <f aca="false">IF($H26="Boss",INDEX(Butin!$E$28:$K$37,MATCH($B26,Éléments!$C$5:$C$14,1),5),IF($H26="Dragon",INDEX(Butin!$E$41:$K$50,MATCH($B26,Éléments!$C$5:$C$14,1),5),INDEX(Butin!$E$15:$K$24,MATCH($B26,Éléments!$C$5:$C$14,1),5)))</f>
        <v>0</v>
      </c>
      <c r="AS26" s="30" t="n">
        <f aca="false">IF($H26="Boss",INDEX(Butin!$E$28:$K$37,MATCH($B26,Éléments!$C$5:$C$14,1),6),IF($H26="Dragon",INDEX(Butin!$E$41:$K$50,MATCH($B26,Éléments!$C$5:$C$14,1),6),INDEX(Butin!$E$15:$K$24,MATCH($B26,Éléments!$C$5:$C$14,1),6)))</f>
        <v>0</v>
      </c>
      <c r="AT26" s="30" t="n">
        <f aca="false">IF($H26="Boss",INDEX(Butin!$E$28:$K$37,MATCH($B26,Éléments!$C$5:$C$14,1),7),IF($H26="Dragon",INDEX(Butin!$E$41:$K$50,MATCH($B26,Éléments!$C$5:$C$14,1),7),INDEX(Butin!$E$15:$K$24,MATCH($B26,Éléments!$C$5:$C$14,1),7)))</f>
        <v>0</v>
      </c>
      <c r="AU26" s="38" t="str">
        <f aca="false">IF(AT26=0,"—",INDEX(Butin!$D$54:$D$63,MATCH($B26,Éléments!$C$5:$C$14,1))&amp;" · "&amp;INDEX(Butin!$F$54:$F$63,MATCH($B26,Éléments!$C$5:$C$14,1))&amp;" · "&amp;INDEX(Butin!$H$54:$H$63,MATCH($B26,Éléments!$C$5:$C$14,1)))</f>
        <v>—</v>
      </c>
      <c r="AV26" s="20" t="s">
        <v>206</v>
      </c>
      <c r="AW26" s="39" t="str">
        <f aca="false">B26&amp;IF(G26="Oui","|B","|N")</f>
        <v>20|N</v>
      </c>
      <c r="AX26" s="40" t="n">
        <f aca="false">(Paramètres!$B$5+(1-Paramètres!$B$5)*((K26-Paramètres!$B$7)/(Paramètres!$B$8-Paramètres!$B$7))^Paramètres!$B$6)</f>
        <v>0.181058650851904</v>
      </c>
      <c r="AY26" s="39" t="n">
        <f aca="false">MATCH(I26,Rôles!$A$5:$A$13,0)</f>
        <v>5</v>
      </c>
      <c r="AZ26" s="39" t="n">
        <f aca="false">MATCH(H26,Rôles!$A$18:$A$22,0)</f>
        <v>2</v>
      </c>
    </row>
    <row r="27" customFormat="false" ht="15.75" hidden="false" customHeight="true" outlineLevel="0" collapsed="false">
      <c r="A27" s="20" t="s">
        <v>207</v>
      </c>
      <c r="B27" s="21" t="n">
        <v>25</v>
      </c>
      <c r="C27" s="22" t="str">
        <f aca="false" t="array" ref="C27:C27">INDEX(Zones!$B$6:$B$35,MATCH(B27,Zones!$A$6:$A$35,0))</f>
        <v>Océan de lave</v>
      </c>
      <c r="D27" s="23" t="str">
        <f aca="false" t="array" ref="D27:D27">INDEX(Éléments!$B$5:$B$14,MATCH(B27,Éléments!$C$5:$C$14,1))</f>
        <v>Volcan</v>
      </c>
      <c r="E27" s="42" t="str">
        <f aca="false" t="array" ref="E27:E27">INDEX(Éléments!$A$5:$A$14,MATCH(B27,Éléments!$C$5:$C$14,1))</f>
        <v>Feu</v>
      </c>
      <c r="F27" s="25" t="s">
        <v>208</v>
      </c>
      <c r="G27" s="23" t="str">
        <f aca="false">IF(OR(H27="Boss",H27="Dragon"),"Oui","Non")</f>
        <v>Non</v>
      </c>
      <c r="H27" s="26" t="s">
        <v>138</v>
      </c>
      <c r="I27" s="26" t="s">
        <v>139</v>
      </c>
      <c r="J27" s="26" t="s">
        <v>140</v>
      </c>
      <c r="K27" s="27" t="n">
        <f aca="false">IF($F$3="",B27,$F$3)</f>
        <v>25</v>
      </c>
      <c r="L27" s="28" t="n">
        <f aca="false" t="array" ref="L27:L27">ROUND(Paramètres!$B$16*(Paramètres!$B$5+(1-Paramètres!$B$5)*((K27-Paramètres!$B$7)/(Paramètres!$B$8-Paramètres!$B$7))^Paramètres!$B$6)*INDEX(Rôles!$B$18:$B$22,AZ27)*INDEX(Rôles!$B$5:$B$13,AY27),0)</f>
        <v>334</v>
      </c>
      <c r="M27" s="29" t="n">
        <f aca="false" t="array" ref="M27:M27">ROUND(IF(J27="Physique",1,IF(J27="Mixte",Paramètres!$B$32,0))*Paramètres!$B$12*(Paramètres!$B$5+(1-Paramètres!$B$5)*((K27-Paramètres!$B$7)/(Paramètres!$B$8-Paramètres!$B$7))^Paramètres!$B$6)*INDEX(Rôles!$C$18:$C$22,AZ27)*INDEX(Rôles!$C$5:$C$13,AY27)/(Paramètres!$B$35*(1-Paramètres!$B$36)),0)</f>
        <v>80</v>
      </c>
      <c r="N27" s="29" t="n">
        <f aca="false" t="array" ref="N27:N27">ROUND(IF(J27="Magique",1,IF(J27="Mixte",Paramètres!$B$32,0))*Paramètres!$B$12*(Paramètres!$B$5+(1-Paramètres!$B$5)*((K27-Paramètres!$B$7)/(Paramètres!$B$8-Paramètres!$B$7))^Paramètres!$B$6)*INDEX(Rôles!$C$18:$C$22,AZ27)*INDEX(Rôles!$C$5:$C$13,AY27)/(Paramètres!$B$35*(1-Paramètres!$B$36)),0)</f>
        <v>0</v>
      </c>
      <c r="O27" s="29" t="n">
        <f aca="false" t="array" ref="O27:O27">ROUND(Paramètres!$B$18*(Paramètres!$B$5+(1-Paramètres!$B$5)*((K27-Paramètres!$B$7)/(Paramètres!$B$8-Paramètres!$B$7))^Paramètres!$B$6)*INDEX(Rôles!$D$5:$D$13,AY27)*INDEX(Rôles!$D$18:$D$22,AZ27),0)</f>
        <v>60</v>
      </c>
      <c r="P27" s="29" t="n">
        <f aca="false" t="array" ref="P27:P27">ROUND(Paramètres!$B$19*(Paramètres!$B$5+(1-Paramètres!$B$5)*((K27-Paramètres!$B$7)/(Paramètres!$B$8-Paramètres!$B$7))^Paramètres!$B$6)*INDEX(Rôles!$E$5:$E$13,AY27)*INDEX(Rôles!$D$18:$D$22,AZ27),0)</f>
        <v>63</v>
      </c>
      <c r="Q27" s="29" t="n">
        <f aca="false" t="array" ref="Q27:Q27">ROUND(Paramètres!$B$20*(Paramètres!$B$5+(1-Paramètres!$B$5)*((K27-Paramètres!$B$7)/(Paramètres!$B$8-Paramètres!$B$7))^Paramètres!$B$6)*INDEX(Rôles!$F$5:$F$13,AY27),0)</f>
        <v>32</v>
      </c>
      <c r="R27" s="29" t="n">
        <f aca="false">ROUND(Paramètres!$B$64*$AX27*INDEX(Rôles!$N$5:$N$13,$AY27)*INDEX(Rôles!$I$18:$I$22,$AZ27),0)</f>
        <v>27</v>
      </c>
      <c r="S27" s="30" t="n">
        <f aca="false" t="array" ref="S27:S27">MIN(1,ROUND(Paramètres!$B$21*INDEX(Rôles!$G$5:$G$13,AY27),3))</f>
        <v>0.9</v>
      </c>
      <c r="T27" s="30" t="n">
        <f aca="false" t="array" ref="T27:T27">MIN(Paramètres!$B$28,ROUND(Paramètres!$B$22*INDEX(Rôles!$H$5:$H$13,AY27),3))</f>
        <v>0.05</v>
      </c>
      <c r="U27" s="30" t="n">
        <f aca="false" t="array" ref="U27:U27">ROUND(Paramètres!$B$23*INDEX(Rôles!$I$5:$I$13,AY27),3)</f>
        <v>0.5</v>
      </c>
      <c r="V27" s="30" t="n">
        <f aca="false" t="array" ref="V27:V27">MIN(Paramètres!$B$29,ROUND(Paramètres!$B$24*INDEX(Rôles!$J$5:$J$13,AY27),3))</f>
        <v>0.025</v>
      </c>
      <c r="W27" s="30" t="n">
        <f aca="false" t="array" ref="W27:W27">MIN(Paramètres!$B$27,ROUND((Paramètres!$B$25+(Paramètres!$B$26-Paramètres!$B$25)*(K27-Paramètres!$B$7)/(Paramètres!$B$8-Paramètres!$B$7))*INDEX(Rôles!$K$5:$K$13,AY27)+INDEX(Rôles!$G$18:$G$22,AZ27),3))</f>
        <v>0.088</v>
      </c>
      <c r="X27" s="30" t="n">
        <f aca="false">ROUND(1-(1-P27/(P27+(Paramètres!$B$19*(Paramètres!$B$5+(1-Paramètres!$B$5)*((K27-Paramètres!$B$7)/(Paramètres!$B$8-Paramètres!$B$7))^Paramètres!$B$6)*(1-Paramètres!$B$30)/Paramètres!$B$30)))*(1-O27/(O27+(Paramètres!$B$18*(Paramètres!$B$5+(1-Paramètres!$B$5)*((K27-Paramètres!$B$7)/(Paramètres!$B$8-Paramètres!$B$7))^Paramètres!$B$6)*(1-Paramètres!$B$31)/Paramètres!$B$31))),3)</f>
        <v>0.231</v>
      </c>
      <c r="Y27" s="30" t="n">
        <f aca="false">ROUND(O27/(O27+(Paramètres!$B$18*(Paramètres!$B$5+(1-Paramètres!$B$5)*((K27-Paramètres!$B$7)/(Paramètres!$B$8-Paramètres!$B$7))^Paramètres!$B$6)*(1-Paramètres!$B$31)/Paramètres!$B$31)),3)</f>
        <v>0.095</v>
      </c>
      <c r="Z27" s="31" t="n">
        <f aca="false" t="array" ref="Z27:Z27">IF(E27="Neutre",0,MIN(1,INDEX(Rôles!$L$5:$L$13,AY27)+INDEX(Rôles!$F$18:$F$22,AZ27)))</f>
        <v>0.5</v>
      </c>
      <c r="AA27" s="32" t="n">
        <f aca="false" t="array" ref="AA27:AA27">ROUND(INDEX(Rôles!$C$18:$C$22,AZ27)*INDEX(Rôles!$C$5:$C$13,AY27),4)</f>
        <v>0.0158</v>
      </c>
      <c r="AB27" s="33" t="n">
        <f aca="false" t="array" ref="AB27:AB27">ROUND(INDEX(Rôles!$B$18:$B$22,AZ27)*INDEX(Rôles!$B$5:$B$13,AY27),2)</f>
        <v>1.9</v>
      </c>
      <c r="AC27" s="33" t="n">
        <f aca="false" t="array" ref="AC27:AC27">INDEX(Rôles!$E$18:$E$22,AZ27)</f>
        <v>1</v>
      </c>
      <c r="AD27" s="23" t="str">
        <f aca="false" t="array" ref="AD27:AD27">INDEX(Éléments!$F$5:$F$14,MATCH(E27,Éléments!$A$5:$A$14,0))</f>
        <v>Eau</v>
      </c>
      <c r="AE27" s="23" t="str">
        <f aca="false" t="array" ref="AE27:AE27">INDEX(Éléments!$G$5:$G$14,MATCH(E27,Éléments!$A$5:$A$14,0))</f>
        <v>Glace</v>
      </c>
      <c r="AF27" s="34" t="s">
        <v>209</v>
      </c>
      <c r="AG27" s="35" t="n">
        <v>0.3</v>
      </c>
      <c r="AH27" s="34" t="s">
        <v>141</v>
      </c>
      <c r="AI27" s="35" t="n">
        <v>0.1</v>
      </c>
      <c r="AJ27" s="29" t="n">
        <f aca="false" t="array" ref="AJ27:AJ27">ROUND(ROUND(Paramètres!$B$49*K27^Paramètres!$B$50,0)*INDEX(Rôles!$E$18:$E$22,AZ27),0)</f>
        <v>335</v>
      </c>
      <c r="AK27" s="29" t="n">
        <f aca="false" t="array" ref="AK27:AK27">ROUND(ROUND(Paramètres!$B$53*K27^Paramètres!$B$54,0)*INDEX(Rôles!$E$18:$E$22,AZ27),0)</f>
        <v>231</v>
      </c>
      <c r="AL27" s="36" t="n">
        <f aca="false">INDEX(Butin!$B$7:$B$11,AZ27)</f>
        <v>0.05</v>
      </c>
      <c r="AM27" s="37" t="n">
        <f aca="false">INDEX(Butin!$E$7:$E$11,AZ27)</f>
        <v>0.05</v>
      </c>
      <c r="AN27" s="30" t="n">
        <f aca="false">IF($H27="Boss",INDEX(Butin!$E$28:$K$37,MATCH($B27,Éléments!$C$5:$C$14,1),1),IF($H27="Dragon",INDEX(Butin!$E$41:$K$50,MATCH($B27,Éléments!$C$5:$C$14,1),1),INDEX(Butin!$E$15:$K$24,MATCH($B27,Éléments!$C$5:$C$14,1),1)))</f>
        <v>0.52</v>
      </c>
      <c r="AO27" s="30" t="n">
        <f aca="false">IF($H27="Boss",INDEX(Butin!$E$28:$K$37,MATCH($B27,Éléments!$C$5:$C$14,1),2),IF($H27="Dragon",INDEX(Butin!$E$41:$K$50,MATCH($B27,Éléments!$C$5:$C$14,1),2),INDEX(Butin!$E$15:$K$24,MATCH($B27,Éléments!$C$5:$C$14,1),2)))</f>
        <v>0.32</v>
      </c>
      <c r="AP27" s="30" t="n">
        <f aca="false">IF($H27="Boss",INDEX(Butin!$E$28:$K$37,MATCH($B27,Éléments!$C$5:$C$14,1),3),IF($H27="Dragon",INDEX(Butin!$E$41:$K$50,MATCH($B27,Éléments!$C$5:$C$14,1),3),INDEX(Butin!$E$15:$K$24,MATCH($B27,Éléments!$C$5:$C$14,1),3)))</f>
        <v>0.13</v>
      </c>
      <c r="AQ27" s="30" t="n">
        <f aca="false">IF($H27="Boss",INDEX(Butin!$E$28:$K$37,MATCH($B27,Éléments!$C$5:$C$14,1),4),IF($H27="Dragon",INDEX(Butin!$E$41:$K$50,MATCH($B27,Éléments!$C$5:$C$14,1),4),INDEX(Butin!$E$15:$K$24,MATCH($B27,Éléments!$C$5:$C$14,1),4)))</f>
        <v>0.03</v>
      </c>
      <c r="AR27" s="30" t="n">
        <f aca="false">IF($H27="Boss",INDEX(Butin!$E$28:$K$37,MATCH($B27,Éléments!$C$5:$C$14,1),5),IF($H27="Dragon",INDEX(Butin!$E$41:$K$50,MATCH($B27,Éléments!$C$5:$C$14,1),5),INDEX(Butin!$E$15:$K$24,MATCH($B27,Éléments!$C$5:$C$14,1),5)))</f>
        <v>0</v>
      </c>
      <c r="AS27" s="30" t="n">
        <f aca="false">IF($H27="Boss",INDEX(Butin!$E$28:$K$37,MATCH($B27,Éléments!$C$5:$C$14,1),6),IF($H27="Dragon",INDEX(Butin!$E$41:$K$50,MATCH($B27,Éléments!$C$5:$C$14,1),6),INDEX(Butin!$E$15:$K$24,MATCH($B27,Éléments!$C$5:$C$14,1),6)))</f>
        <v>0</v>
      </c>
      <c r="AT27" s="30" t="n">
        <f aca="false">IF($H27="Boss",INDEX(Butin!$E$28:$K$37,MATCH($B27,Éléments!$C$5:$C$14,1),7),IF($H27="Dragon",INDEX(Butin!$E$41:$K$50,MATCH($B27,Éléments!$C$5:$C$14,1),7),INDEX(Butin!$E$15:$K$24,MATCH($B27,Éléments!$C$5:$C$14,1),7)))</f>
        <v>0</v>
      </c>
      <c r="AU27" s="38" t="str">
        <f aca="false">IF(AT27=0,"—",INDEX(Butin!$D$54:$D$63,MATCH($B27,Éléments!$C$5:$C$14,1))&amp;" · "&amp;INDEX(Butin!$F$54:$F$63,MATCH($B27,Éléments!$C$5:$C$14,1))&amp;" · "&amp;INDEX(Butin!$H$54:$H$63,MATCH($B27,Éléments!$C$5:$C$14,1)))</f>
        <v>—</v>
      </c>
      <c r="AV27" s="20" t="s">
        <v>208</v>
      </c>
      <c r="AW27" s="39" t="str">
        <f aca="false">B27&amp;IF(G27="Oui","|B","|N")</f>
        <v>25|N</v>
      </c>
      <c r="AX27" s="40" t="n">
        <f aca="false">(Paramètres!$B$5+(1-Paramètres!$B$5)*((K27-Paramètres!$B$7)/(Paramètres!$B$8-Paramètres!$B$7))^Paramètres!$B$6)</f>
        <v>0.223466198806946</v>
      </c>
      <c r="AY27" s="39" t="n">
        <f aca="false">MATCH(I27,Rôles!$A$5:$A$13,0)</f>
        <v>1</v>
      </c>
      <c r="AZ27" s="39" t="n">
        <f aca="false">MATCH(H27,Rôles!$A$18:$A$22,0)</f>
        <v>2</v>
      </c>
    </row>
    <row r="28" customFormat="false" ht="15.75" hidden="false" customHeight="true" outlineLevel="0" collapsed="false">
      <c r="A28" s="20" t="s">
        <v>210</v>
      </c>
      <c r="B28" s="21" t="n">
        <v>25</v>
      </c>
      <c r="C28" s="22" t="str">
        <f aca="false" t="array" ref="C28:C28">INDEX(Zones!$B$6:$B$35,MATCH(B28,Zones!$A$6:$A$35,0))</f>
        <v>Océan de lave</v>
      </c>
      <c r="D28" s="23" t="str">
        <f aca="false" t="array" ref="D28:D28">INDEX(Éléments!$B$5:$B$14,MATCH(B28,Éléments!$C$5:$C$14,1))</f>
        <v>Volcan</v>
      </c>
      <c r="E28" s="42" t="str">
        <f aca="false" t="array" ref="E28:E28">INDEX(Éléments!$A$5:$A$14,MATCH(B28,Éléments!$C$5:$C$14,1))</f>
        <v>Feu</v>
      </c>
      <c r="F28" s="25" t="s">
        <v>211</v>
      </c>
      <c r="G28" s="23" t="str">
        <f aca="false">IF(OR(H28="Boss",H28="Dragon"),"Oui","Non")</f>
        <v>Oui</v>
      </c>
      <c r="H28" s="26" t="s">
        <v>152</v>
      </c>
      <c r="I28" s="26" t="s">
        <v>149</v>
      </c>
      <c r="J28" s="26" t="s">
        <v>140</v>
      </c>
      <c r="K28" s="27" t="n">
        <f aca="false">IF($F$3="",B28,$F$3)</f>
        <v>25</v>
      </c>
      <c r="L28" s="28" t="n">
        <f aca="false" t="array" ref="L28:L28">ROUND(Paramètres!$B$16*(Paramètres!$B$5+(1-Paramètres!$B$5)*((K28-Paramètres!$B$7)/(Paramètres!$B$8-Paramètres!$B$7))^Paramètres!$B$6)*INDEX(Rôles!$B$18:$B$22,AZ28)*INDEX(Rôles!$B$5:$B$13,AY28),0)</f>
        <v>3168</v>
      </c>
      <c r="M28" s="29" t="n">
        <f aca="false" t="array" ref="M28:M28">ROUND(IF(J28="Physique",1,IF(J28="Mixte",Paramètres!$B$32,0))*Paramètres!$B$12*(Paramètres!$B$5+(1-Paramètres!$B$5)*((K28-Paramètres!$B$7)/(Paramètres!$B$8-Paramètres!$B$7))^Paramètres!$B$6)*INDEX(Rôles!$C$18:$C$22,AZ28)*INDEX(Rôles!$C$5:$C$13,AY28)/(Paramètres!$B$35*(1-Paramètres!$B$36)),0)</f>
        <v>146</v>
      </c>
      <c r="N28" s="29" t="n">
        <f aca="false" t="array" ref="N28:N28">ROUND(IF(J28="Magique",1,IF(J28="Mixte",Paramètres!$B$32,0))*Paramètres!$B$12*(Paramètres!$B$5+(1-Paramètres!$B$5)*((K28-Paramètres!$B$7)/(Paramètres!$B$8-Paramètres!$B$7))^Paramètres!$B$6)*INDEX(Rôles!$C$18:$C$22,AZ28)*INDEX(Rôles!$C$5:$C$13,AY28)/(Paramètres!$B$35*(1-Paramètres!$B$36)),0)</f>
        <v>0</v>
      </c>
      <c r="O28" s="29" t="n">
        <f aca="false" t="array" ref="O28:O28">ROUND(Paramètres!$B$18*(Paramètres!$B$5+(1-Paramètres!$B$5)*((K28-Paramètres!$B$7)/(Paramètres!$B$8-Paramètres!$B$7))^Paramètres!$B$6)*INDEX(Rôles!$D$5:$D$13,AY28)*INDEX(Rôles!$D$18:$D$22,AZ28),0)</f>
        <v>157</v>
      </c>
      <c r="P28" s="29" t="n">
        <f aca="false" t="array" ref="P28:P28">ROUND(Paramètres!$B$19*(Paramètres!$B$5+(1-Paramètres!$B$5)*((K28-Paramètres!$B$7)/(Paramètres!$B$8-Paramètres!$B$7))^Paramètres!$B$6)*INDEX(Rôles!$E$5:$E$13,AY28)*INDEX(Rôles!$D$18:$D$22,AZ28),0)</f>
        <v>174</v>
      </c>
      <c r="Q28" s="29" t="n">
        <f aca="false" t="array" ref="Q28:Q28">ROUND(Paramètres!$B$20*(Paramètres!$B$5+(1-Paramètres!$B$5)*((K28-Paramètres!$B$7)/(Paramètres!$B$8-Paramètres!$B$7))^Paramètres!$B$6)*INDEX(Rôles!$F$5:$F$13,AY28),0)</f>
        <v>16</v>
      </c>
      <c r="R28" s="29" t="n">
        <f aca="false">ROUND(Paramètres!$B$64*$AX28*INDEX(Rôles!$N$5:$N$13,$AY28)*INDEX(Rôles!$I$18:$I$22,$AZ28),0)</f>
        <v>18</v>
      </c>
      <c r="S28" s="30" t="n">
        <f aca="false" t="array" ref="S28:S28">MIN(1,ROUND(Paramètres!$B$21*INDEX(Rôles!$G$5:$G$13,AY28),3))</f>
        <v>0.765</v>
      </c>
      <c r="T28" s="30" t="n">
        <f aca="false" t="array" ref="T28:T28">MIN(Paramètres!$B$28,ROUND(Paramètres!$B$22*INDEX(Rôles!$H$5:$H$13,AY28),3))</f>
        <v>0.03</v>
      </c>
      <c r="U28" s="30" t="n">
        <f aca="false" t="array" ref="U28:U28">ROUND(Paramètres!$B$23*INDEX(Rôles!$I$5:$I$13,AY28),3)</f>
        <v>0.5</v>
      </c>
      <c r="V28" s="30" t="n">
        <f aca="false" t="array" ref="V28:V28">MIN(Paramètres!$B$29,ROUND(Paramètres!$B$24*INDEX(Rôles!$J$5:$J$13,AY28),3))</f>
        <v>0.04</v>
      </c>
      <c r="W28" s="30" t="n">
        <f aca="false" t="array" ref="W28:W28">MIN(Paramètres!$B$27,ROUND((Paramètres!$B$25+(Paramètres!$B$26-Paramètres!$B$25)*(K28-Paramètres!$B$7)/(Paramètres!$B$8-Paramètres!$B$7))*INDEX(Rôles!$K$5:$K$13,AY28)+INDEX(Rôles!$G$18:$G$22,AZ28),3))</f>
        <v>0.333</v>
      </c>
      <c r="X28" s="30" t="n">
        <f aca="false">ROUND(1-(1-P28/(P28+(Paramètres!$B$19*(Paramètres!$B$5+(1-Paramètres!$B$5)*((K28-Paramètres!$B$7)/(Paramètres!$B$8-Paramètres!$B$7))^Paramètres!$B$6)*(1-Paramètres!$B$30)/Paramètres!$B$30)))*(1-O28/(O28+(Paramètres!$B$18*(Paramètres!$B$5+(1-Paramètres!$B$5)*((K28-Paramètres!$B$7)/(Paramètres!$B$8-Paramètres!$B$7))^Paramètres!$B$6)*(1-Paramètres!$B$31)/Paramètres!$B$31))),3)</f>
        <v>0.473</v>
      </c>
      <c r="Y28" s="30" t="n">
        <f aca="false">ROUND(O28/(O28+(Paramètres!$B$18*(Paramètres!$B$5+(1-Paramètres!$B$5)*((K28-Paramètres!$B$7)/(Paramètres!$B$8-Paramètres!$B$7))^Paramètres!$B$6)*(1-Paramètres!$B$31)/Paramètres!$B$31)),3)</f>
        <v>0.216</v>
      </c>
      <c r="Z28" s="31" t="n">
        <f aca="false" t="array" ref="Z28:Z28">IF(E28="Neutre",0,MIN(1,INDEX(Rôles!$L$5:$L$13,AY28)+INDEX(Rôles!$F$18:$F$22,AZ28)))</f>
        <v>0.6</v>
      </c>
      <c r="AA28" s="32" t="n">
        <f aca="false" t="array" ref="AA28:AA28">ROUND(INDEX(Rôles!$C$18:$C$22,AZ28)*INDEX(Rôles!$C$5:$C$13,AY28),4)</f>
        <v>0.0285</v>
      </c>
      <c r="AB28" s="33" t="n">
        <f aca="false" t="array" ref="AB28:AB28">ROUND(INDEX(Rôles!$B$18:$B$22,AZ28)*INDEX(Rôles!$B$5:$B$13,AY28),2)</f>
        <v>18</v>
      </c>
      <c r="AC28" s="33" t="n">
        <f aca="false" t="array" ref="AC28:AC28">INDEX(Rôles!$E$18:$E$22,AZ28)</f>
        <v>8</v>
      </c>
      <c r="AD28" s="23" t="str">
        <f aca="false" t="array" ref="AD28:AD28">INDEX(Éléments!$F$5:$F$14,MATCH(E28,Éléments!$A$5:$A$14,0))</f>
        <v>Eau</v>
      </c>
      <c r="AE28" s="23" t="str">
        <f aca="false" t="array" ref="AE28:AE28">INDEX(Éléments!$G$5:$G$14,MATCH(E28,Éléments!$A$5:$A$14,0))</f>
        <v>Glace</v>
      </c>
      <c r="AF28" s="34" t="s">
        <v>209</v>
      </c>
      <c r="AG28" s="35" t="n">
        <v>0.35</v>
      </c>
      <c r="AH28" s="34" t="s">
        <v>142</v>
      </c>
      <c r="AI28" s="35" t="n">
        <v>0.3</v>
      </c>
      <c r="AJ28" s="29" t="n">
        <f aca="false" t="array" ref="AJ28:AJ28">ROUND(ROUND(Paramètres!$B$49*K28^Paramètres!$B$50,0)*INDEX(Rôles!$E$18:$E$22,AZ28),0)</f>
        <v>2680</v>
      </c>
      <c r="AK28" s="29" t="n">
        <f aca="false" t="array" ref="AK28:AK28">ROUND(ROUND(Paramètres!$B$53*K28^Paramètres!$B$54,0)*INDEX(Rôles!$E$18:$E$22,AZ28),0)</f>
        <v>1848</v>
      </c>
      <c r="AL28" s="36" t="n">
        <f aca="false">INDEX(Butin!$B$7:$B$11,AZ28)</f>
        <v>1</v>
      </c>
      <c r="AM28" s="37" t="n">
        <f aca="false">INDEX(Butin!$E$7:$E$11,AZ28)</f>
        <v>1.4</v>
      </c>
      <c r="AN28" s="30" t="n">
        <f aca="false">IF($H28="Boss",INDEX(Butin!$E$28:$K$37,MATCH($B28,Éléments!$C$5:$C$14,1),1),IF($H28="Dragon",INDEX(Butin!$E$41:$K$50,MATCH($B28,Éléments!$C$5:$C$14,1),1),INDEX(Butin!$E$15:$K$24,MATCH($B28,Éléments!$C$5:$C$14,1),1)))</f>
        <v>0.18</v>
      </c>
      <c r="AO28" s="30" t="n">
        <f aca="false">IF($H28="Boss",INDEX(Butin!$E$28:$K$37,MATCH($B28,Éléments!$C$5:$C$14,1),2),IF($H28="Dragon",INDEX(Butin!$E$41:$K$50,MATCH($B28,Éléments!$C$5:$C$14,1),2),INDEX(Butin!$E$15:$K$24,MATCH($B28,Éléments!$C$5:$C$14,1),2)))</f>
        <v>0.32</v>
      </c>
      <c r="AP28" s="30" t="n">
        <f aca="false">IF($H28="Boss",INDEX(Butin!$E$28:$K$37,MATCH($B28,Éléments!$C$5:$C$14,1),3),IF($H28="Dragon",INDEX(Butin!$E$41:$K$50,MATCH($B28,Éléments!$C$5:$C$14,1),3),INDEX(Butin!$E$15:$K$24,MATCH($B28,Éléments!$C$5:$C$14,1),3)))</f>
        <v>0.3</v>
      </c>
      <c r="AQ28" s="30" t="n">
        <f aca="false">IF($H28="Boss",INDEX(Butin!$E$28:$K$37,MATCH($B28,Éléments!$C$5:$C$14,1),4),IF($H28="Dragon",INDEX(Butin!$E$41:$K$50,MATCH($B28,Éléments!$C$5:$C$14,1),4),INDEX(Butin!$E$15:$K$24,MATCH($B28,Éléments!$C$5:$C$14,1),4)))</f>
        <v>0.14</v>
      </c>
      <c r="AR28" s="30" t="n">
        <f aca="false">IF($H28="Boss",INDEX(Butin!$E$28:$K$37,MATCH($B28,Éléments!$C$5:$C$14,1),5),IF($H28="Dragon",INDEX(Butin!$E$41:$K$50,MATCH($B28,Éléments!$C$5:$C$14,1),5),INDEX(Butin!$E$15:$K$24,MATCH($B28,Éléments!$C$5:$C$14,1),5)))</f>
        <v>0.03</v>
      </c>
      <c r="AS28" s="30" t="n">
        <f aca="false">IF($H28="Boss",INDEX(Butin!$E$28:$K$37,MATCH($B28,Éléments!$C$5:$C$14,1),6),IF($H28="Dragon",INDEX(Butin!$E$41:$K$50,MATCH($B28,Éléments!$C$5:$C$14,1),6),INDEX(Butin!$E$15:$K$24,MATCH($B28,Éléments!$C$5:$C$14,1),6)))</f>
        <v>0</v>
      </c>
      <c r="AT28" s="30" t="n">
        <f aca="false">IF($H28="Boss",INDEX(Butin!$E$28:$K$37,MATCH($B28,Éléments!$C$5:$C$14,1),7),IF($H28="Dragon",INDEX(Butin!$E$41:$K$50,MATCH($B28,Éléments!$C$5:$C$14,1),7),INDEX(Butin!$E$15:$K$24,MATCH($B28,Éléments!$C$5:$C$14,1),7)))</f>
        <v>0.03</v>
      </c>
      <c r="AU28" s="38" t="str">
        <f aca="false">IF(AT28=0,"—",INDEX(Butin!$D$54:$D$63,MATCH($B28,Éléments!$C$5:$C$14,1))&amp;" · "&amp;INDEX(Butin!$F$54:$F$63,MATCH($B28,Éléments!$C$5:$C$14,1))&amp;" · "&amp;INDEX(Butin!$H$54:$H$63,MATCH($B28,Éléments!$C$5:$C$14,1)))</f>
        <v>Jambières du Brasier Marchant · Ceinture du Feu Intérieur · Anneau des Flèches Ardentes</v>
      </c>
      <c r="AV28" s="20" t="s">
        <v>211</v>
      </c>
      <c r="AW28" s="39" t="str">
        <f aca="false">B28&amp;IF(G28="Oui","|B","|N")</f>
        <v>25|B</v>
      </c>
      <c r="AX28" s="40" t="n">
        <f aca="false">(Paramètres!$B$5+(1-Paramètres!$B$5)*((K28-Paramètres!$B$7)/(Paramètres!$B$8-Paramètres!$B$7))^Paramètres!$B$6)</f>
        <v>0.223466198806946</v>
      </c>
      <c r="AY28" s="39" t="n">
        <f aca="false">MATCH(I28,Rôles!$A$5:$A$13,0)</f>
        <v>2</v>
      </c>
      <c r="AZ28" s="39" t="n">
        <f aca="false">MATCH(H28,Rôles!$A$18:$A$22,0)</f>
        <v>4</v>
      </c>
    </row>
    <row r="29" customFormat="false" ht="15.75" hidden="false" customHeight="true" outlineLevel="0" collapsed="false">
      <c r="A29" s="20" t="s">
        <v>212</v>
      </c>
      <c r="B29" s="21" t="n">
        <v>25</v>
      </c>
      <c r="C29" s="22" t="str">
        <f aca="false" t="array" ref="C29:C29">INDEX(Zones!$B$6:$B$35,MATCH(B29,Zones!$A$6:$A$35,0))</f>
        <v>Océan de lave</v>
      </c>
      <c r="D29" s="23" t="str">
        <f aca="false" t="array" ref="D29:D29">INDEX(Éléments!$B$5:$B$14,MATCH(B29,Éléments!$C$5:$C$14,1))</f>
        <v>Volcan</v>
      </c>
      <c r="E29" s="42" t="str">
        <f aca="false" t="array" ref="E29:E29">INDEX(Éléments!$A$5:$A$14,MATCH(B29,Éléments!$C$5:$C$14,1))</f>
        <v>Feu</v>
      </c>
      <c r="F29" s="25" t="s">
        <v>213</v>
      </c>
      <c r="G29" s="23" t="str">
        <f aca="false">IF(OR(H29="Boss",H29="Dragon"),"Oui","Non")</f>
        <v>Non</v>
      </c>
      <c r="H29" s="26" t="s">
        <v>148</v>
      </c>
      <c r="I29" s="26" t="s">
        <v>149</v>
      </c>
      <c r="J29" s="26" t="s">
        <v>140</v>
      </c>
      <c r="K29" s="27" t="n">
        <f aca="false">IF($F$3="",B29,$F$3)</f>
        <v>25</v>
      </c>
      <c r="L29" s="28" t="n">
        <f aca="false" t="array" ref="L29:L29">ROUND(Paramètres!$B$16*(Paramètres!$B$5+(1-Paramètres!$B$5)*((K29-Paramètres!$B$7)/(Paramètres!$B$8-Paramètres!$B$7))^Paramètres!$B$6)*INDEX(Rôles!$B$18:$B$22,AZ29)*INDEX(Rôles!$B$5:$B$13,AY29),0)</f>
        <v>739</v>
      </c>
      <c r="M29" s="29" t="n">
        <f aca="false" t="array" ref="M29:M29">ROUND(IF(J29="Physique",1,IF(J29="Mixte",Paramètres!$B$32,0))*Paramètres!$B$12*(Paramètres!$B$5+(1-Paramètres!$B$5)*((K29-Paramètres!$B$7)/(Paramètres!$B$8-Paramètres!$B$7))^Paramètres!$B$6)*INDEX(Rôles!$C$18:$C$22,AZ29)*INDEX(Rôles!$C$5:$C$13,AY29)/(Paramètres!$B$35*(1-Paramètres!$B$36)),0)</f>
        <v>92</v>
      </c>
      <c r="N29" s="29" t="n">
        <f aca="false" t="array" ref="N29:N29">ROUND(IF(J29="Magique",1,IF(J29="Mixte",Paramètres!$B$32,0))*Paramètres!$B$12*(Paramètres!$B$5+(1-Paramètres!$B$5)*((K29-Paramètres!$B$7)/(Paramètres!$B$8-Paramètres!$B$7))^Paramètres!$B$6)*INDEX(Rôles!$C$18:$C$22,AZ29)*INDEX(Rôles!$C$5:$C$13,AY29)/(Paramètres!$B$35*(1-Paramètres!$B$36)),0)</f>
        <v>0</v>
      </c>
      <c r="O29" s="29" t="n">
        <f aca="false" t="array" ref="O29:O29">ROUND(Paramètres!$B$18*(Paramètres!$B$5+(1-Paramètres!$B$5)*((K29-Paramètres!$B$7)/(Paramètres!$B$8-Paramètres!$B$7))^Paramètres!$B$6)*INDEX(Rôles!$D$5:$D$13,AY29)*INDEX(Rôles!$D$18:$D$22,AZ29),0)</f>
        <v>139</v>
      </c>
      <c r="P29" s="29" t="n">
        <f aca="false" t="array" ref="P29:P29">ROUND(Paramètres!$B$19*(Paramètres!$B$5+(1-Paramètres!$B$5)*((K29-Paramètres!$B$7)/(Paramètres!$B$8-Paramètres!$B$7))^Paramètres!$B$6)*INDEX(Rôles!$E$5:$E$13,AY29)*INDEX(Rôles!$D$18:$D$22,AZ29),0)</f>
        <v>154</v>
      </c>
      <c r="Q29" s="29" t="n">
        <f aca="false" t="array" ref="Q29:Q29">ROUND(Paramètres!$B$20*(Paramètres!$B$5+(1-Paramètres!$B$5)*((K29-Paramètres!$B$7)/(Paramètres!$B$8-Paramètres!$B$7))^Paramètres!$B$6)*INDEX(Rôles!$F$5:$F$13,AY29),0)</f>
        <v>16</v>
      </c>
      <c r="R29" s="29" t="n">
        <f aca="false">ROUND(Paramètres!$B$64*$AX29*INDEX(Rôles!$N$5:$N$13,$AY29)*INDEX(Rôles!$I$18:$I$22,$AZ29),0)</f>
        <v>16</v>
      </c>
      <c r="S29" s="30" t="n">
        <f aca="false" t="array" ref="S29:S29">MIN(1,ROUND(Paramètres!$B$21*INDEX(Rôles!$G$5:$G$13,AY29),3))</f>
        <v>0.765</v>
      </c>
      <c r="T29" s="30" t="n">
        <f aca="false" t="array" ref="T29:T29">MIN(Paramètres!$B$28,ROUND(Paramètres!$B$22*INDEX(Rôles!$H$5:$H$13,AY29),3))</f>
        <v>0.03</v>
      </c>
      <c r="U29" s="30" t="n">
        <f aca="false" t="array" ref="U29:U29">ROUND(Paramètres!$B$23*INDEX(Rôles!$I$5:$I$13,AY29),3)</f>
        <v>0.5</v>
      </c>
      <c r="V29" s="30" t="n">
        <f aca="false" t="array" ref="V29:V29">MIN(Paramètres!$B$29,ROUND(Paramètres!$B$24*INDEX(Rôles!$J$5:$J$13,AY29),3))</f>
        <v>0.04</v>
      </c>
      <c r="W29" s="30" t="n">
        <f aca="false" t="array" ref="W29:W29">MIN(Paramètres!$B$27,ROUND((Paramètres!$B$25+(Paramètres!$B$26-Paramètres!$B$25)*(K29-Paramètres!$B$7)/(Paramètres!$B$8-Paramètres!$B$7))*INDEX(Rôles!$K$5:$K$13,AY29)+INDEX(Rôles!$G$18:$G$22,AZ29),3))</f>
        <v>0.133</v>
      </c>
      <c r="X29" s="30" t="n">
        <f aca="false">ROUND(1-(1-P29/(P29+(Paramètres!$B$19*(Paramètres!$B$5+(1-Paramètres!$B$5)*((K29-Paramètres!$B$7)/(Paramètres!$B$8-Paramètres!$B$7))^Paramètres!$B$6)*(1-Paramètres!$B$30)/Paramètres!$B$30)))*(1-O29/(O29+(Paramètres!$B$18*(Paramètres!$B$5+(1-Paramètres!$B$5)*((K29-Paramètres!$B$7)/(Paramètres!$B$8-Paramètres!$B$7))^Paramètres!$B$6)*(1-Paramètres!$B$31)/Paramètres!$B$31))),3)</f>
        <v>0.438</v>
      </c>
      <c r="Y29" s="30" t="n">
        <f aca="false">ROUND(O29/(O29+(Paramètres!$B$18*(Paramètres!$B$5+(1-Paramètres!$B$5)*((K29-Paramètres!$B$7)/(Paramètres!$B$8-Paramètres!$B$7))^Paramètres!$B$6)*(1-Paramètres!$B$31)/Paramètres!$B$31)),3)</f>
        <v>0.196</v>
      </c>
      <c r="Z29" s="31" t="n">
        <f aca="false" t="array" ref="Z29:Z29">IF(E29="Neutre",0,MIN(1,INDEX(Rôles!$L$5:$L$13,AY29)+INDEX(Rôles!$F$18:$F$22,AZ29)))</f>
        <v>0.4</v>
      </c>
      <c r="AA29" s="32" t="n">
        <f aca="false" t="array" ref="AA29:AA29">ROUND(INDEX(Rôles!$C$18:$C$22,AZ29)*INDEX(Rôles!$C$5:$C$13,AY29),4)</f>
        <v>0.0181</v>
      </c>
      <c r="AB29" s="33" t="n">
        <f aca="false" t="array" ref="AB29:AB29">ROUND(INDEX(Rôles!$B$18:$B$22,AZ29)*INDEX(Rôles!$B$5:$B$13,AY29),2)</f>
        <v>4.2</v>
      </c>
      <c r="AC29" s="33" t="n">
        <f aca="false" t="array" ref="AC29:AC29">INDEX(Rôles!$E$18:$E$22,AZ29)</f>
        <v>1.4</v>
      </c>
      <c r="AD29" s="23" t="str">
        <f aca="false" t="array" ref="AD29:AD29">INDEX(Éléments!$F$5:$F$14,MATCH(E29,Éléments!$A$5:$A$14,0))</f>
        <v>Eau</v>
      </c>
      <c r="AE29" s="23" t="str">
        <f aca="false" t="array" ref="AE29:AE29">INDEX(Éléments!$G$5:$G$14,MATCH(E29,Éléments!$A$5:$A$14,0))</f>
        <v>Glace</v>
      </c>
      <c r="AF29" s="34" t="s">
        <v>209</v>
      </c>
      <c r="AG29" s="35" t="n">
        <v>0.25</v>
      </c>
      <c r="AH29" s="34" t="s">
        <v>142</v>
      </c>
      <c r="AI29" s="35" t="n">
        <v>0.2</v>
      </c>
      <c r="AJ29" s="29" t="n">
        <f aca="false" t="array" ref="AJ29:AJ29">ROUND(ROUND(Paramètres!$B$49*K29^Paramètres!$B$50,0)*INDEX(Rôles!$E$18:$E$22,AZ29),0)</f>
        <v>469</v>
      </c>
      <c r="AK29" s="29" t="n">
        <f aca="false" t="array" ref="AK29:AK29">ROUND(ROUND(Paramètres!$B$53*K29^Paramètres!$B$54,0)*INDEX(Rôles!$E$18:$E$22,AZ29),0)</f>
        <v>323</v>
      </c>
      <c r="AL29" s="36" t="n">
        <f aca="false">INDEX(Butin!$B$7:$B$11,AZ29)</f>
        <v>0.08</v>
      </c>
      <c r="AM29" s="37" t="n">
        <f aca="false">INDEX(Butin!$E$7:$E$11,AZ29)</f>
        <v>0.08</v>
      </c>
      <c r="AN29" s="30" t="n">
        <f aca="false">IF($H29="Boss",INDEX(Butin!$E$28:$K$37,MATCH($B29,Éléments!$C$5:$C$14,1),1),IF($H29="Dragon",INDEX(Butin!$E$41:$K$50,MATCH($B29,Éléments!$C$5:$C$14,1),1),INDEX(Butin!$E$15:$K$24,MATCH($B29,Éléments!$C$5:$C$14,1),1)))</f>
        <v>0.52</v>
      </c>
      <c r="AO29" s="30" t="n">
        <f aca="false">IF($H29="Boss",INDEX(Butin!$E$28:$K$37,MATCH($B29,Éléments!$C$5:$C$14,1),2),IF($H29="Dragon",INDEX(Butin!$E$41:$K$50,MATCH($B29,Éléments!$C$5:$C$14,1),2),INDEX(Butin!$E$15:$K$24,MATCH($B29,Éléments!$C$5:$C$14,1),2)))</f>
        <v>0.32</v>
      </c>
      <c r="AP29" s="30" t="n">
        <f aca="false">IF($H29="Boss",INDEX(Butin!$E$28:$K$37,MATCH($B29,Éléments!$C$5:$C$14,1),3),IF($H29="Dragon",INDEX(Butin!$E$41:$K$50,MATCH($B29,Éléments!$C$5:$C$14,1),3),INDEX(Butin!$E$15:$K$24,MATCH($B29,Éléments!$C$5:$C$14,1),3)))</f>
        <v>0.13</v>
      </c>
      <c r="AQ29" s="30" t="n">
        <f aca="false">IF($H29="Boss",INDEX(Butin!$E$28:$K$37,MATCH($B29,Éléments!$C$5:$C$14,1),4),IF($H29="Dragon",INDEX(Butin!$E$41:$K$50,MATCH($B29,Éléments!$C$5:$C$14,1),4),INDEX(Butin!$E$15:$K$24,MATCH($B29,Éléments!$C$5:$C$14,1),4)))</f>
        <v>0.03</v>
      </c>
      <c r="AR29" s="30" t="n">
        <f aca="false">IF($H29="Boss",INDEX(Butin!$E$28:$K$37,MATCH($B29,Éléments!$C$5:$C$14,1),5),IF($H29="Dragon",INDEX(Butin!$E$41:$K$50,MATCH($B29,Éléments!$C$5:$C$14,1),5),INDEX(Butin!$E$15:$K$24,MATCH($B29,Éléments!$C$5:$C$14,1),5)))</f>
        <v>0</v>
      </c>
      <c r="AS29" s="30" t="n">
        <f aca="false">IF($H29="Boss",INDEX(Butin!$E$28:$K$37,MATCH($B29,Éléments!$C$5:$C$14,1),6),IF($H29="Dragon",INDEX(Butin!$E$41:$K$50,MATCH($B29,Éléments!$C$5:$C$14,1),6),INDEX(Butin!$E$15:$K$24,MATCH($B29,Éléments!$C$5:$C$14,1),6)))</f>
        <v>0</v>
      </c>
      <c r="AT29" s="30" t="n">
        <f aca="false">IF($H29="Boss",INDEX(Butin!$E$28:$K$37,MATCH($B29,Éléments!$C$5:$C$14,1),7),IF($H29="Dragon",INDEX(Butin!$E$41:$K$50,MATCH($B29,Éléments!$C$5:$C$14,1),7),INDEX(Butin!$E$15:$K$24,MATCH($B29,Éléments!$C$5:$C$14,1),7)))</f>
        <v>0</v>
      </c>
      <c r="AU29" s="38" t="str">
        <f aca="false">IF(AT29=0,"—",INDEX(Butin!$D$54:$D$63,MATCH($B29,Éléments!$C$5:$C$14,1))&amp;" · "&amp;INDEX(Butin!$F$54:$F$63,MATCH($B29,Éléments!$C$5:$C$14,1))&amp;" · "&amp;INDEX(Butin!$H$54:$H$63,MATCH($B29,Éléments!$C$5:$C$14,1)))</f>
        <v>—</v>
      </c>
      <c r="AV29" s="20" t="s">
        <v>213</v>
      </c>
      <c r="AW29" s="39" t="str">
        <f aca="false">B29&amp;IF(G29="Oui","|B","|N")</f>
        <v>25|N</v>
      </c>
      <c r="AX29" s="40" t="n">
        <f aca="false">(Paramètres!$B$5+(1-Paramètres!$B$5)*((K29-Paramètres!$B$7)/(Paramètres!$B$8-Paramètres!$B$7))^Paramètres!$B$6)</f>
        <v>0.223466198806946</v>
      </c>
      <c r="AY29" s="39" t="n">
        <f aca="false">MATCH(I29,Rôles!$A$5:$A$13,0)</f>
        <v>2</v>
      </c>
      <c r="AZ29" s="39" t="n">
        <f aca="false">MATCH(H29,Rôles!$A$18:$A$22,0)</f>
        <v>3</v>
      </c>
    </row>
    <row r="30" customFormat="false" ht="15.75" hidden="false" customHeight="true" outlineLevel="0" collapsed="false">
      <c r="A30" s="20" t="s">
        <v>214</v>
      </c>
      <c r="B30" s="21" t="n">
        <v>29</v>
      </c>
      <c r="C30" s="22" t="str">
        <f aca="false" t="array" ref="C30:C30">INDEX(Zones!$B$6:$B$35,MATCH(B30,Zones!$A$6:$A$35,0))</f>
        <v>Tannière du dragon (29)</v>
      </c>
      <c r="D30" s="23" t="str">
        <f aca="false" t="array" ref="D30:D30">INDEX(Éléments!$B$5:$B$14,MATCH(B30,Éléments!$C$5:$C$14,1))</f>
        <v>Volcan</v>
      </c>
      <c r="E30" s="42" t="str">
        <f aca="false" t="array" ref="E30:E30">INDEX(Éléments!$A$5:$A$14,MATCH(B30,Éléments!$C$5:$C$14,1))</f>
        <v>Feu</v>
      </c>
      <c r="F30" s="25" t="s">
        <v>215</v>
      </c>
      <c r="G30" s="23" t="str">
        <f aca="false">IF(OR(H30="Boss",H30="Dragon"),"Oui","Non")</f>
        <v>Oui</v>
      </c>
      <c r="H30" s="26" t="s">
        <v>156</v>
      </c>
      <c r="I30" s="26" t="s">
        <v>156</v>
      </c>
      <c r="J30" s="26" t="s">
        <v>157</v>
      </c>
      <c r="K30" s="27" t="n">
        <f aca="false">IF($F$3="",B30,$F$3)</f>
        <v>29</v>
      </c>
      <c r="L30" s="28" t="n">
        <f aca="false" t="array" ref="L30:L30">ROUND(Paramètres!$B$16*(Paramètres!$B$5+(1-Paramètres!$B$5)*((K30-Paramètres!$B$7)/(Paramètres!$B$8-Paramètres!$B$7))^Paramètres!$B$6)*INDEX(Rôles!$B$18:$B$22,AZ30)*INDEX(Rôles!$B$5:$B$13,AY30),0)</f>
        <v>4075</v>
      </c>
      <c r="M30" s="29" t="n">
        <f aca="false" t="array" ref="M30:M30">ROUND(IF(J30="Physique",1,IF(J30="Mixte",Paramètres!$B$32,0))*Paramètres!$B$12*(Paramètres!$B$5+(1-Paramètres!$B$5)*((K30-Paramètres!$B$7)/(Paramètres!$B$8-Paramètres!$B$7))^Paramètres!$B$6)*INDEX(Rôles!$C$18:$C$22,AZ30)*INDEX(Rôles!$C$5:$C$13,AY30)/(Paramètres!$B$35*(1-Paramètres!$B$36)),0)</f>
        <v>133</v>
      </c>
      <c r="N30" s="29" t="n">
        <f aca="false" t="array" ref="N30:N30">ROUND(IF(J30="Magique",1,IF(J30="Mixte",Paramètres!$B$32,0))*Paramètres!$B$12*(Paramètres!$B$5+(1-Paramètres!$B$5)*((K30-Paramètres!$B$7)/(Paramètres!$B$8-Paramètres!$B$7))^Paramètres!$B$6)*INDEX(Rôles!$C$18:$C$22,AZ30)*INDEX(Rôles!$C$5:$C$13,AY30)/(Paramètres!$B$35*(1-Paramètres!$B$36)),0)</f>
        <v>133</v>
      </c>
      <c r="O30" s="29" t="n">
        <f aca="false" t="array" ref="O30:O30">ROUND(Paramètres!$B$18*(Paramètres!$B$5+(1-Paramètres!$B$5)*((K30-Paramètres!$B$7)/(Paramètres!$B$8-Paramètres!$B$7))^Paramètres!$B$6)*INDEX(Rôles!$D$5:$D$13,AY30)*INDEX(Rôles!$D$18:$D$22,AZ30),0)</f>
        <v>197</v>
      </c>
      <c r="P30" s="29" t="n">
        <f aca="false" t="array" ref="P30:P30">ROUND(Paramètres!$B$19*(Paramètres!$B$5+(1-Paramètres!$B$5)*((K30-Paramètres!$B$7)/(Paramètres!$B$8-Paramètres!$B$7))^Paramètres!$B$6)*INDEX(Rôles!$E$5:$E$13,AY30)*INDEX(Rôles!$D$18:$D$22,AZ30),0)</f>
        <v>188</v>
      </c>
      <c r="Q30" s="29" t="n">
        <f aca="false" t="array" ref="Q30:Q30">ROUND(Paramètres!$B$20*(Paramètres!$B$5+(1-Paramètres!$B$5)*((K30-Paramètres!$B$7)/(Paramètres!$B$8-Paramètres!$B$7))^Paramètres!$B$6)*INDEX(Rôles!$F$5:$F$13,AY30),0)</f>
        <v>25</v>
      </c>
      <c r="R30" s="29" t="n">
        <f aca="false">ROUND(Paramètres!$B$64*$AX30*INDEX(Rôles!$N$5:$N$13,$AY30)*INDEX(Rôles!$I$18:$I$22,$AZ30),0)</f>
        <v>21</v>
      </c>
      <c r="S30" s="30" t="n">
        <f aca="false" t="array" ref="S30:S30">MIN(1,ROUND(Paramètres!$B$21*INDEX(Rôles!$G$5:$G$13,AY30),3))</f>
        <v>0.9</v>
      </c>
      <c r="T30" s="30" t="n">
        <f aca="false" t="array" ref="T30:T30">MIN(Paramètres!$B$28,ROUND(Paramètres!$B$22*INDEX(Rôles!$H$5:$H$13,AY30),3))</f>
        <v>0.05</v>
      </c>
      <c r="U30" s="30" t="n">
        <f aca="false" t="array" ref="U30:U30">ROUND(Paramètres!$B$23*INDEX(Rôles!$I$5:$I$13,AY30),3)</f>
        <v>0.5</v>
      </c>
      <c r="V30" s="30" t="n">
        <f aca="false" t="array" ref="V30:V30">MIN(Paramètres!$B$29,ROUND(Paramètres!$B$24*INDEX(Rôles!$J$5:$J$13,AY30),3))</f>
        <v>0.05</v>
      </c>
      <c r="W30" s="30" t="n">
        <f aca="false" t="array" ref="W30:W30">MIN(Paramètres!$B$27,ROUND((Paramètres!$B$25+(Paramètres!$B$26-Paramètres!$B$25)*(K30-Paramètres!$B$7)/(Paramètres!$B$8-Paramètres!$B$7))*INDEX(Rôles!$K$5:$K$13,AY30)+INDEX(Rôles!$G$18:$G$22,AZ30),3))</f>
        <v>0.357</v>
      </c>
      <c r="X30" s="30" t="n">
        <f aca="false">ROUND(1-(1-P30/(P30+(Paramètres!$B$19*(Paramètres!$B$5+(1-Paramètres!$B$5)*((K30-Paramètres!$B$7)/(Paramètres!$B$8-Paramètres!$B$7))^Paramètres!$B$6)*(1-Paramètres!$B$30)/Paramètres!$B$30)))*(1-O30/(O30+(Paramètres!$B$18*(Paramètres!$B$5+(1-Paramètres!$B$5)*((K30-Paramètres!$B$7)/(Paramètres!$B$8-Paramètres!$B$7))^Paramètres!$B$6)*(1-Paramètres!$B$31)/Paramètres!$B$31))),3)</f>
        <v>0.47</v>
      </c>
      <c r="Y30" s="30" t="n">
        <f aca="false">ROUND(O30/(O30+(Paramètres!$B$18*(Paramètres!$B$5+(1-Paramètres!$B$5)*((K30-Paramètres!$B$7)/(Paramètres!$B$8-Paramètres!$B$7))^Paramètres!$B$6)*(1-Paramètres!$B$31)/Paramètres!$B$31)),3)</f>
        <v>0.23</v>
      </c>
      <c r="Z30" s="31" t="n">
        <f aca="false" t="array" ref="Z30:Z30">IF(E30="Neutre",0,MIN(1,INDEX(Rôles!$L$5:$L$13,AY30)+INDEX(Rôles!$F$18:$F$22,AZ30)))</f>
        <v>1</v>
      </c>
      <c r="AA30" s="32" t="n">
        <f aca="false" t="array" ref="AA30:AA30">ROUND(INDEX(Rôles!$C$18:$C$22,AZ30)*INDEX(Rôles!$C$5:$C$13,AY30),4)</f>
        <v>0.03</v>
      </c>
      <c r="AB30" s="33" t="n">
        <f aca="false" t="array" ref="AB30:AB30">ROUND(INDEX(Rôles!$B$18:$B$22,AZ30)*INDEX(Rôles!$B$5:$B$13,AY30),2)</f>
        <v>20</v>
      </c>
      <c r="AC30" s="33" t="n">
        <f aca="false" t="array" ref="AC30:AC30">INDEX(Rôles!$E$18:$E$22,AZ30)</f>
        <v>12</v>
      </c>
      <c r="AD30" s="23" t="str">
        <f aca="false" t="array" ref="AD30:AD30">INDEX(Éléments!$F$5:$F$14,MATCH(E30,Éléments!$A$5:$A$14,0))</f>
        <v>Eau</v>
      </c>
      <c r="AE30" s="23" t="str">
        <f aca="false" t="array" ref="AE30:AE30">INDEX(Éléments!$G$5:$G$14,MATCH(E30,Éléments!$A$5:$A$14,0))</f>
        <v>Glace</v>
      </c>
      <c r="AF30" s="34" t="s">
        <v>209</v>
      </c>
      <c r="AG30" s="35" t="n">
        <v>0.4</v>
      </c>
      <c r="AH30" s="34" t="s">
        <v>142</v>
      </c>
      <c r="AI30" s="35" t="n">
        <v>0.2</v>
      </c>
      <c r="AJ30" s="29" t="n">
        <f aca="false" t="array" ref="AJ30:AJ30">ROUND(ROUND(Paramètres!$B$49*K30^Paramètres!$B$50,0)*INDEX(Rôles!$E$18:$E$22,AZ30),0)</f>
        <v>4848</v>
      </c>
      <c r="AK30" s="29" t="n">
        <f aca="false" t="array" ref="AK30:AK30">ROUND(ROUND(Paramètres!$B$53*K30^Paramètres!$B$54,0)*INDEX(Rôles!$E$18:$E$22,AZ30),0)</f>
        <v>3396</v>
      </c>
      <c r="AL30" s="36" t="n">
        <f aca="false">INDEX(Butin!$B$7:$B$11,AZ30)</f>
        <v>1</v>
      </c>
      <c r="AM30" s="37" t="n">
        <f aca="false">INDEX(Butin!$E$7:$E$11,AZ30)</f>
        <v>2.5</v>
      </c>
      <c r="AN30" s="30" t="n">
        <f aca="false">IF($H30="Boss",INDEX(Butin!$E$28:$K$37,MATCH($B30,Éléments!$C$5:$C$14,1),1),IF($H30="Dragon",INDEX(Butin!$E$41:$K$50,MATCH($B30,Éléments!$C$5:$C$14,1),1),INDEX(Butin!$E$15:$K$24,MATCH($B30,Éléments!$C$5:$C$14,1),1)))</f>
        <v>0.12</v>
      </c>
      <c r="AO30" s="30" t="n">
        <f aca="false">IF($H30="Boss",INDEX(Butin!$E$28:$K$37,MATCH($B30,Éléments!$C$5:$C$14,1),2),IF($H30="Dragon",INDEX(Butin!$E$41:$K$50,MATCH($B30,Éléments!$C$5:$C$14,1),2),INDEX(Butin!$E$15:$K$24,MATCH($B30,Éléments!$C$5:$C$14,1),2)))</f>
        <v>0.3</v>
      </c>
      <c r="AP30" s="30" t="n">
        <f aca="false">IF($H30="Boss",INDEX(Butin!$E$28:$K$37,MATCH($B30,Éléments!$C$5:$C$14,1),3),IF($H30="Dragon",INDEX(Butin!$E$41:$K$50,MATCH($B30,Éléments!$C$5:$C$14,1),3),INDEX(Butin!$E$15:$K$24,MATCH($B30,Éléments!$C$5:$C$14,1),3)))</f>
        <v>0.31</v>
      </c>
      <c r="AQ30" s="30" t="n">
        <f aca="false">IF($H30="Boss",INDEX(Butin!$E$28:$K$37,MATCH($B30,Éléments!$C$5:$C$14,1),4),IF($H30="Dragon",INDEX(Butin!$E$41:$K$50,MATCH($B30,Éléments!$C$5:$C$14,1),4),INDEX(Butin!$E$15:$K$24,MATCH($B30,Éléments!$C$5:$C$14,1),4)))</f>
        <v>0.18</v>
      </c>
      <c r="AR30" s="30" t="n">
        <f aca="false">IF($H30="Boss",INDEX(Butin!$E$28:$K$37,MATCH($B30,Éléments!$C$5:$C$14,1),5),IF($H30="Dragon",INDEX(Butin!$E$41:$K$50,MATCH($B30,Éléments!$C$5:$C$14,1),5),INDEX(Butin!$E$15:$K$24,MATCH($B30,Éléments!$C$5:$C$14,1),5)))</f>
        <v>0.04</v>
      </c>
      <c r="AS30" s="30" t="n">
        <f aca="false">IF($H30="Boss",INDEX(Butin!$E$28:$K$37,MATCH($B30,Éléments!$C$5:$C$14,1),6),IF($H30="Dragon",INDEX(Butin!$E$41:$K$50,MATCH($B30,Éléments!$C$5:$C$14,1),6),INDEX(Butin!$E$15:$K$24,MATCH($B30,Éléments!$C$5:$C$14,1),6)))</f>
        <v>0.005</v>
      </c>
      <c r="AT30" s="30" t="n">
        <f aca="false">IF($H30="Boss",INDEX(Butin!$E$28:$K$37,MATCH($B30,Éléments!$C$5:$C$14,1),7),IF($H30="Dragon",INDEX(Butin!$E$41:$K$50,MATCH($B30,Éléments!$C$5:$C$14,1),7),INDEX(Butin!$E$15:$K$24,MATCH($B30,Éléments!$C$5:$C$14,1),7)))</f>
        <v>0.045</v>
      </c>
      <c r="AU30" s="38" t="str">
        <f aca="false">IF(AT30=0,"—",INDEX(Butin!$D$54:$D$63,MATCH($B30,Éléments!$C$5:$C$14,1))&amp;" · "&amp;INDEX(Butin!$F$54:$F$63,MATCH($B30,Éléments!$C$5:$C$14,1))&amp;" · "&amp;INDEX(Butin!$H$54:$H$63,MATCH($B30,Éléments!$C$5:$C$14,1)))</f>
        <v>Jambières du Brasier Marchant · Ceinture du Feu Intérieur · Anneau des Flèches Ardentes</v>
      </c>
      <c r="AV30" s="20" t="s">
        <v>215</v>
      </c>
      <c r="AW30" s="39" t="str">
        <f aca="false">B30&amp;IF(G30="Oui","|B","|N")</f>
        <v>29|B</v>
      </c>
      <c r="AX30" s="40" t="n">
        <f aca="false">(Paramètres!$B$5+(1-Paramètres!$B$5)*((K30-Paramètres!$B$7)/(Paramètres!$B$8-Paramètres!$B$7))^Paramètres!$B$6)</f>
        <v>0.258713725097601</v>
      </c>
      <c r="AY30" s="39" t="n">
        <f aca="false">MATCH(I30,Rôles!$A$5:$A$13,0)</f>
        <v>9</v>
      </c>
      <c r="AZ30" s="39" t="n">
        <f aca="false">MATCH(H30,Rôles!$A$18:$A$22,0)</f>
        <v>5</v>
      </c>
    </row>
    <row r="31" customFormat="false" ht="15.75" hidden="false" customHeight="true" outlineLevel="0" collapsed="false">
      <c r="A31" s="20" t="s">
        <v>216</v>
      </c>
      <c r="B31" s="21" t="n">
        <v>30</v>
      </c>
      <c r="C31" s="22" t="str">
        <f aca="false" t="array" ref="C31:C31">INDEX(Zones!$B$6:$B$35,MATCH(B31,Zones!$A$6:$A$35,0))</f>
        <v>Cœur du volcan</v>
      </c>
      <c r="D31" s="23" t="str">
        <f aca="false" t="array" ref="D31:D31">INDEX(Éléments!$B$5:$B$14,MATCH(B31,Éléments!$C$5:$C$14,1))</f>
        <v>Volcan</v>
      </c>
      <c r="E31" s="42" t="str">
        <f aca="false" t="array" ref="E31:E31">INDEX(Éléments!$A$5:$A$14,MATCH(B31,Éléments!$C$5:$C$14,1))</f>
        <v>Feu</v>
      </c>
      <c r="F31" s="25" t="s">
        <v>217</v>
      </c>
      <c r="G31" s="23" t="str">
        <f aca="false">IF(OR(H31="Boss",H31="Dragon"),"Oui","Non")</f>
        <v>Oui</v>
      </c>
      <c r="H31" s="26" t="s">
        <v>152</v>
      </c>
      <c r="I31" s="26" t="s">
        <v>195</v>
      </c>
      <c r="J31" s="26" t="s">
        <v>173</v>
      </c>
      <c r="K31" s="27" t="n">
        <f aca="false">IF($F$3="",B31,$F$3)</f>
        <v>30</v>
      </c>
      <c r="L31" s="28" t="n">
        <f aca="false" t="array" ref="L31:L31">ROUND(Paramètres!$B$16*(Paramètres!$B$5+(1-Paramètres!$B$5)*((K31-Paramètres!$B$7)/(Paramètres!$B$8-Paramètres!$B$7))^Paramètres!$B$6)*INDEX(Rôles!$B$18:$B$22,AZ31)*INDEX(Rôles!$B$5:$B$13,AY31),0)</f>
        <v>1771</v>
      </c>
      <c r="M31" s="29" t="n">
        <f aca="false" t="array" ref="M31:M31">ROUND(IF(J31="Physique",1,IF(J31="Mixte",Paramètres!$B$32,0))*Paramètres!$B$12*(Paramètres!$B$5+(1-Paramètres!$B$5)*((K31-Paramètres!$B$7)/(Paramètres!$B$8-Paramètres!$B$7))^Paramètres!$B$6)*INDEX(Rôles!$C$18:$C$22,AZ31)*INDEX(Rôles!$C$5:$C$13,AY31)/(Paramètres!$B$35*(1-Paramètres!$B$36)),0)</f>
        <v>0</v>
      </c>
      <c r="N31" s="29" t="n">
        <f aca="false" t="array" ref="N31:N31">ROUND(IF(J31="Magique",1,IF(J31="Mixte",Paramètres!$B$32,0))*Paramètres!$B$12*(Paramètres!$B$5+(1-Paramètres!$B$5)*((K31-Paramètres!$B$7)/(Paramètres!$B$8-Paramètres!$B$7))^Paramètres!$B$6)*INDEX(Rôles!$C$18:$C$22,AZ31)*INDEX(Rôles!$C$5:$C$13,AY31)/(Paramètres!$B$35*(1-Paramètres!$B$36)),0)</f>
        <v>229</v>
      </c>
      <c r="O31" s="29" t="n">
        <f aca="false" t="array" ref="O31:O31">ROUND(Paramètres!$B$18*(Paramètres!$B$5+(1-Paramètres!$B$5)*((K31-Paramètres!$B$7)/(Paramètres!$B$8-Paramètres!$B$7))^Paramètres!$B$6)*INDEX(Rôles!$D$5:$D$13,AY31)*INDEX(Rôles!$D$18:$D$22,AZ31),0)</f>
        <v>172</v>
      </c>
      <c r="P31" s="29" t="n">
        <f aca="false" t="array" ref="P31:P31">ROUND(Paramètres!$B$19*(Paramètres!$B$5+(1-Paramètres!$B$5)*((K31-Paramètres!$B$7)/(Paramètres!$B$8-Paramètres!$B$7))^Paramètres!$B$6)*INDEX(Rôles!$E$5:$E$13,AY31)*INDEX(Rôles!$D$18:$D$22,AZ31),0)</f>
        <v>56</v>
      </c>
      <c r="Q31" s="29" t="n">
        <f aca="false" t="array" ref="Q31:Q31">ROUND(Paramètres!$B$20*(Paramètres!$B$5+(1-Paramètres!$B$5)*((K31-Paramètres!$B$7)/(Paramètres!$B$8-Paramètres!$B$7))^Paramètres!$B$6)*INDEX(Rôles!$F$5:$F$13,AY31),0)</f>
        <v>29</v>
      </c>
      <c r="R31" s="29" t="n">
        <f aca="false">ROUND(Paramètres!$B$64*$AX31*INDEX(Rôles!$N$5:$N$13,$AY31)*INDEX(Rôles!$I$18:$I$22,$AZ31),0)</f>
        <v>28</v>
      </c>
      <c r="S31" s="30" t="n">
        <f aca="false" t="array" ref="S31:S31">MIN(1,ROUND(Paramètres!$B$21*INDEX(Rôles!$G$5:$G$13,AY31),3))</f>
        <v>0.9</v>
      </c>
      <c r="T31" s="30" t="n">
        <f aca="false" t="array" ref="T31:T31">MIN(Paramètres!$B$28,ROUND(Paramètres!$B$22*INDEX(Rôles!$H$5:$H$13,AY31),3))</f>
        <v>0.05</v>
      </c>
      <c r="U31" s="30" t="n">
        <f aca="false" t="array" ref="U31:U31">ROUND(Paramètres!$B$23*INDEX(Rôles!$I$5:$I$13,AY31),3)</f>
        <v>0.5</v>
      </c>
      <c r="V31" s="30" t="n">
        <f aca="false" t="array" ref="V31:V31">MIN(Paramètres!$B$29,ROUND(Paramètres!$B$24*INDEX(Rôles!$J$5:$J$13,AY31),3))</f>
        <v>0.065</v>
      </c>
      <c r="W31" s="30" t="n">
        <f aca="false" t="array" ref="W31:W31">MIN(Paramètres!$B$27,ROUND((Paramètres!$B$25+(Paramètres!$B$26-Paramètres!$B$25)*(K31-Paramètres!$B$7)/(Paramètres!$B$8-Paramètres!$B$7))*INDEX(Rôles!$K$5:$K$13,AY31)+INDEX(Rôles!$G$18:$G$22,AZ31),3))</f>
        <v>0.348</v>
      </c>
      <c r="X31" s="30" t="n">
        <f aca="false">ROUND(1-(1-P31/(P31+(Paramètres!$B$19*(Paramètres!$B$5+(1-Paramètres!$B$5)*((K31-Paramètres!$B$7)/(Paramètres!$B$8-Paramètres!$B$7))^Paramètres!$B$6)*(1-Paramètres!$B$30)/Paramètres!$B$30)))*(1-O31/(O31+(Paramètres!$B$18*(Paramètres!$B$5+(1-Paramètres!$B$5)*((K31-Paramètres!$B$7)/(Paramètres!$B$8-Paramètres!$B$7))^Paramètres!$B$6)*(1-Paramètres!$B$31)/Paramètres!$B$31))),3)</f>
        <v>0.294</v>
      </c>
      <c r="Y31" s="30" t="n">
        <f aca="false">ROUND(O31/(O31+(Paramètres!$B$18*(Paramètres!$B$5+(1-Paramètres!$B$5)*((K31-Paramètres!$B$7)/(Paramètres!$B$8-Paramètres!$B$7))^Paramètres!$B$6)*(1-Paramètres!$B$31)/Paramètres!$B$31)),3)</f>
        <v>0.201</v>
      </c>
      <c r="Z31" s="31" t="n">
        <f aca="false" t="array" ref="Z31:Z31">IF(E31="Neutre",0,MIN(1,INDEX(Rôles!$L$5:$L$13,AY31)+INDEX(Rôles!$F$18:$F$22,AZ31)))</f>
        <v>1</v>
      </c>
      <c r="AA31" s="32" t="n">
        <f aca="false" t="array" ref="AA31:AA31">ROUND(INDEX(Rôles!$C$18:$C$22,AZ31)*INDEX(Rôles!$C$5:$C$13,AY31),4)</f>
        <v>0.0375</v>
      </c>
      <c r="AB31" s="33" t="n">
        <f aca="false" t="array" ref="AB31:AB31">ROUND(INDEX(Rôles!$B$18:$B$22,AZ31)*INDEX(Rôles!$B$5:$B$13,AY31),2)</f>
        <v>8.4</v>
      </c>
      <c r="AC31" s="33" t="n">
        <f aca="false" t="array" ref="AC31:AC31">INDEX(Rôles!$E$18:$E$22,AZ31)</f>
        <v>8</v>
      </c>
      <c r="AD31" s="23" t="str">
        <f aca="false" t="array" ref="AD31:AD31">INDEX(Éléments!$F$5:$F$14,MATCH(E31,Éléments!$A$5:$A$14,0))</f>
        <v>Eau</v>
      </c>
      <c r="AE31" s="23" t="str">
        <f aca="false" t="array" ref="AE31:AE31">INDEX(Éléments!$G$5:$G$14,MATCH(E31,Éléments!$A$5:$A$14,0))</f>
        <v>Glace</v>
      </c>
      <c r="AF31" s="34" t="s">
        <v>209</v>
      </c>
      <c r="AG31" s="35" t="n">
        <v>0.45</v>
      </c>
      <c r="AH31" s="34" t="s">
        <v>142</v>
      </c>
      <c r="AI31" s="35" t="n">
        <v>0.15</v>
      </c>
      <c r="AJ31" s="29" t="n">
        <f aca="false" t="array" ref="AJ31:AJ31">ROUND(ROUND(Paramètres!$B$49*K31^Paramètres!$B$50,0)*INDEX(Rôles!$E$18:$E$22,AZ31),0)</f>
        <v>3368</v>
      </c>
      <c r="AK31" s="29" t="n">
        <f aca="false" t="array" ref="AK31:AK31">ROUND(ROUND(Paramètres!$B$53*K31^Paramètres!$B$54,0)*INDEX(Rôles!$E$18:$E$22,AZ31),0)</f>
        <v>2368</v>
      </c>
      <c r="AL31" s="36" t="n">
        <f aca="false">INDEX(Butin!$B$7:$B$11,AZ31)</f>
        <v>1</v>
      </c>
      <c r="AM31" s="37" t="n">
        <f aca="false">INDEX(Butin!$E$7:$E$11,AZ31)</f>
        <v>1.4</v>
      </c>
      <c r="AN31" s="30" t="n">
        <f aca="false">IF($H31="Boss",INDEX(Butin!$E$28:$K$37,MATCH($B31,Éléments!$C$5:$C$14,1),1),IF($H31="Dragon",INDEX(Butin!$E$41:$K$50,MATCH($B31,Éléments!$C$5:$C$14,1),1),INDEX(Butin!$E$15:$K$24,MATCH($B31,Éléments!$C$5:$C$14,1),1)))</f>
        <v>0.18</v>
      </c>
      <c r="AO31" s="30" t="n">
        <f aca="false">IF($H31="Boss",INDEX(Butin!$E$28:$K$37,MATCH($B31,Éléments!$C$5:$C$14,1),2),IF($H31="Dragon",INDEX(Butin!$E$41:$K$50,MATCH($B31,Éléments!$C$5:$C$14,1),2),INDEX(Butin!$E$15:$K$24,MATCH($B31,Éléments!$C$5:$C$14,1),2)))</f>
        <v>0.32</v>
      </c>
      <c r="AP31" s="30" t="n">
        <f aca="false">IF($H31="Boss",INDEX(Butin!$E$28:$K$37,MATCH($B31,Éléments!$C$5:$C$14,1),3),IF($H31="Dragon",INDEX(Butin!$E$41:$K$50,MATCH($B31,Éléments!$C$5:$C$14,1),3),INDEX(Butin!$E$15:$K$24,MATCH($B31,Éléments!$C$5:$C$14,1),3)))</f>
        <v>0.3</v>
      </c>
      <c r="AQ31" s="30" t="n">
        <f aca="false">IF($H31="Boss",INDEX(Butin!$E$28:$K$37,MATCH($B31,Éléments!$C$5:$C$14,1),4),IF($H31="Dragon",INDEX(Butin!$E$41:$K$50,MATCH($B31,Éléments!$C$5:$C$14,1),4),INDEX(Butin!$E$15:$K$24,MATCH($B31,Éléments!$C$5:$C$14,1),4)))</f>
        <v>0.14</v>
      </c>
      <c r="AR31" s="30" t="n">
        <f aca="false">IF($H31="Boss",INDEX(Butin!$E$28:$K$37,MATCH($B31,Éléments!$C$5:$C$14,1),5),IF($H31="Dragon",INDEX(Butin!$E$41:$K$50,MATCH($B31,Éléments!$C$5:$C$14,1),5),INDEX(Butin!$E$15:$K$24,MATCH($B31,Éléments!$C$5:$C$14,1),5)))</f>
        <v>0.03</v>
      </c>
      <c r="AS31" s="30" t="n">
        <f aca="false">IF($H31="Boss",INDEX(Butin!$E$28:$K$37,MATCH($B31,Éléments!$C$5:$C$14,1),6),IF($H31="Dragon",INDEX(Butin!$E$41:$K$50,MATCH($B31,Éléments!$C$5:$C$14,1),6),INDEX(Butin!$E$15:$K$24,MATCH($B31,Éléments!$C$5:$C$14,1),6)))</f>
        <v>0</v>
      </c>
      <c r="AT31" s="30" t="n">
        <f aca="false">IF($H31="Boss",INDEX(Butin!$E$28:$K$37,MATCH($B31,Éléments!$C$5:$C$14,1),7),IF($H31="Dragon",INDEX(Butin!$E$41:$K$50,MATCH($B31,Éléments!$C$5:$C$14,1),7),INDEX(Butin!$E$15:$K$24,MATCH($B31,Éléments!$C$5:$C$14,1),7)))</f>
        <v>0.03</v>
      </c>
      <c r="AU31" s="38" t="str">
        <f aca="false">IF(AT31=0,"—",INDEX(Butin!$D$54:$D$63,MATCH($B31,Éléments!$C$5:$C$14,1))&amp;" · "&amp;INDEX(Butin!$F$54:$F$63,MATCH($B31,Éléments!$C$5:$C$14,1))&amp;" · "&amp;INDEX(Butin!$H$54:$H$63,MATCH($B31,Éléments!$C$5:$C$14,1)))</f>
        <v>Jambières du Brasier Marchant · Ceinture du Feu Intérieur · Anneau des Flèches Ardentes</v>
      </c>
      <c r="AV31" s="20" t="s">
        <v>217</v>
      </c>
      <c r="AW31" s="39" t="str">
        <f aca="false">B31&amp;IF(G31="Oui","|B","|N")</f>
        <v>30|B</v>
      </c>
      <c r="AX31" s="40" t="n">
        <f aca="false">(Paramètres!$B$5+(1-Paramètres!$B$5)*((K31-Paramètres!$B$7)/(Paramètres!$B$8-Paramètres!$B$7))^Paramètres!$B$6)</f>
        <v>0.26769024555533</v>
      </c>
      <c r="AY31" s="39" t="n">
        <f aca="false">MATCH(I31,Rôles!$A$5:$A$13,0)</f>
        <v>5</v>
      </c>
      <c r="AZ31" s="39" t="n">
        <f aca="false">MATCH(H31,Rôles!$A$18:$A$22,0)</f>
        <v>4</v>
      </c>
    </row>
    <row r="32" customFormat="false" ht="15.75" hidden="false" customHeight="true" outlineLevel="0" collapsed="false">
      <c r="A32" s="20" t="s">
        <v>218</v>
      </c>
      <c r="B32" s="21" t="n">
        <v>30</v>
      </c>
      <c r="C32" s="22" t="str">
        <f aca="false" t="array" ref="C32:C32">INDEX(Zones!$B$6:$B$35,MATCH(B32,Zones!$A$6:$A$35,0))</f>
        <v>Cœur du volcan</v>
      </c>
      <c r="D32" s="23" t="str">
        <f aca="false" t="array" ref="D32:D32">INDEX(Éléments!$B$5:$B$14,MATCH(B32,Éléments!$C$5:$C$14,1))</f>
        <v>Volcan</v>
      </c>
      <c r="E32" s="42" t="str">
        <f aca="false" t="array" ref="E32:E32">INDEX(Éléments!$A$5:$A$14,MATCH(B32,Éléments!$C$5:$C$14,1))</f>
        <v>Feu</v>
      </c>
      <c r="F32" s="25" t="s">
        <v>219</v>
      </c>
      <c r="G32" s="23" t="str">
        <f aca="false">IF(OR(H32="Boss",H32="Dragon"),"Oui","Non")</f>
        <v>Non</v>
      </c>
      <c r="H32" s="26" t="s">
        <v>165</v>
      </c>
      <c r="I32" s="26" t="s">
        <v>145</v>
      </c>
      <c r="J32" s="26" t="s">
        <v>173</v>
      </c>
      <c r="K32" s="27" t="n">
        <f aca="false">IF($F$3="",B32,$F$3)</f>
        <v>30</v>
      </c>
      <c r="L32" s="28" t="n">
        <f aca="false" t="array" ref="L32:L32">ROUND(Paramètres!$B$16*(Paramètres!$B$5+(1-Paramètres!$B$5)*((K32-Paramètres!$B$7)/(Paramètres!$B$8-Paramètres!$B$7))^Paramètres!$B$6)*INDEX(Rôles!$B$18:$B$22,AZ32)*INDEX(Rôles!$B$5:$B$13,AY32),0)</f>
        <v>237</v>
      </c>
      <c r="M32" s="29" t="n">
        <f aca="false" t="array" ref="M32:M32">ROUND(IF(J32="Physique",1,IF(J32="Mixte",Paramètres!$B$32,0))*Paramètres!$B$12*(Paramètres!$B$5+(1-Paramètres!$B$5)*((K32-Paramètres!$B$7)/(Paramètres!$B$8-Paramètres!$B$7))^Paramètres!$B$6)*INDEX(Rôles!$C$18:$C$22,AZ32)*INDEX(Rôles!$C$5:$C$13,AY32)/(Paramètres!$B$35*(1-Paramètres!$B$36)),0)</f>
        <v>0</v>
      </c>
      <c r="N32" s="29" t="n">
        <f aca="false" t="array" ref="N32:N32">ROUND(IF(J32="Magique",1,IF(J32="Mixte",Paramètres!$B$32,0))*Paramètres!$B$12*(Paramètres!$B$5+(1-Paramètres!$B$5)*((K32-Paramètres!$B$7)/(Paramètres!$B$8-Paramètres!$B$7))^Paramètres!$B$6)*INDEX(Rôles!$C$18:$C$22,AZ32)*INDEX(Rôles!$C$5:$C$13,AY32)/(Paramètres!$B$35*(1-Paramètres!$B$36)),0)</f>
        <v>73</v>
      </c>
      <c r="O32" s="29" t="n">
        <f aca="false" t="array" ref="O32:O32">ROUND(Paramètres!$B$18*(Paramètres!$B$5+(1-Paramètres!$B$5)*((K32-Paramètres!$B$7)/(Paramètres!$B$8-Paramètres!$B$7))^Paramètres!$B$6)*INDEX(Rôles!$D$5:$D$13,AY32)*INDEX(Rôles!$D$18:$D$22,AZ32),0)</f>
        <v>58</v>
      </c>
      <c r="P32" s="29" t="n">
        <f aca="false" t="array" ref="P32:P32">ROUND(Paramètres!$B$19*(Paramètres!$B$5+(1-Paramètres!$B$5)*((K32-Paramètres!$B$7)/(Paramètres!$B$8-Paramètres!$B$7))^Paramètres!$B$6)*INDEX(Rôles!$E$5:$E$13,AY32)*INDEX(Rôles!$D$18:$D$22,AZ32),0)</f>
        <v>43</v>
      </c>
      <c r="Q32" s="29" t="n">
        <f aca="false" t="array" ref="Q32:Q32">ROUND(Paramètres!$B$20*(Paramètres!$B$5+(1-Paramètres!$B$5)*((K32-Paramètres!$B$7)/(Paramètres!$B$8-Paramètres!$B$7))^Paramètres!$B$6)*INDEX(Rôles!$F$5:$F$13,AY32),0)</f>
        <v>51</v>
      </c>
      <c r="R32" s="29" t="n">
        <f aca="false">ROUND(Paramètres!$B$64*$AX32*INDEX(Rôles!$N$5:$N$13,$AY32)*INDEX(Rôles!$I$18:$I$22,$AZ32),0)</f>
        <v>36</v>
      </c>
      <c r="S32" s="30" t="n">
        <f aca="false" t="array" ref="S32:S32">MIN(1,ROUND(Paramètres!$B$21*INDEX(Rôles!$G$5:$G$13,AY32),3))</f>
        <v>1</v>
      </c>
      <c r="T32" s="30" t="n">
        <f aca="false" t="array" ref="T32:T32">MIN(Paramètres!$B$28,ROUND(Paramètres!$B$22*INDEX(Rôles!$H$5:$H$13,AY32),3))</f>
        <v>0.08</v>
      </c>
      <c r="U32" s="30" t="n">
        <f aca="false" t="array" ref="U32:U32">ROUND(Paramètres!$B$23*INDEX(Rôles!$I$5:$I$13,AY32),3)</f>
        <v>0.7</v>
      </c>
      <c r="V32" s="30" t="n">
        <f aca="false" t="array" ref="V32:V32">MIN(Paramètres!$B$29,ROUND(Paramètres!$B$24*INDEX(Rôles!$J$5:$J$13,AY32),3))</f>
        <v>0.06</v>
      </c>
      <c r="W32" s="30" t="n">
        <f aca="false" t="array" ref="W32:W32">MIN(Paramètres!$B$27,ROUND((Paramètres!$B$25+(Paramètres!$B$26-Paramètres!$B$25)*(K32-Paramètres!$B$7)/(Paramètres!$B$8-Paramètres!$B$7))*INDEX(Rôles!$K$5:$K$13,AY32)+INDEX(Rôles!$G$18:$G$22,AZ32),3))</f>
        <v>0.099</v>
      </c>
      <c r="X32" s="30" t="n">
        <f aca="false">ROUND(1-(1-P32/(P32+(Paramètres!$B$19*(Paramètres!$B$5+(1-Paramètres!$B$5)*((K32-Paramètres!$B$7)/(Paramètres!$B$8-Paramètres!$B$7))^Paramètres!$B$6)*(1-Paramètres!$B$30)/Paramètres!$B$30)))*(1-O32/(O32+(Paramètres!$B$18*(Paramètres!$B$5+(1-Paramètres!$B$5)*((K32-Paramètres!$B$7)/(Paramètres!$B$8-Paramètres!$B$7))^Paramètres!$B$6)*(1-Paramètres!$B$31)/Paramètres!$B$31))),3)</f>
        <v>0.162</v>
      </c>
      <c r="Y32" s="30" t="n">
        <f aca="false">ROUND(O32/(O32+(Paramètres!$B$18*(Paramètres!$B$5+(1-Paramètres!$B$5)*((K32-Paramètres!$B$7)/(Paramètres!$B$8-Paramètres!$B$7))^Paramètres!$B$6)*(1-Paramètres!$B$31)/Paramètres!$B$31)),3)</f>
        <v>0.078</v>
      </c>
      <c r="Z32" s="31" t="n">
        <f aca="false" t="array" ref="Z32:Z32">IF(E32="Neutre",0,MIN(1,INDEX(Rôles!$L$5:$L$13,AY32)+INDEX(Rôles!$F$18:$F$22,AZ32)))</f>
        <v>0.5</v>
      </c>
      <c r="AA32" s="32" t="n">
        <f aca="false" t="array" ref="AA32:AA32">ROUND(INDEX(Rôles!$C$18:$C$22,AZ32)*INDEX(Rôles!$C$5:$C$13,AY32),4)</f>
        <v>0.012</v>
      </c>
      <c r="AB32" s="33" t="n">
        <f aca="false" t="array" ref="AB32:AB32">ROUND(INDEX(Rôles!$B$18:$B$22,AZ32)*INDEX(Rôles!$B$5:$B$13,AY32),2)</f>
        <v>1.13</v>
      </c>
      <c r="AC32" s="33" t="n">
        <f aca="false" t="array" ref="AC32:AC32">INDEX(Rôles!$E$18:$E$22,AZ32)</f>
        <v>0.7</v>
      </c>
      <c r="AD32" s="23" t="str">
        <f aca="false" t="array" ref="AD32:AD32">INDEX(Éléments!$F$5:$F$14,MATCH(E32,Éléments!$A$5:$A$14,0))</f>
        <v>Eau</v>
      </c>
      <c r="AE32" s="23" t="str">
        <f aca="false" t="array" ref="AE32:AE32">INDEX(Éléments!$G$5:$G$14,MATCH(E32,Éléments!$A$5:$A$14,0))</f>
        <v>Glace</v>
      </c>
      <c r="AF32" s="34" t="s">
        <v>209</v>
      </c>
      <c r="AG32" s="35" t="n">
        <v>0.25</v>
      </c>
      <c r="AH32" s="34"/>
      <c r="AI32" s="35"/>
      <c r="AJ32" s="29" t="n">
        <f aca="false" t="array" ref="AJ32:AJ32">ROUND(ROUND(Paramètres!$B$49*K32^Paramètres!$B$50,0)*INDEX(Rôles!$E$18:$E$22,AZ32),0)</f>
        <v>295</v>
      </c>
      <c r="AK32" s="29" t="n">
        <f aca="false" t="array" ref="AK32:AK32">ROUND(ROUND(Paramètres!$B$53*K32^Paramètres!$B$54,0)*INDEX(Rôles!$E$18:$E$22,AZ32),0)</f>
        <v>207</v>
      </c>
      <c r="AL32" s="36" t="n">
        <f aca="false">INDEX(Butin!$B$7:$B$11,AZ32)</f>
        <v>0.03</v>
      </c>
      <c r="AM32" s="37" t="n">
        <f aca="false">INDEX(Butin!$E$7:$E$11,AZ32)</f>
        <v>0.03</v>
      </c>
      <c r="AN32" s="30" t="n">
        <f aca="false">IF($H32="Boss",INDEX(Butin!$E$28:$K$37,MATCH($B32,Éléments!$C$5:$C$14,1),1),IF($H32="Dragon",INDEX(Butin!$E$41:$K$50,MATCH($B32,Éléments!$C$5:$C$14,1),1),INDEX(Butin!$E$15:$K$24,MATCH($B32,Éléments!$C$5:$C$14,1),1)))</f>
        <v>0.52</v>
      </c>
      <c r="AO32" s="30" t="n">
        <f aca="false">IF($H32="Boss",INDEX(Butin!$E$28:$K$37,MATCH($B32,Éléments!$C$5:$C$14,1),2),IF($H32="Dragon",INDEX(Butin!$E$41:$K$50,MATCH($B32,Éléments!$C$5:$C$14,1),2),INDEX(Butin!$E$15:$K$24,MATCH($B32,Éléments!$C$5:$C$14,1),2)))</f>
        <v>0.32</v>
      </c>
      <c r="AP32" s="30" t="n">
        <f aca="false">IF($H32="Boss",INDEX(Butin!$E$28:$K$37,MATCH($B32,Éléments!$C$5:$C$14,1),3),IF($H32="Dragon",INDEX(Butin!$E$41:$K$50,MATCH($B32,Éléments!$C$5:$C$14,1),3),INDEX(Butin!$E$15:$K$24,MATCH($B32,Éléments!$C$5:$C$14,1),3)))</f>
        <v>0.13</v>
      </c>
      <c r="AQ32" s="30" t="n">
        <f aca="false">IF($H32="Boss",INDEX(Butin!$E$28:$K$37,MATCH($B32,Éléments!$C$5:$C$14,1),4),IF($H32="Dragon",INDEX(Butin!$E$41:$K$50,MATCH($B32,Éléments!$C$5:$C$14,1),4),INDEX(Butin!$E$15:$K$24,MATCH($B32,Éléments!$C$5:$C$14,1),4)))</f>
        <v>0.03</v>
      </c>
      <c r="AR32" s="30" t="n">
        <f aca="false">IF($H32="Boss",INDEX(Butin!$E$28:$K$37,MATCH($B32,Éléments!$C$5:$C$14,1),5),IF($H32="Dragon",INDEX(Butin!$E$41:$K$50,MATCH($B32,Éléments!$C$5:$C$14,1),5),INDEX(Butin!$E$15:$K$24,MATCH($B32,Éléments!$C$5:$C$14,1),5)))</f>
        <v>0</v>
      </c>
      <c r="AS32" s="30" t="n">
        <f aca="false">IF($H32="Boss",INDEX(Butin!$E$28:$K$37,MATCH($B32,Éléments!$C$5:$C$14,1),6),IF($H32="Dragon",INDEX(Butin!$E$41:$K$50,MATCH($B32,Éléments!$C$5:$C$14,1),6),INDEX(Butin!$E$15:$K$24,MATCH($B32,Éléments!$C$5:$C$14,1),6)))</f>
        <v>0</v>
      </c>
      <c r="AT32" s="30" t="n">
        <f aca="false">IF($H32="Boss",INDEX(Butin!$E$28:$K$37,MATCH($B32,Éléments!$C$5:$C$14,1),7),IF($H32="Dragon",INDEX(Butin!$E$41:$K$50,MATCH($B32,Éléments!$C$5:$C$14,1),7),INDEX(Butin!$E$15:$K$24,MATCH($B32,Éléments!$C$5:$C$14,1),7)))</f>
        <v>0</v>
      </c>
      <c r="AU32" s="38" t="str">
        <f aca="false">IF(AT32=0,"—",INDEX(Butin!$D$54:$D$63,MATCH($B32,Éléments!$C$5:$C$14,1))&amp;" · "&amp;INDEX(Butin!$F$54:$F$63,MATCH($B32,Éléments!$C$5:$C$14,1))&amp;" · "&amp;INDEX(Butin!$H$54:$H$63,MATCH($B32,Éléments!$C$5:$C$14,1)))</f>
        <v>—</v>
      </c>
      <c r="AV32" s="20" t="s">
        <v>219</v>
      </c>
      <c r="AW32" s="39" t="str">
        <f aca="false">B32&amp;IF(G32="Oui","|B","|N")</f>
        <v>30|N</v>
      </c>
      <c r="AX32" s="40" t="n">
        <f aca="false">(Paramètres!$B$5+(1-Paramètres!$B$5)*((K32-Paramètres!$B$7)/(Paramètres!$B$8-Paramètres!$B$7))^Paramètres!$B$6)</f>
        <v>0.26769024555533</v>
      </c>
      <c r="AY32" s="39" t="n">
        <f aca="false">MATCH(I32,Rôles!$A$5:$A$13,0)</f>
        <v>7</v>
      </c>
      <c r="AZ32" s="39" t="n">
        <f aca="false">MATCH(H32,Rôles!$A$18:$A$22,0)</f>
        <v>1</v>
      </c>
    </row>
    <row r="33" customFormat="false" ht="15.75" hidden="false" customHeight="true" outlineLevel="0" collapsed="false">
      <c r="A33" s="20" t="s">
        <v>220</v>
      </c>
      <c r="B33" s="21" t="n">
        <v>30</v>
      </c>
      <c r="C33" s="22" t="str">
        <f aca="false" t="array" ref="C33:C33">INDEX(Zones!$B$6:$B$35,MATCH(B33,Zones!$A$6:$A$35,0))</f>
        <v>Cœur du volcan</v>
      </c>
      <c r="D33" s="23" t="str">
        <f aca="false" t="array" ref="D33:D33">INDEX(Éléments!$B$5:$B$14,MATCH(B33,Éléments!$C$5:$C$14,1))</f>
        <v>Volcan</v>
      </c>
      <c r="E33" s="42" t="str">
        <f aca="false" t="array" ref="E33:E33">INDEX(Éléments!$A$5:$A$14,MATCH(B33,Éléments!$C$5:$C$14,1))</f>
        <v>Feu</v>
      </c>
      <c r="F33" s="25" t="s">
        <v>221</v>
      </c>
      <c r="G33" s="23" t="str">
        <f aca="false">IF(OR(H33="Boss",H33="Dragon"),"Oui","Non")</f>
        <v>Non</v>
      </c>
      <c r="H33" s="26" t="s">
        <v>138</v>
      </c>
      <c r="I33" s="26" t="s">
        <v>139</v>
      </c>
      <c r="J33" s="26" t="s">
        <v>140</v>
      </c>
      <c r="K33" s="27" t="n">
        <f aca="false">IF($F$3="",B33,$F$3)</f>
        <v>30</v>
      </c>
      <c r="L33" s="28" t="n">
        <f aca="false" t="array" ref="L33:L33">ROUND(Paramètres!$B$16*(Paramètres!$B$5+(1-Paramètres!$B$5)*((K33-Paramètres!$B$7)/(Paramètres!$B$8-Paramètres!$B$7))^Paramètres!$B$6)*INDEX(Rôles!$B$18:$B$22,AZ33)*INDEX(Rôles!$B$5:$B$13,AY33),0)</f>
        <v>401</v>
      </c>
      <c r="M33" s="29" t="n">
        <f aca="false" t="array" ref="M33:M33">ROUND(IF(J33="Physique",1,IF(J33="Mixte",Paramètres!$B$32,0))*Paramètres!$B$12*(Paramètres!$B$5+(1-Paramètres!$B$5)*((K33-Paramètres!$B$7)/(Paramètres!$B$8-Paramètres!$B$7))^Paramètres!$B$6)*INDEX(Rôles!$C$18:$C$22,AZ33)*INDEX(Rôles!$C$5:$C$13,AY33)/(Paramètres!$B$35*(1-Paramètres!$B$36)),0)</f>
        <v>96</v>
      </c>
      <c r="N33" s="29" t="n">
        <f aca="false" t="array" ref="N33:N33">ROUND(IF(J33="Magique",1,IF(J33="Mixte",Paramètres!$B$32,0))*Paramètres!$B$12*(Paramètres!$B$5+(1-Paramètres!$B$5)*((K33-Paramètres!$B$7)/(Paramètres!$B$8-Paramètres!$B$7))^Paramètres!$B$6)*INDEX(Rôles!$C$18:$C$22,AZ33)*INDEX(Rôles!$C$5:$C$13,AY33)/(Paramètres!$B$35*(1-Paramètres!$B$36)),0)</f>
        <v>0</v>
      </c>
      <c r="O33" s="29" t="n">
        <f aca="false" t="array" ref="O33:O33">ROUND(Paramètres!$B$18*(Paramètres!$B$5+(1-Paramètres!$B$5)*((K33-Paramètres!$B$7)/(Paramètres!$B$8-Paramètres!$B$7))^Paramètres!$B$6)*INDEX(Rôles!$D$5:$D$13,AY33)*INDEX(Rôles!$D$18:$D$22,AZ33),0)</f>
        <v>72</v>
      </c>
      <c r="P33" s="29" t="n">
        <f aca="false" t="array" ref="P33:P33">ROUND(Paramètres!$B$19*(Paramètres!$B$5+(1-Paramètres!$B$5)*((K33-Paramètres!$B$7)/(Paramètres!$B$8-Paramètres!$B$7))^Paramètres!$B$6)*INDEX(Rôles!$E$5:$E$13,AY33)*INDEX(Rôles!$D$18:$D$22,AZ33),0)</f>
        <v>75</v>
      </c>
      <c r="Q33" s="29" t="n">
        <f aca="false" t="array" ref="Q33:Q33">ROUND(Paramètres!$B$20*(Paramètres!$B$5+(1-Paramètres!$B$5)*((K33-Paramètres!$B$7)/(Paramètres!$B$8-Paramètres!$B$7))^Paramètres!$B$6)*INDEX(Rôles!$F$5:$F$13,AY33),0)</f>
        <v>39</v>
      </c>
      <c r="R33" s="29" t="n">
        <f aca="false">ROUND(Paramètres!$B$64*$AX33*INDEX(Rôles!$N$5:$N$13,$AY33)*INDEX(Rôles!$I$18:$I$22,$AZ33),0)</f>
        <v>32</v>
      </c>
      <c r="S33" s="30" t="n">
        <f aca="false" t="array" ref="S33:S33">MIN(1,ROUND(Paramètres!$B$21*INDEX(Rôles!$G$5:$G$13,AY33),3))</f>
        <v>0.9</v>
      </c>
      <c r="T33" s="30" t="n">
        <f aca="false" t="array" ref="T33:T33">MIN(Paramètres!$B$28,ROUND(Paramètres!$B$22*INDEX(Rôles!$H$5:$H$13,AY33),3))</f>
        <v>0.05</v>
      </c>
      <c r="U33" s="30" t="n">
        <f aca="false" t="array" ref="U33:U33">ROUND(Paramètres!$B$23*INDEX(Rôles!$I$5:$I$13,AY33),3)</f>
        <v>0.5</v>
      </c>
      <c r="V33" s="30" t="n">
        <f aca="false" t="array" ref="V33:V33">MIN(Paramètres!$B$29,ROUND(Paramètres!$B$24*INDEX(Rôles!$J$5:$J$13,AY33),3))</f>
        <v>0.025</v>
      </c>
      <c r="W33" s="30" t="n">
        <f aca="false" t="array" ref="W33:W33">MIN(Paramètres!$B$27,ROUND((Paramètres!$B$25+(Paramètres!$B$26-Paramètres!$B$25)*(K33-Paramètres!$B$7)/(Paramètres!$B$8-Paramètres!$B$7))*INDEX(Rôles!$K$5:$K$13,AY33)+INDEX(Rôles!$G$18:$G$22,AZ33),3))</f>
        <v>0.099</v>
      </c>
      <c r="X33" s="30" t="n">
        <f aca="false">ROUND(1-(1-P33/(P33+(Paramètres!$B$19*(Paramètres!$B$5+(1-Paramètres!$B$5)*((K33-Paramètres!$B$7)/(Paramètres!$B$8-Paramètres!$B$7))^Paramètres!$B$6)*(1-Paramètres!$B$30)/Paramètres!$B$30)))*(1-O33/(O33+(Paramètres!$B$18*(Paramètres!$B$5+(1-Paramètres!$B$5)*((K33-Paramètres!$B$7)/(Paramètres!$B$8-Paramètres!$B$7))^Paramètres!$B$6)*(1-Paramètres!$B$31)/Paramètres!$B$31))),3)</f>
        <v>0.23</v>
      </c>
      <c r="Y33" s="30" t="n">
        <f aca="false">ROUND(O33/(O33+(Paramètres!$B$18*(Paramètres!$B$5+(1-Paramètres!$B$5)*((K33-Paramètres!$B$7)/(Paramètres!$B$8-Paramètres!$B$7))^Paramètres!$B$6)*(1-Paramètres!$B$31)/Paramètres!$B$31)),3)</f>
        <v>0.095</v>
      </c>
      <c r="Z33" s="31" t="n">
        <f aca="false" t="array" ref="Z33:Z33">IF(E33="Neutre",0,MIN(1,INDEX(Rôles!$L$5:$L$13,AY33)+INDEX(Rôles!$F$18:$F$22,AZ33)))</f>
        <v>0.5</v>
      </c>
      <c r="AA33" s="32" t="n">
        <f aca="false" t="array" ref="AA33:AA33">ROUND(INDEX(Rôles!$C$18:$C$22,AZ33)*INDEX(Rôles!$C$5:$C$13,AY33),4)</f>
        <v>0.0158</v>
      </c>
      <c r="AB33" s="33" t="n">
        <f aca="false" t="array" ref="AB33:AB33">ROUND(INDEX(Rôles!$B$18:$B$22,AZ33)*INDEX(Rôles!$B$5:$B$13,AY33),2)</f>
        <v>1.9</v>
      </c>
      <c r="AC33" s="33" t="n">
        <f aca="false" t="array" ref="AC33:AC33">INDEX(Rôles!$E$18:$E$22,AZ33)</f>
        <v>1</v>
      </c>
      <c r="AD33" s="23" t="str">
        <f aca="false" t="array" ref="AD33:AD33">INDEX(Éléments!$F$5:$F$14,MATCH(E33,Éléments!$A$5:$A$14,0))</f>
        <v>Eau</v>
      </c>
      <c r="AE33" s="23" t="str">
        <f aca="false" t="array" ref="AE33:AE33">INDEX(Éléments!$G$5:$G$14,MATCH(E33,Éléments!$A$5:$A$14,0))</f>
        <v>Glace</v>
      </c>
      <c r="AF33" s="34" t="s">
        <v>209</v>
      </c>
      <c r="AG33" s="35" t="n">
        <v>0.3</v>
      </c>
      <c r="AH33" s="34" t="s">
        <v>141</v>
      </c>
      <c r="AI33" s="35" t="n">
        <v>0.2</v>
      </c>
      <c r="AJ33" s="29" t="n">
        <f aca="false" t="array" ref="AJ33:AJ33">ROUND(ROUND(Paramètres!$B$49*K33^Paramètres!$B$50,0)*INDEX(Rôles!$E$18:$E$22,AZ33),0)</f>
        <v>421</v>
      </c>
      <c r="AK33" s="29" t="n">
        <f aca="false" t="array" ref="AK33:AK33">ROUND(ROUND(Paramètres!$B$53*K33^Paramètres!$B$54,0)*INDEX(Rôles!$E$18:$E$22,AZ33),0)</f>
        <v>296</v>
      </c>
      <c r="AL33" s="36" t="n">
        <f aca="false">INDEX(Butin!$B$7:$B$11,AZ33)</f>
        <v>0.05</v>
      </c>
      <c r="AM33" s="37" t="n">
        <f aca="false">INDEX(Butin!$E$7:$E$11,AZ33)</f>
        <v>0.05</v>
      </c>
      <c r="AN33" s="30" t="n">
        <f aca="false">IF($H33="Boss",INDEX(Butin!$E$28:$K$37,MATCH($B33,Éléments!$C$5:$C$14,1),1),IF($H33="Dragon",INDEX(Butin!$E$41:$K$50,MATCH($B33,Éléments!$C$5:$C$14,1),1),INDEX(Butin!$E$15:$K$24,MATCH($B33,Éléments!$C$5:$C$14,1),1)))</f>
        <v>0.52</v>
      </c>
      <c r="AO33" s="30" t="n">
        <f aca="false">IF($H33="Boss",INDEX(Butin!$E$28:$K$37,MATCH($B33,Éléments!$C$5:$C$14,1),2),IF($H33="Dragon",INDEX(Butin!$E$41:$K$50,MATCH($B33,Éléments!$C$5:$C$14,1),2),INDEX(Butin!$E$15:$K$24,MATCH($B33,Éléments!$C$5:$C$14,1),2)))</f>
        <v>0.32</v>
      </c>
      <c r="AP33" s="30" t="n">
        <f aca="false">IF($H33="Boss",INDEX(Butin!$E$28:$K$37,MATCH($B33,Éléments!$C$5:$C$14,1),3),IF($H33="Dragon",INDEX(Butin!$E$41:$K$50,MATCH($B33,Éléments!$C$5:$C$14,1),3),INDEX(Butin!$E$15:$K$24,MATCH($B33,Éléments!$C$5:$C$14,1),3)))</f>
        <v>0.13</v>
      </c>
      <c r="AQ33" s="30" t="n">
        <f aca="false">IF($H33="Boss",INDEX(Butin!$E$28:$K$37,MATCH($B33,Éléments!$C$5:$C$14,1),4),IF($H33="Dragon",INDEX(Butin!$E$41:$K$50,MATCH($B33,Éléments!$C$5:$C$14,1),4),INDEX(Butin!$E$15:$K$24,MATCH($B33,Éléments!$C$5:$C$14,1),4)))</f>
        <v>0.03</v>
      </c>
      <c r="AR33" s="30" t="n">
        <f aca="false">IF($H33="Boss",INDEX(Butin!$E$28:$K$37,MATCH($B33,Éléments!$C$5:$C$14,1),5),IF($H33="Dragon",INDEX(Butin!$E$41:$K$50,MATCH($B33,Éléments!$C$5:$C$14,1),5),INDEX(Butin!$E$15:$K$24,MATCH($B33,Éléments!$C$5:$C$14,1),5)))</f>
        <v>0</v>
      </c>
      <c r="AS33" s="30" t="n">
        <f aca="false">IF($H33="Boss",INDEX(Butin!$E$28:$K$37,MATCH($B33,Éléments!$C$5:$C$14,1),6),IF($H33="Dragon",INDEX(Butin!$E$41:$K$50,MATCH($B33,Éléments!$C$5:$C$14,1),6),INDEX(Butin!$E$15:$K$24,MATCH($B33,Éléments!$C$5:$C$14,1),6)))</f>
        <v>0</v>
      </c>
      <c r="AT33" s="30" t="n">
        <f aca="false">IF($H33="Boss",INDEX(Butin!$E$28:$K$37,MATCH($B33,Éléments!$C$5:$C$14,1),7),IF($H33="Dragon",INDEX(Butin!$E$41:$K$50,MATCH($B33,Éléments!$C$5:$C$14,1),7),INDEX(Butin!$E$15:$K$24,MATCH($B33,Éléments!$C$5:$C$14,1),7)))</f>
        <v>0</v>
      </c>
      <c r="AU33" s="38" t="str">
        <f aca="false">IF(AT33=0,"—",INDEX(Butin!$D$54:$D$63,MATCH($B33,Éléments!$C$5:$C$14,1))&amp;" · "&amp;INDEX(Butin!$F$54:$F$63,MATCH($B33,Éléments!$C$5:$C$14,1))&amp;" · "&amp;INDEX(Butin!$H$54:$H$63,MATCH($B33,Éléments!$C$5:$C$14,1)))</f>
        <v>—</v>
      </c>
      <c r="AV33" s="20" t="s">
        <v>221</v>
      </c>
      <c r="AW33" s="39" t="str">
        <f aca="false">B33&amp;IF(G33="Oui","|B","|N")</f>
        <v>30|N</v>
      </c>
      <c r="AX33" s="40" t="n">
        <f aca="false">(Paramètres!$B$5+(1-Paramètres!$B$5)*((K33-Paramètres!$B$7)/(Paramètres!$B$8-Paramètres!$B$7))^Paramètres!$B$6)</f>
        <v>0.26769024555533</v>
      </c>
      <c r="AY33" s="39" t="n">
        <f aca="false">MATCH(I33,Rôles!$A$5:$A$13,0)</f>
        <v>1</v>
      </c>
      <c r="AZ33" s="39" t="n">
        <f aca="false">MATCH(H33,Rôles!$A$18:$A$22,0)</f>
        <v>2</v>
      </c>
    </row>
    <row r="34" customFormat="false" ht="15.75" hidden="false" customHeight="true" outlineLevel="0" collapsed="false">
      <c r="A34" s="20" t="s">
        <v>222</v>
      </c>
      <c r="B34" s="21" t="n">
        <v>30</v>
      </c>
      <c r="C34" s="22" t="str">
        <f aca="false" t="array" ref="C34:C34">INDEX(Zones!$B$6:$B$35,MATCH(B34,Zones!$A$6:$A$35,0))</f>
        <v>Cœur du volcan</v>
      </c>
      <c r="D34" s="23" t="str">
        <f aca="false" t="array" ref="D34:D34">INDEX(Éléments!$B$5:$B$14,MATCH(B34,Éléments!$C$5:$C$14,1))</f>
        <v>Volcan</v>
      </c>
      <c r="E34" s="42" t="str">
        <f aca="false" t="array" ref="E34:E34">INDEX(Éléments!$A$5:$A$14,MATCH(B34,Éléments!$C$5:$C$14,1))</f>
        <v>Feu</v>
      </c>
      <c r="F34" s="25" t="s">
        <v>223</v>
      </c>
      <c r="G34" s="23" t="str">
        <f aca="false">IF(OR(H34="Boss",H34="Dragon"),"Oui","Non")</f>
        <v>Non</v>
      </c>
      <c r="H34" s="26" t="s">
        <v>138</v>
      </c>
      <c r="I34" s="26" t="s">
        <v>224</v>
      </c>
      <c r="J34" s="26" t="s">
        <v>173</v>
      </c>
      <c r="K34" s="27" t="n">
        <f aca="false">IF($F$3="",B34,$F$3)</f>
        <v>30</v>
      </c>
      <c r="L34" s="28" t="n">
        <f aca="false" t="array" ref="L34:L34">ROUND(Paramètres!$B$16*(Paramètres!$B$5+(1-Paramètres!$B$5)*((K34-Paramètres!$B$7)/(Paramètres!$B$8-Paramètres!$B$7))^Paramètres!$B$6)*INDEX(Rôles!$B$18:$B$22,AZ34)*INDEX(Rôles!$B$5:$B$13,AY34),0)</f>
        <v>422</v>
      </c>
      <c r="M34" s="29" t="n">
        <f aca="false" t="array" ref="M34:M34">ROUND(IF(J34="Physique",1,IF(J34="Mixte",Paramètres!$B$32,0))*Paramètres!$B$12*(Paramètres!$B$5+(1-Paramètres!$B$5)*((K34-Paramètres!$B$7)/(Paramètres!$B$8-Paramètres!$B$7))^Paramètres!$B$6)*INDEX(Rôles!$C$18:$C$22,AZ34)*INDEX(Rôles!$C$5:$C$13,AY34)/(Paramètres!$B$35*(1-Paramètres!$B$36)),0)</f>
        <v>0</v>
      </c>
      <c r="N34" s="29" t="n">
        <f aca="false" t="array" ref="N34:N34">ROUND(IF(J34="Magique",1,IF(J34="Mixte",Paramètres!$B$32,0))*Paramètres!$B$12*(Paramètres!$B$5+(1-Paramètres!$B$5)*((K34-Paramètres!$B$7)/(Paramètres!$B$8-Paramètres!$B$7))^Paramètres!$B$6)*INDEX(Rôles!$C$18:$C$22,AZ34)*INDEX(Rôles!$C$5:$C$13,AY34)/(Paramètres!$B$35*(1-Paramètres!$B$36)),0)</f>
        <v>110</v>
      </c>
      <c r="O34" s="29" t="n">
        <f aca="false" t="array" ref="O34:O34">ROUND(Paramètres!$B$18*(Paramètres!$B$5+(1-Paramètres!$B$5)*((K34-Paramètres!$B$7)/(Paramètres!$B$8-Paramètres!$B$7))^Paramètres!$B$6)*INDEX(Rôles!$D$5:$D$13,AY34)*INDEX(Rôles!$D$18:$D$22,AZ34),0)</f>
        <v>157</v>
      </c>
      <c r="P34" s="29" t="n">
        <f aca="false" t="array" ref="P34:P34">ROUND(Paramètres!$B$19*(Paramètres!$B$5+(1-Paramètres!$B$5)*((K34-Paramètres!$B$7)/(Paramètres!$B$8-Paramètres!$B$7))^Paramètres!$B$6)*INDEX(Rôles!$E$5:$E$13,AY34)*INDEX(Rôles!$D$18:$D$22,AZ34),0)</f>
        <v>75</v>
      </c>
      <c r="Q34" s="29" t="n">
        <f aca="false" t="array" ref="Q34:Q34">ROUND(Paramètres!$B$20*(Paramètres!$B$5+(1-Paramètres!$B$5)*((K34-Paramètres!$B$7)/(Paramètres!$B$8-Paramètres!$B$7))^Paramètres!$B$6)*INDEX(Rôles!$F$5:$F$13,AY34),0)</f>
        <v>32</v>
      </c>
      <c r="R34" s="29" t="n">
        <f aca="false">ROUND(Paramètres!$B$64*$AX34*INDEX(Rôles!$N$5:$N$13,$AY34)*INDEX(Rôles!$I$18:$I$22,$AZ34),0)</f>
        <v>27</v>
      </c>
      <c r="S34" s="30" t="n">
        <f aca="false" t="array" ref="S34:S34">MIN(1,ROUND(Paramètres!$B$21*INDEX(Rôles!$G$5:$G$13,AY34),3))</f>
        <v>0.9</v>
      </c>
      <c r="T34" s="30" t="n">
        <f aca="false" t="array" ref="T34:T34">MIN(Paramètres!$B$28,ROUND(Paramètres!$B$22*INDEX(Rôles!$H$5:$H$13,AY34),3))</f>
        <v>0.05</v>
      </c>
      <c r="U34" s="30" t="n">
        <f aca="false" t="array" ref="U34:U34">ROUND(Paramètres!$B$23*INDEX(Rôles!$I$5:$I$13,AY34),3)</f>
        <v>0.5</v>
      </c>
      <c r="V34" s="30" t="n">
        <f aca="false" t="array" ref="V34:V34">MIN(Paramètres!$B$29,ROUND(Paramètres!$B$24*INDEX(Rôles!$J$5:$J$13,AY34),3))</f>
        <v>0.05</v>
      </c>
      <c r="W34" s="30" t="n">
        <f aca="false" t="array" ref="W34:W34">MIN(Paramètres!$B$27,ROUND((Paramètres!$B$25+(Paramètres!$B$26-Paramètres!$B$25)*(K34-Paramètres!$B$7)/(Paramètres!$B$8-Paramètres!$B$7))*INDEX(Rôles!$K$5:$K$13,AY34)+INDEX(Rôles!$G$18:$G$22,AZ34),3))</f>
        <v>0.185</v>
      </c>
      <c r="X34" s="30" t="n">
        <f aca="false">ROUND(1-(1-P34/(P34+(Paramètres!$B$19*(Paramètres!$B$5+(1-Paramètres!$B$5)*((K34-Paramètres!$B$7)/(Paramètres!$B$8-Paramètres!$B$7))^Paramètres!$B$6)*(1-Paramètres!$B$30)/Paramètres!$B$30)))*(1-O34/(O34+(Paramètres!$B$18*(Paramètres!$B$5+(1-Paramètres!$B$5)*((K34-Paramètres!$B$7)/(Paramètres!$B$8-Paramètres!$B$7))^Paramètres!$B$6)*(1-Paramètres!$B$31)/Paramètres!$B$31))),3)</f>
        <v>0.308</v>
      </c>
      <c r="Y34" s="30" t="n">
        <f aca="false">ROUND(O34/(O34+(Paramètres!$B$18*(Paramètres!$B$5+(1-Paramètres!$B$5)*((K34-Paramètres!$B$7)/(Paramètres!$B$8-Paramètres!$B$7))^Paramètres!$B$6)*(1-Paramètres!$B$31)/Paramètres!$B$31)),3)</f>
        <v>0.187</v>
      </c>
      <c r="Z34" s="31" t="n">
        <f aca="false" t="array" ref="Z34:Z34">IF(E34="Neutre",0,MIN(1,INDEX(Rôles!$L$5:$L$13,AY34)+INDEX(Rôles!$F$18:$F$22,AZ34)))</f>
        <v>1</v>
      </c>
      <c r="AA34" s="32" t="n">
        <f aca="false" t="array" ref="AA34:AA34">ROUND(INDEX(Rôles!$C$18:$C$22,AZ34)*INDEX(Rôles!$C$5:$C$13,AY34),4)</f>
        <v>0.018</v>
      </c>
      <c r="AB34" s="33" t="n">
        <f aca="false" t="array" ref="AB34:AB34">ROUND(INDEX(Rôles!$B$18:$B$22,AZ34)*INDEX(Rôles!$B$5:$B$13,AY34),2)</f>
        <v>2</v>
      </c>
      <c r="AC34" s="33" t="n">
        <f aca="false" t="array" ref="AC34:AC34">INDEX(Rôles!$E$18:$E$22,AZ34)</f>
        <v>1</v>
      </c>
      <c r="AD34" s="23" t="str">
        <f aca="false" t="array" ref="AD34:AD34">INDEX(Éléments!$F$5:$F$14,MATCH(E34,Éléments!$A$5:$A$14,0))</f>
        <v>Eau</v>
      </c>
      <c r="AE34" s="23" t="str">
        <f aca="false" t="array" ref="AE34:AE34">INDEX(Éléments!$G$5:$G$14,MATCH(E34,Éléments!$A$5:$A$14,0))</f>
        <v>Glace</v>
      </c>
      <c r="AF34" s="34" t="s">
        <v>209</v>
      </c>
      <c r="AG34" s="35" t="n">
        <v>0.4</v>
      </c>
      <c r="AH34" s="34"/>
      <c r="AI34" s="35"/>
      <c r="AJ34" s="29" t="n">
        <f aca="false" t="array" ref="AJ34:AJ34">ROUND(ROUND(Paramètres!$B$49*K34^Paramètres!$B$50,0)*INDEX(Rôles!$E$18:$E$22,AZ34),0)</f>
        <v>421</v>
      </c>
      <c r="AK34" s="29" t="n">
        <f aca="false" t="array" ref="AK34:AK34">ROUND(ROUND(Paramètres!$B$53*K34^Paramètres!$B$54,0)*INDEX(Rôles!$E$18:$E$22,AZ34),0)</f>
        <v>296</v>
      </c>
      <c r="AL34" s="36" t="n">
        <f aca="false">INDEX(Butin!$B$7:$B$11,AZ34)</f>
        <v>0.05</v>
      </c>
      <c r="AM34" s="37" t="n">
        <f aca="false">INDEX(Butin!$E$7:$E$11,AZ34)</f>
        <v>0.05</v>
      </c>
      <c r="AN34" s="30" t="n">
        <f aca="false">IF($H34="Boss",INDEX(Butin!$E$28:$K$37,MATCH($B34,Éléments!$C$5:$C$14,1),1),IF($H34="Dragon",INDEX(Butin!$E$41:$K$50,MATCH($B34,Éléments!$C$5:$C$14,1),1),INDEX(Butin!$E$15:$K$24,MATCH($B34,Éléments!$C$5:$C$14,1),1)))</f>
        <v>0.52</v>
      </c>
      <c r="AO34" s="30" t="n">
        <f aca="false">IF($H34="Boss",INDEX(Butin!$E$28:$K$37,MATCH($B34,Éléments!$C$5:$C$14,1),2),IF($H34="Dragon",INDEX(Butin!$E$41:$K$50,MATCH($B34,Éléments!$C$5:$C$14,1),2),INDEX(Butin!$E$15:$K$24,MATCH($B34,Éléments!$C$5:$C$14,1),2)))</f>
        <v>0.32</v>
      </c>
      <c r="AP34" s="30" t="n">
        <f aca="false">IF($H34="Boss",INDEX(Butin!$E$28:$K$37,MATCH($B34,Éléments!$C$5:$C$14,1),3),IF($H34="Dragon",INDEX(Butin!$E$41:$K$50,MATCH($B34,Éléments!$C$5:$C$14,1),3),INDEX(Butin!$E$15:$K$24,MATCH($B34,Éléments!$C$5:$C$14,1),3)))</f>
        <v>0.13</v>
      </c>
      <c r="AQ34" s="30" t="n">
        <f aca="false">IF($H34="Boss",INDEX(Butin!$E$28:$K$37,MATCH($B34,Éléments!$C$5:$C$14,1),4),IF($H34="Dragon",INDEX(Butin!$E$41:$K$50,MATCH($B34,Éléments!$C$5:$C$14,1),4),INDEX(Butin!$E$15:$K$24,MATCH($B34,Éléments!$C$5:$C$14,1),4)))</f>
        <v>0.03</v>
      </c>
      <c r="AR34" s="30" t="n">
        <f aca="false">IF($H34="Boss",INDEX(Butin!$E$28:$K$37,MATCH($B34,Éléments!$C$5:$C$14,1),5),IF($H34="Dragon",INDEX(Butin!$E$41:$K$50,MATCH($B34,Éléments!$C$5:$C$14,1),5),INDEX(Butin!$E$15:$K$24,MATCH($B34,Éléments!$C$5:$C$14,1),5)))</f>
        <v>0</v>
      </c>
      <c r="AS34" s="30" t="n">
        <f aca="false">IF($H34="Boss",INDEX(Butin!$E$28:$K$37,MATCH($B34,Éléments!$C$5:$C$14,1),6),IF($H34="Dragon",INDEX(Butin!$E$41:$K$50,MATCH($B34,Éléments!$C$5:$C$14,1),6),INDEX(Butin!$E$15:$K$24,MATCH($B34,Éléments!$C$5:$C$14,1),6)))</f>
        <v>0</v>
      </c>
      <c r="AT34" s="30" t="n">
        <f aca="false">IF($H34="Boss",INDEX(Butin!$E$28:$K$37,MATCH($B34,Éléments!$C$5:$C$14,1),7),IF($H34="Dragon",INDEX(Butin!$E$41:$K$50,MATCH($B34,Éléments!$C$5:$C$14,1),7),INDEX(Butin!$E$15:$K$24,MATCH($B34,Éléments!$C$5:$C$14,1),7)))</f>
        <v>0</v>
      </c>
      <c r="AU34" s="38" t="str">
        <f aca="false">IF(AT34=0,"—",INDEX(Butin!$D$54:$D$63,MATCH($B34,Éléments!$C$5:$C$14,1))&amp;" · "&amp;INDEX(Butin!$F$54:$F$63,MATCH($B34,Éléments!$C$5:$C$14,1))&amp;" · "&amp;INDEX(Butin!$H$54:$H$63,MATCH($B34,Éléments!$C$5:$C$14,1)))</f>
        <v>—</v>
      </c>
      <c r="AV34" s="20" t="s">
        <v>223</v>
      </c>
      <c r="AW34" s="39" t="str">
        <f aca="false">B34&amp;IF(G34="Oui","|B","|N")</f>
        <v>30|N</v>
      </c>
      <c r="AX34" s="40" t="n">
        <f aca="false">(Paramètres!$B$5+(1-Paramètres!$B$5)*((K34-Paramètres!$B$7)/(Paramètres!$B$8-Paramètres!$B$7))^Paramètres!$B$6)</f>
        <v>0.26769024555533</v>
      </c>
      <c r="AY34" s="39" t="n">
        <f aca="false">MATCH(I34,Rôles!$A$5:$A$13,0)</f>
        <v>8</v>
      </c>
      <c r="AZ34" s="39" t="n">
        <f aca="false">MATCH(H34,Rôles!$A$18:$A$22,0)</f>
        <v>2</v>
      </c>
    </row>
    <row r="35" customFormat="false" ht="15.75" hidden="false" customHeight="true" outlineLevel="0" collapsed="false">
      <c r="A35" s="20" t="s">
        <v>225</v>
      </c>
      <c r="B35" s="21" t="n">
        <v>35</v>
      </c>
      <c r="C35" s="22" t="str">
        <f aca="false" t="array" ref="C35:C35">INDEX(Zones!$B$6:$B$35,MATCH(B35,Zones!$A$6:$A$35,0))</f>
        <v>Désert d'Arrakis</v>
      </c>
      <c r="D35" s="23" t="str">
        <f aca="false" t="array" ref="D35:D35">INDEX(Éléments!$B$5:$B$14,MATCH(B35,Éléments!$C$5:$C$14,1))</f>
        <v>Désert</v>
      </c>
      <c r="E35" s="43" t="str">
        <f aca="false" t="array" ref="E35:E35">INDEX(Éléments!$A$5:$A$14,MATCH(B35,Éléments!$C$5:$C$14,1))</f>
        <v>Vent</v>
      </c>
      <c r="F35" s="25" t="s">
        <v>226</v>
      </c>
      <c r="G35" s="23" t="str">
        <f aca="false">IF(OR(H35="Boss",H35="Dragon"),"Oui","Non")</f>
        <v>Oui</v>
      </c>
      <c r="H35" s="26" t="s">
        <v>152</v>
      </c>
      <c r="I35" s="26" t="s">
        <v>149</v>
      </c>
      <c r="J35" s="26" t="s">
        <v>140</v>
      </c>
      <c r="K35" s="27" t="n">
        <f aca="false">IF($F$3="",B35,$F$3)</f>
        <v>35</v>
      </c>
      <c r="L35" s="28" t="n">
        <f aca="false" t="array" ref="L35:L35">ROUND(Paramètres!$B$16*(Paramètres!$B$5+(1-Paramètres!$B$5)*((K35-Paramètres!$B$7)/(Paramètres!$B$8-Paramètres!$B$7))^Paramètres!$B$6)*INDEX(Rôles!$B$18:$B$22,AZ35)*INDEX(Rôles!$B$5:$B$13,AY35),0)</f>
        <v>4443</v>
      </c>
      <c r="M35" s="29" t="n">
        <f aca="false" t="array" ref="M35:M35">ROUND(IF(J35="Physique",1,IF(J35="Mixte",Paramètres!$B$32,0))*Paramètres!$B$12*(Paramètres!$B$5+(1-Paramètres!$B$5)*((K35-Paramètres!$B$7)/(Paramètres!$B$8-Paramètres!$B$7))^Paramètres!$B$6)*INDEX(Rôles!$C$18:$C$22,AZ35)*INDEX(Rôles!$C$5:$C$13,AY35)/(Paramètres!$B$35*(1-Paramètres!$B$36)),0)</f>
        <v>204</v>
      </c>
      <c r="N35" s="29" t="n">
        <f aca="false" t="array" ref="N35:N35">ROUND(IF(J35="Magique",1,IF(J35="Mixte",Paramètres!$B$32,0))*Paramètres!$B$12*(Paramètres!$B$5+(1-Paramètres!$B$5)*((K35-Paramètres!$B$7)/(Paramètres!$B$8-Paramètres!$B$7))^Paramètres!$B$6)*INDEX(Rôles!$C$18:$C$22,AZ35)*INDEX(Rôles!$C$5:$C$13,AY35)/(Paramètres!$B$35*(1-Paramètres!$B$36)),0)</f>
        <v>0</v>
      </c>
      <c r="O35" s="29" t="n">
        <f aca="false" t="array" ref="O35:O35">ROUND(Paramètres!$B$18*(Paramètres!$B$5+(1-Paramètres!$B$5)*((K35-Paramètres!$B$7)/(Paramètres!$B$8-Paramètres!$B$7))^Paramètres!$B$6)*INDEX(Rôles!$D$5:$D$13,AY35)*INDEX(Rôles!$D$18:$D$22,AZ35),0)</f>
        <v>220</v>
      </c>
      <c r="P35" s="29" t="n">
        <f aca="false" t="array" ref="P35:P35">ROUND(Paramètres!$B$19*(Paramètres!$B$5+(1-Paramètres!$B$5)*((K35-Paramètres!$B$7)/(Paramètres!$B$8-Paramètres!$B$7))^Paramètres!$B$6)*INDEX(Rôles!$E$5:$E$13,AY35)*INDEX(Rôles!$D$18:$D$22,AZ35),0)</f>
        <v>245</v>
      </c>
      <c r="Q35" s="29" t="n">
        <f aca="false" t="array" ref="Q35:Q35">ROUND(Paramètres!$B$20*(Paramètres!$B$5+(1-Paramètres!$B$5)*((K35-Paramètres!$B$7)/(Paramètres!$B$8-Paramètres!$B$7))^Paramètres!$B$6)*INDEX(Rôles!$F$5:$F$13,AY35),0)</f>
        <v>23</v>
      </c>
      <c r="R35" s="29" t="n">
        <f aca="false">ROUND(Paramètres!$B$64*$AX35*INDEX(Rôles!$N$5:$N$13,$AY35)*INDEX(Rôles!$I$18:$I$22,$AZ35),0)</f>
        <v>25</v>
      </c>
      <c r="S35" s="30" t="n">
        <f aca="false" t="array" ref="S35:S35">MIN(1,ROUND(Paramètres!$B$21*INDEX(Rôles!$G$5:$G$13,AY35),3))</f>
        <v>0.765</v>
      </c>
      <c r="T35" s="30" t="n">
        <f aca="false" t="array" ref="T35:T35">MIN(Paramètres!$B$28,ROUND(Paramètres!$B$22*INDEX(Rôles!$H$5:$H$13,AY35),3))</f>
        <v>0.03</v>
      </c>
      <c r="U35" s="30" t="n">
        <f aca="false" t="array" ref="U35:U35">ROUND(Paramètres!$B$23*INDEX(Rôles!$I$5:$I$13,AY35),3)</f>
        <v>0.5</v>
      </c>
      <c r="V35" s="30" t="n">
        <f aca="false" t="array" ref="V35:V35">MIN(Paramètres!$B$29,ROUND(Paramètres!$B$24*INDEX(Rôles!$J$5:$J$13,AY35),3))</f>
        <v>0.04</v>
      </c>
      <c r="W35" s="30" t="n">
        <f aca="false" t="array" ref="W35:W35">MIN(Paramètres!$B$27,ROUND((Paramètres!$B$25+(Paramètres!$B$26-Paramètres!$B$25)*(K35-Paramètres!$B$7)/(Paramètres!$B$8-Paramètres!$B$7))*INDEX(Rôles!$K$5:$K$13,AY35)+INDEX(Rôles!$G$18:$G$22,AZ35),3))</f>
        <v>0.363</v>
      </c>
      <c r="X35" s="30" t="n">
        <f aca="false">ROUND(1-(1-P35/(P35+(Paramètres!$B$19*(Paramètres!$B$5+(1-Paramètres!$B$5)*((K35-Paramètres!$B$7)/(Paramètres!$B$8-Paramètres!$B$7))^Paramètres!$B$6)*(1-Paramètres!$B$30)/Paramètres!$B$30)))*(1-O35/(O35+(Paramètres!$B$18*(Paramètres!$B$5+(1-Paramètres!$B$5)*((K35-Paramètres!$B$7)/(Paramètres!$B$8-Paramètres!$B$7))^Paramètres!$B$6)*(1-Paramètres!$B$31)/Paramètres!$B$31))),3)</f>
        <v>0.473</v>
      </c>
      <c r="Y35" s="30" t="n">
        <f aca="false">ROUND(O35/(O35+(Paramètres!$B$18*(Paramètres!$B$5+(1-Paramètres!$B$5)*((K35-Paramètres!$B$7)/(Paramètres!$B$8-Paramètres!$B$7))^Paramètres!$B$6)*(1-Paramètres!$B$31)/Paramètres!$B$31)),3)</f>
        <v>0.216</v>
      </c>
      <c r="Z35" s="31" t="n">
        <f aca="false" t="array" ref="Z35:Z35">IF(E35="Neutre",0,MIN(1,INDEX(Rôles!$L$5:$L$13,AY35)+INDEX(Rôles!$F$18:$F$22,AZ35)))</f>
        <v>0.6</v>
      </c>
      <c r="AA35" s="32" t="n">
        <f aca="false" t="array" ref="AA35:AA35">ROUND(INDEX(Rôles!$C$18:$C$22,AZ35)*INDEX(Rôles!$C$5:$C$13,AY35),4)</f>
        <v>0.0285</v>
      </c>
      <c r="AB35" s="33" t="n">
        <f aca="false" t="array" ref="AB35:AB35">ROUND(INDEX(Rôles!$B$18:$B$22,AZ35)*INDEX(Rôles!$B$5:$B$13,AY35),2)</f>
        <v>18</v>
      </c>
      <c r="AC35" s="33" t="n">
        <f aca="false" t="array" ref="AC35:AC35">INDEX(Rôles!$E$18:$E$22,AZ35)</f>
        <v>8</v>
      </c>
      <c r="AD35" s="23" t="str">
        <f aca="false" t="array" ref="AD35:AD35">INDEX(Éléments!$F$5:$F$14,MATCH(E35,Éléments!$A$5:$A$14,0))</f>
        <v>Glace</v>
      </c>
      <c r="AE35" s="23" t="str">
        <f aca="false" t="array" ref="AE35:AE35">INDEX(Éléments!$G$5:$G$14,MATCH(E35,Éléments!$A$5:$A$14,0))</f>
        <v>Terre</v>
      </c>
      <c r="AF35" s="34" t="s">
        <v>227</v>
      </c>
      <c r="AG35" s="35" t="n">
        <v>0.3</v>
      </c>
      <c r="AH35" s="34" t="s">
        <v>142</v>
      </c>
      <c r="AI35" s="35" t="n">
        <v>0.3</v>
      </c>
      <c r="AJ35" s="29" t="n">
        <f aca="false" t="array" ref="AJ35:AJ35">ROUND(ROUND(Paramètres!$B$49*K35^Paramètres!$B$50,0)*INDEX(Rôles!$E$18:$E$22,AZ35),0)</f>
        <v>4088</v>
      </c>
      <c r="AK35" s="29" t="n">
        <f aca="false" t="array" ref="AK35:AK35">ROUND(ROUND(Paramètres!$B$53*K35^Paramètres!$B$54,0)*INDEX(Rôles!$E$18:$E$22,AZ35),0)</f>
        <v>2912</v>
      </c>
      <c r="AL35" s="36" t="n">
        <f aca="false">INDEX(Butin!$B$7:$B$11,AZ35)</f>
        <v>1</v>
      </c>
      <c r="AM35" s="37" t="n">
        <f aca="false">INDEX(Butin!$E$7:$E$11,AZ35)</f>
        <v>1.4</v>
      </c>
      <c r="AN35" s="30" t="n">
        <f aca="false">IF($H35="Boss",INDEX(Butin!$E$28:$K$37,MATCH($B35,Éléments!$C$5:$C$14,1),1),IF($H35="Dragon",INDEX(Butin!$E$41:$K$50,MATCH($B35,Éléments!$C$5:$C$14,1),1),INDEX(Butin!$E$15:$K$24,MATCH($B35,Éléments!$C$5:$C$14,1),1)))</f>
        <v>0.12</v>
      </c>
      <c r="AO35" s="30" t="n">
        <f aca="false">IF($H35="Boss",INDEX(Butin!$E$28:$K$37,MATCH($B35,Éléments!$C$5:$C$14,1),2),IF($H35="Dragon",INDEX(Butin!$E$41:$K$50,MATCH($B35,Éléments!$C$5:$C$14,1),2),INDEX(Butin!$E$15:$K$24,MATCH($B35,Éléments!$C$5:$C$14,1),2)))</f>
        <v>0.26</v>
      </c>
      <c r="AP35" s="30" t="n">
        <f aca="false">IF($H35="Boss",INDEX(Butin!$E$28:$K$37,MATCH($B35,Éléments!$C$5:$C$14,1),3),IF($H35="Dragon",INDEX(Butin!$E$41:$K$50,MATCH($B35,Éléments!$C$5:$C$14,1),3),INDEX(Butin!$E$15:$K$24,MATCH($B35,Éléments!$C$5:$C$14,1),3)))</f>
        <v>0.32</v>
      </c>
      <c r="AQ35" s="30" t="n">
        <f aca="false">IF($H35="Boss",INDEX(Butin!$E$28:$K$37,MATCH($B35,Éléments!$C$5:$C$14,1),4),IF($H35="Dragon",INDEX(Butin!$E$41:$K$50,MATCH($B35,Éléments!$C$5:$C$14,1),4),INDEX(Butin!$E$15:$K$24,MATCH($B35,Éléments!$C$5:$C$14,1),4)))</f>
        <v>0.19</v>
      </c>
      <c r="AR35" s="30" t="n">
        <f aca="false">IF($H35="Boss",INDEX(Butin!$E$28:$K$37,MATCH($B35,Éléments!$C$5:$C$14,1),5),IF($H35="Dragon",INDEX(Butin!$E$41:$K$50,MATCH($B35,Éléments!$C$5:$C$14,1),5),INDEX(Butin!$E$15:$K$24,MATCH($B35,Éléments!$C$5:$C$14,1),5)))</f>
        <v>0.06</v>
      </c>
      <c r="AS35" s="30" t="n">
        <f aca="false">IF($H35="Boss",INDEX(Butin!$E$28:$K$37,MATCH($B35,Éléments!$C$5:$C$14,1),6),IF($H35="Dragon",INDEX(Butin!$E$41:$K$50,MATCH($B35,Éléments!$C$5:$C$14,1),6),INDEX(Butin!$E$15:$K$24,MATCH($B35,Éléments!$C$5:$C$14,1),6)))</f>
        <v>0.01</v>
      </c>
      <c r="AT35" s="30" t="n">
        <f aca="false">IF($H35="Boss",INDEX(Butin!$E$28:$K$37,MATCH($B35,Éléments!$C$5:$C$14,1),7),IF($H35="Dragon",INDEX(Butin!$E$41:$K$50,MATCH($B35,Éléments!$C$5:$C$14,1),7),INDEX(Butin!$E$15:$K$24,MATCH($B35,Éléments!$C$5:$C$14,1),7)))</f>
        <v>0.04</v>
      </c>
      <c r="AU35" s="38" t="str">
        <f aca="false">IF(AT35=0,"—",INDEX(Butin!$D$54:$D$63,MATCH($B35,Éléments!$C$5:$C$14,1))&amp;" · "&amp;INDEX(Butin!$F$54:$F$63,MATCH($B35,Éléments!$C$5:$C$14,1))&amp;" · "&amp;INDEX(Butin!$H$54:$H$63,MATCH($B35,Éléments!$C$5:$C$14,1)))</f>
        <v>Médaillon du Serment Brisé * · Chapeau du Sage des Cieux · Arc des Mille Tempêtes</v>
      </c>
      <c r="AV35" s="20" t="s">
        <v>228</v>
      </c>
      <c r="AW35" s="39" t="str">
        <f aca="false">B35&amp;IF(G35="Oui","|B","|N")</f>
        <v>35|B</v>
      </c>
      <c r="AX35" s="40" t="n">
        <f aca="false">(Paramètres!$B$5+(1-Paramètres!$B$5)*((K35-Paramètres!$B$7)/(Paramètres!$B$8-Paramètres!$B$7))^Paramètres!$B$6)</f>
        <v>0.313472973134794</v>
      </c>
      <c r="AY35" s="39" t="n">
        <f aca="false">MATCH(I35,Rôles!$A$5:$A$13,0)</f>
        <v>2</v>
      </c>
      <c r="AZ35" s="39" t="n">
        <f aca="false">MATCH(H35,Rôles!$A$18:$A$22,0)</f>
        <v>4</v>
      </c>
    </row>
    <row r="36" customFormat="false" ht="15.75" hidden="false" customHeight="true" outlineLevel="0" collapsed="false">
      <c r="A36" s="20" t="s">
        <v>229</v>
      </c>
      <c r="B36" s="21" t="n">
        <v>35</v>
      </c>
      <c r="C36" s="22" t="str">
        <f aca="false" t="array" ref="C36:C36">INDEX(Zones!$B$6:$B$35,MATCH(B36,Zones!$A$6:$A$35,0))</f>
        <v>Désert d'Arrakis</v>
      </c>
      <c r="D36" s="23" t="str">
        <f aca="false" t="array" ref="D36:D36">INDEX(Éléments!$B$5:$B$14,MATCH(B36,Éléments!$C$5:$C$14,1))</f>
        <v>Désert</v>
      </c>
      <c r="E36" s="43" t="str">
        <f aca="false" t="array" ref="E36:E36">INDEX(Éléments!$A$5:$A$14,MATCH(B36,Éléments!$C$5:$C$14,1))</f>
        <v>Vent</v>
      </c>
      <c r="F36" s="25" t="s">
        <v>230</v>
      </c>
      <c r="G36" s="23" t="str">
        <f aca="false">IF(OR(H36="Boss",H36="Dragon"),"Oui","Non")</f>
        <v>Non</v>
      </c>
      <c r="H36" s="26" t="s">
        <v>138</v>
      </c>
      <c r="I36" s="26" t="s">
        <v>195</v>
      </c>
      <c r="J36" s="26" t="s">
        <v>173</v>
      </c>
      <c r="K36" s="27" t="n">
        <f aca="false">IF($F$3="",B36,$F$3)</f>
        <v>35</v>
      </c>
      <c r="L36" s="28" t="n">
        <f aca="false" t="array" ref="L36:L36">ROUND(Paramètres!$B$16*(Paramètres!$B$5+(1-Paramètres!$B$5)*((K36-Paramètres!$B$7)/(Paramètres!$B$8-Paramètres!$B$7))^Paramètres!$B$6)*INDEX(Rôles!$B$18:$B$22,AZ36)*INDEX(Rôles!$B$5:$B$13,AY36),0)</f>
        <v>346</v>
      </c>
      <c r="M36" s="29" t="n">
        <f aca="false" t="array" ref="M36:M36">ROUND(IF(J36="Physique",1,IF(J36="Mixte",Paramètres!$B$32,0))*Paramètres!$B$12*(Paramètres!$B$5+(1-Paramètres!$B$5)*((K36-Paramètres!$B$7)/(Paramètres!$B$8-Paramètres!$B$7))^Paramètres!$B$6)*INDEX(Rôles!$C$18:$C$22,AZ36)*INDEX(Rôles!$C$5:$C$13,AY36)/(Paramètres!$B$35*(1-Paramètres!$B$36)),0)</f>
        <v>0</v>
      </c>
      <c r="N36" s="29" t="n">
        <f aca="false" t="array" ref="N36:N36">ROUND(IF(J36="Magique",1,IF(J36="Mixte",Paramètres!$B$32,0))*Paramètres!$B$12*(Paramètres!$B$5+(1-Paramètres!$B$5)*((K36-Paramètres!$B$7)/(Paramètres!$B$8-Paramètres!$B$7))^Paramètres!$B$6)*INDEX(Rôles!$C$18:$C$22,AZ36)*INDEX(Rôles!$C$5:$C$13,AY36)/(Paramètres!$B$35*(1-Paramètres!$B$36)),0)</f>
        <v>134</v>
      </c>
      <c r="O36" s="29" t="n">
        <f aca="false" t="array" ref="O36:O36">ROUND(Paramètres!$B$18*(Paramètres!$B$5+(1-Paramètres!$B$5)*((K36-Paramètres!$B$7)/(Paramètres!$B$8-Paramètres!$B$7))^Paramètres!$B$6)*INDEX(Rôles!$D$5:$D$13,AY36)*INDEX(Rôles!$D$18:$D$22,AZ36),0)</f>
        <v>155</v>
      </c>
      <c r="P36" s="29" t="n">
        <f aca="false" t="array" ref="P36:P36">ROUND(Paramètres!$B$19*(Paramètres!$B$5+(1-Paramètres!$B$5)*((K36-Paramètres!$B$7)/(Paramètres!$B$8-Paramètres!$B$7))^Paramètres!$B$6)*INDEX(Rôles!$E$5:$E$13,AY36)*INDEX(Rôles!$D$18:$D$22,AZ36),0)</f>
        <v>50</v>
      </c>
      <c r="Q36" s="29" t="n">
        <f aca="false" t="array" ref="Q36:Q36">ROUND(Paramètres!$B$20*(Paramètres!$B$5+(1-Paramètres!$B$5)*((K36-Paramètres!$B$7)/(Paramètres!$B$8-Paramètres!$B$7))^Paramètres!$B$6)*INDEX(Rôles!$F$5:$F$13,AY36),0)</f>
        <v>34</v>
      </c>
      <c r="R36" s="29" t="n">
        <f aca="false">ROUND(Paramètres!$B$64*$AX36*INDEX(Rôles!$N$5:$N$13,$AY36)*INDEX(Rôles!$I$18:$I$22,$AZ36),0)</f>
        <v>28</v>
      </c>
      <c r="S36" s="30" t="n">
        <f aca="false" t="array" ref="S36:S36">MIN(1,ROUND(Paramètres!$B$21*INDEX(Rôles!$G$5:$G$13,AY36),3))</f>
        <v>0.9</v>
      </c>
      <c r="T36" s="30" t="n">
        <f aca="false" t="array" ref="T36:T36">MIN(Paramètres!$B$28,ROUND(Paramètres!$B$22*INDEX(Rôles!$H$5:$H$13,AY36),3))</f>
        <v>0.05</v>
      </c>
      <c r="U36" s="30" t="n">
        <f aca="false" t="array" ref="U36:U36">ROUND(Paramètres!$B$23*INDEX(Rôles!$I$5:$I$13,AY36),3)</f>
        <v>0.5</v>
      </c>
      <c r="V36" s="30" t="n">
        <f aca="false" t="array" ref="V36:V36">MIN(Paramètres!$B$29,ROUND(Paramètres!$B$24*INDEX(Rôles!$J$5:$J$13,AY36),3))</f>
        <v>0.065</v>
      </c>
      <c r="W36" s="30" t="n">
        <f aca="false" t="array" ref="W36:W36">MIN(Paramètres!$B$27,ROUND((Paramètres!$B$25+(Paramètres!$B$26-Paramètres!$B$25)*(K36-Paramètres!$B$7)/(Paramètres!$B$8-Paramètres!$B$7))*INDEX(Rôles!$K$5:$K$13,AY36)+INDEX(Rôles!$G$18:$G$22,AZ36),3))</f>
        <v>0.163</v>
      </c>
      <c r="X36" s="30" t="n">
        <f aca="false">ROUND(1-(1-P36/(P36+(Paramètres!$B$19*(Paramètres!$B$5+(1-Paramètres!$B$5)*((K36-Paramètres!$B$7)/(Paramètres!$B$8-Paramètres!$B$7))^Paramètres!$B$6)*(1-Paramètres!$B$30)/Paramètres!$B$30)))*(1-O36/(O36+(Paramètres!$B$18*(Paramètres!$B$5+(1-Paramètres!$B$5)*((K36-Paramètres!$B$7)/(Paramètres!$B$8-Paramètres!$B$7))^Paramètres!$B$6)*(1-Paramètres!$B$31)/Paramètres!$B$31))),3)</f>
        <v>0.238</v>
      </c>
      <c r="Y36" s="30" t="n">
        <f aca="false">ROUND(O36/(O36+(Paramètres!$B$18*(Paramètres!$B$5+(1-Paramètres!$B$5)*((K36-Paramètres!$B$7)/(Paramètres!$B$8-Paramètres!$B$7))^Paramètres!$B$6)*(1-Paramètres!$B$31)/Paramètres!$B$31)),3)</f>
        <v>0.162</v>
      </c>
      <c r="Z36" s="31" t="n">
        <f aca="false" t="array" ref="Z36:Z36">IF(E36="Neutre",0,MIN(1,INDEX(Rôles!$L$5:$L$13,AY36)+INDEX(Rôles!$F$18:$F$22,AZ36)))</f>
        <v>1</v>
      </c>
      <c r="AA36" s="32" t="n">
        <f aca="false" t="array" ref="AA36:AA36">ROUND(INDEX(Rôles!$C$18:$C$22,AZ36)*INDEX(Rôles!$C$5:$C$13,AY36),4)</f>
        <v>0.0188</v>
      </c>
      <c r="AB36" s="33" t="n">
        <f aca="false" t="array" ref="AB36:AB36">ROUND(INDEX(Rôles!$B$18:$B$22,AZ36)*INDEX(Rôles!$B$5:$B$13,AY36),2)</f>
        <v>1.4</v>
      </c>
      <c r="AC36" s="33" t="n">
        <f aca="false" t="array" ref="AC36:AC36">INDEX(Rôles!$E$18:$E$22,AZ36)</f>
        <v>1</v>
      </c>
      <c r="AD36" s="23" t="str">
        <f aca="false" t="array" ref="AD36:AD36">INDEX(Éléments!$F$5:$F$14,MATCH(E36,Éléments!$A$5:$A$14,0))</f>
        <v>Glace</v>
      </c>
      <c r="AE36" s="23" t="str">
        <f aca="false" t="array" ref="AE36:AE36">INDEX(Éléments!$G$5:$G$14,MATCH(E36,Éléments!$A$5:$A$14,0))</f>
        <v>Terre</v>
      </c>
      <c r="AF36" s="34" t="s">
        <v>227</v>
      </c>
      <c r="AG36" s="35" t="n">
        <v>0.3</v>
      </c>
      <c r="AH36" s="34" t="s">
        <v>161</v>
      </c>
      <c r="AI36" s="35" t="n">
        <v>0.15</v>
      </c>
      <c r="AJ36" s="29" t="n">
        <f aca="false" t="array" ref="AJ36:AJ36">ROUND(ROUND(Paramètres!$B$49*K36^Paramètres!$B$50,0)*INDEX(Rôles!$E$18:$E$22,AZ36),0)</f>
        <v>511</v>
      </c>
      <c r="AK36" s="29" t="n">
        <f aca="false" t="array" ref="AK36:AK36">ROUND(ROUND(Paramètres!$B$53*K36^Paramètres!$B$54,0)*INDEX(Rôles!$E$18:$E$22,AZ36),0)</f>
        <v>364</v>
      </c>
      <c r="AL36" s="36" t="n">
        <f aca="false">INDEX(Butin!$B$7:$B$11,AZ36)</f>
        <v>0.05</v>
      </c>
      <c r="AM36" s="37" t="n">
        <f aca="false">INDEX(Butin!$E$7:$E$11,AZ36)</f>
        <v>0.05</v>
      </c>
      <c r="AN36" s="30" t="n">
        <f aca="false">IF($H36="Boss",INDEX(Butin!$E$28:$K$37,MATCH($B36,Éléments!$C$5:$C$14,1),1),IF($H36="Dragon",INDEX(Butin!$E$41:$K$50,MATCH($B36,Éléments!$C$5:$C$14,1),1),INDEX(Butin!$E$15:$K$24,MATCH($B36,Éléments!$C$5:$C$14,1),1)))</f>
        <v>0.42</v>
      </c>
      <c r="AO36" s="30" t="n">
        <f aca="false">IF($H36="Boss",INDEX(Butin!$E$28:$K$37,MATCH($B36,Éléments!$C$5:$C$14,1),2),IF($H36="Dragon",INDEX(Butin!$E$41:$K$50,MATCH($B36,Éléments!$C$5:$C$14,1),2),INDEX(Butin!$E$15:$K$24,MATCH($B36,Éléments!$C$5:$C$14,1),2)))</f>
        <v>0.33</v>
      </c>
      <c r="AP36" s="30" t="n">
        <f aca="false">IF($H36="Boss",INDEX(Butin!$E$28:$K$37,MATCH($B36,Éléments!$C$5:$C$14,1),3),IF($H36="Dragon",INDEX(Butin!$E$41:$K$50,MATCH($B36,Éléments!$C$5:$C$14,1),3),INDEX(Butin!$E$15:$K$24,MATCH($B36,Éléments!$C$5:$C$14,1),3)))</f>
        <v>0.18</v>
      </c>
      <c r="AQ36" s="30" t="n">
        <f aca="false">IF($H36="Boss",INDEX(Butin!$E$28:$K$37,MATCH($B36,Éléments!$C$5:$C$14,1),4),IF($H36="Dragon",INDEX(Butin!$E$41:$K$50,MATCH($B36,Éléments!$C$5:$C$14,1),4),INDEX(Butin!$E$15:$K$24,MATCH($B36,Éléments!$C$5:$C$14,1),4)))</f>
        <v>0.06</v>
      </c>
      <c r="AR36" s="30" t="n">
        <f aca="false">IF($H36="Boss",INDEX(Butin!$E$28:$K$37,MATCH($B36,Éléments!$C$5:$C$14,1),5),IF($H36="Dragon",INDEX(Butin!$E$41:$K$50,MATCH($B36,Éléments!$C$5:$C$14,1),5),INDEX(Butin!$E$15:$K$24,MATCH($B36,Éléments!$C$5:$C$14,1),5)))</f>
        <v>0.01</v>
      </c>
      <c r="AS36" s="30" t="n">
        <f aca="false">IF($H36="Boss",INDEX(Butin!$E$28:$K$37,MATCH($B36,Éléments!$C$5:$C$14,1),6),IF($H36="Dragon",INDEX(Butin!$E$41:$K$50,MATCH($B36,Éléments!$C$5:$C$14,1),6),INDEX(Butin!$E$15:$K$24,MATCH($B36,Éléments!$C$5:$C$14,1),6)))</f>
        <v>0</v>
      </c>
      <c r="AT36" s="30" t="n">
        <f aca="false">IF($H36="Boss",INDEX(Butin!$E$28:$K$37,MATCH($B36,Éléments!$C$5:$C$14,1),7),IF($H36="Dragon",INDEX(Butin!$E$41:$K$50,MATCH($B36,Éléments!$C$5:$C$14,1),7),INDEX(Butin!$E$15:$K$24,MATCH($B36,Éléments!$C$5:$C$14,1),7)))</f>
        <v>0</v>
      </c>
      <c r="AU36" s="38" t="str">
        <f aca="false">IF(AT36=0,"—",INDEX(Butin!$D$54:$D$63,MATCH($B36,Éléments!$C$5:$C$14,1))&amp;" · "&amp;INDEX(Butin!$F$54:$F$63,MATCH($B36,Éléments!$C$5:$C$14,1))&amp;" · "&amp;INDEX(Butin!$H$54:$H$63,MATCH($B36,Éléments!$C$5:$C$14,1)))</f>
        <v>—</v>
      </c>
      <c r="AV36" s="20" t="s">
        <v>230</v>
      </c>
      <c r="AW36" s="39" t="str">
        <f aca="false">B36&amp;IF(G36="Oui","|B","|N")</f>
        <v>35|N</v>
      </c>
      <c r="AX36" s="40" t="n">
        <f aca="false">(Paramètres!$B$5+(1-Paramètres!$B$5)*((K36-Paramètres!$B$7)/(Paramètres!$B$8-Paramètres!$B$7))^Paramètres!$B$6)</f>
        <v>0.313472973134794</v>
      </c>
      <c r="AY36" s="39" t="n">
        <f aca="false">MATCH(I36,Rôles!$A$5:$A$13,0)</f>
        <v>5</v>
      </c>
      <c r="AZ36" s="39" t="n">
        <f aca="false">MATCH(H36,Rôles!$A$18:$A$22,0)</f>
        <v>2</v>
      </c>
    </row>
    <row r="37" customFormat="false" ht="15.75" hidden="false" customHeight="true" outlineLevel="0" collapsed="false">
      <c r="A37" s="20" t="s">
        <v>231</v>
      </c>
      <c r="B37" s="21" t="n">
        <v>35</v>
      </c>
      <c r="C37" s="22" t="str">
        <f aca="false" t="array" ref="C37:C37">INDEX(Zones!$B$6:$B$35,MATCH(B37,Zones!$A$6:$A$35,0))</f>
        <v>Désert d'Arrakis</v>
      </c>
      <c r="D37" s="23" t="str">
        <f aca="false" t="array" ref="D37:D37">INDEX(Éléments!$B$5:$B$14,MATCH(B37,Éléments!$C$5:$C$14,1))</f>
        <v>Désert</v>
      </c>
      <c r="E37" s="43" t="str">
        <f aca="false" t="array" ref="E37:E37">INDEX(Éléments!$A$5:$A$14,MATCH(B37,Éléments!$C$5:$C$14,1))</f>
        <v>Vent</v>
      </c>
      <c r="F37" s="25" t="s">
        <v>232</v>
      </c>
      <c r="G37" s="23" t="str">
        <f aca="false">IF(OR(H37="Boss",H37="Dragon"),"Oui","Non")</f>
        <v>Non</v>
      </c>
      <c r="H37" s="26" t="s">
        <v>138</v>
      </c>
      <c r="I37" s="26" t="s">
        <v>195</v>
      </c>
      <c r="J37" s="26" t="s">
        <v>173</v>
      </c>
      <c r="K37" s="27" t="n">
        <f aca="false">IF($F$3="",B37,$F$3)</f>
        <v>35</v>
      </c>
      <c r="L37" s="28" t="n">
        <f aca="false" t="array" ref="L37:L37">ROUND(Paramètres!$B$16*(Paramètres!$B$5+(1-Paramètres!$B$5)*((K37-Paramètres!$B$7)/(Paramètres!$B$8-Paramètres!$B$7))^Paramètres!$B$6)*INDEX(Rôles!$B$18:$B$22,AZ37)*INDEX(Rôles!$B$5:$B$13,AY37),0)</f>
        <v>346</v>
      </c>
      <c r="M37" s="29" t="n">
        <f aca="false" t="array" ref="M37:M37">ROUND(IF(J37="Physique",1,IF(J37="Mixte",Paramètres!$B$32,0))*Paramètres!$B$12*(Paramètres!$B$5+(1-Paramètres!$B$5)*((K37-Paramètres!$B$7)/(Paramètres!$B$8-Paramètres!$B$7))^Paramètres!$B$6)*INDEX(Rôles!$C$18:$C$22,AZ37)*INDEX(Rôles!$C$5:$C$13,AY37)/(Paramètres!$B$35*(1-Paramètres!$B$36)),0)</f>
        <v>0</v>
      </c>
      <c r="N37" s="29" t="n">
        <f aca="false" t="array" ref="N37:N37">ROUND(IF(J37="Magique",1,IF(J37="Mixte",Paramètres!$B$32,0))*Paramètres!$B$12*(Paramètres!$B$5+(1-Paramètres!$B$5)*((K37-Paramètres!$B$7)/(Paramètres!$B$8-Paramètres!$B$7))^Paramètres!$B$6)*INDEX(Rôles!$C$18:$C$22,AZ37)*INDEX(Rôles!$C$5:$C$13,AY37)/(Paramètres!$B$35*(1-Paramètres!$B$36)),0)</f>
        <v>134</v>
      </c>
      <c r="O37" s="29" t="n">
        <f aca="false" t="array" ref="O37:O37">ROUND(Paramètres!$B$18*(Paramètres!$B$5+(1-Paramètres!$B$5)*((K37-Paramètres!$B$7)/(Paramètres!$B$8-Paramètres!$B$7))^Paramètres!$B$6)*INDEX(Rôles!$D$5:$D$13,AY37)*INDEX(Rôles!$D$18:$D$22,AZ37),0)</f>
        <v>155</v>
      </c>
      <c r="P37" s="29" t="n">
        <f aca="false" t="array" ref="P37:P37">ROUND(Paramètres!$B$19*(Paramètres!$B$5+(1-Paramètres!$B$5)*((K37-Paramètres!$B$7)/(Paramètres!$B$8-Paramètres!$B$7))^Paramètres!$B$6)*INDEX(Rôles!$E$5:$E$13,AY37)*INDEX(Rôles!$D$18:$D$22,AZ37),0)</f>
        <v>50</v>
      </c>
      <c r="Q37" s="29" t="n">
        <f aca="false" t="array" ref="Q37:Q37">ROUND(Paramètres!$B$20*(Paramètres!$B$5+(1-Paramètres!$B$5)*((K37-Paramètres!$B$7)/(Paramètres!$B$8-Paramètres!$B$7))^Paramètres!$B$6)*INDEX(Rôles!$F$5:$F$13,AY37),0)</f>
        <v>34</v>
      </c>
      <c r="R37" s="29" t="n">
        <f aca="false">ROUND(Paramètres!$B$64*$AX37*INDEX(Rôles!$N$5:$N$13,$AY37)*INDEX(Rôles!$I$18:$I$22,$AZ37),0)</f>
        <v>28</v>
      </c>
      <c r="S37" s="30" t="n">
        <f aca="false" t="array" ref="S37:S37">MIN(1,ROUND(Paramètres!$B$21*INDEX(Rôles!$G$5:$G$13,AY37),3))</f>
        <v>0.9</v>
      </c>
      <c r="T37" s="30" t="n">
        <f aca="false" t="array" ref="T37:T37">MIN(Paramètres!$B$28,ROUND(Paramètres!$B$22*INDEX(Rôles!$H$5:$H$13,AY37),3))</f>
        <v>0.05</v>
      </c>
      <c r="U37" s="30" t="n">
        <f aca="false" t="array" ref="U37:U37">ROUND(Paramètres!$B$23*INDEX(Rôles!$I$5:$I$13,AY37),3)</f>
        <v>0.5</v>
      </c>
      <c r="V37" s="30" t="n">
        <f aca="false" t="array" ref="V37:V37">MIN(Paramètres!$B$29,ROUND(Paramètres!$B$24*INDEX(Rôles!$J$5:$J$13,AY37),3))</f>
        <v>0.065</v>
      </c>
      <c r="W37" s="30" t="n">
        <f aca="false" t="array" ref="W37:W37">MIN(Paramètres!$B$27,ROUND((Paramètres!$B$25+(Paramètres!$B$26-Paramètres!$B$25)*(K37-Paramètres!$B$7)/(Paramètres!$B$8-Paramètres!$B$7))*INDEX(Rôles!$K$5:$K$13,AY37)+INDEX(Rôles!$G$18:$G$22,AZ37),3))</f>
        <v>0.163</v>
      </c>
      <c r="X37" s="30" t="n">
        <f aca="false">ROUND(1-(1-P37/(P37+(Paramètres!$B$19*(Paramètres!$B$5+(1-Paramètres!$B$5)*((K37-Paramètres!$B$7)/(Paramètres!$B$8-Paramètres!$B$7))^Paramètres!$B$6)*(1-Paramètres!$B$30)/Paramètres!$B$30)))*(1-O37/(O37+(Paramètres!$B$18*(Paramètres!$B$5+(1-Paramètres!$B$5)*((K37-Paramètres!$B$7)/(Paramètres!$B$8-Paramètres!$B$7))^Paramètres!$B$6)*(1-Paramètres!$B$31)/Paramètres!$B$31))),3)</f>
        <v>0.238</v>
      </c>
      <c r="Y37" s="30" t="n">
        <f aca="false">ROUND(O37/(O37+(Paramètres!$B$18*(Paramètres!$B$5+(1-Paramètres!$B$5)*((K37-Paramètres!$B$7)/(Paramètres!$B$8-Paramètres!$B$7))^Paramètres!$B$6)*(1-Paramètres!$B$31)/Paramètres!$B$31)),3)</f>
        <v>0.162</v>
      </c>
      <c r="Z37" s="31" t="n">
        <f aca="false" t="array" ref="Z37:Z37">IF(E37="Neutre",0,MIN(1,INDEX(Rôles!$L$5:$L$13,AY37)+INDEX(Rôles!$F$18:$F$22,AZ37)))</f>
        <v>1</v>
      </c>
      <c r="AA37" s="32" t="n">
        <f aca="false" t="array" ref="AA37:AA37">ROUND(INDEX(Rôles!$C$18:$C$22,AZ37)*INDEX(Rôles!$C$5:$C$13,AY37),4)</f>
        <v>0.0188</v>
      </c>
      <c r="AB37" s="33" t="n">
        <f aca="false" t="array" ref="AB37:AB37">ROUND(INDEX(Rôles!$B$18:$B$22,AZ37)*INDEX(Rôles!$B$5:$B$13,AY37),2)</f>
        <v>1.4</v>
      </c>
      <c r="AC37" s="33" t="n">
        <f aca="false" t="array" ref="AC37:AC37">INDEX(Rôles!$E$18:$E$22,AZ37)</f>
        <v>1</v>
      </c>
      <c r="AD37" s="23" t="str">
        <f aca="false" t="array" ref="AD37:AD37">INDEX(Éléments!$F$5:$F$14,MATCH(E37,Éléments!$A$5:$A$14,0))</f>
        <v>Glace</v>
      </c>
      <c r="AE37" s="23" t="str">
        <f aca="false" t="array" ref="AE37:AE37">INDEX(Éléments!$G$5:$G$14,MATCH(E37,Éléments!$A$5:$A$14,0))</f>
        <v>Terre</v>
      </c>
      <c r="AF37" s="34" t="s">
        <v>227</v>
      </c>
      <c r="AG37" s="35" t="n">
        <v>0.35</v>
      </c>
      <c r="AH37" s="34"/>
      <c r="AI37" s="35"/>
      <c r="AJ37" s="29" t="n">
        <f aca="false" t="array" ref="AJ37:AJ37">ROUND(ROUND(Paramètres!$B$49*K37^Paramètres!$B$50,0)*INDEX(Rôles!$E$18:$E$22,AZ37),0)</f>
        <v>511</v>
      </c>
      <c r="AK37" s="29" t="n">
        <f aca="false" t="array" ref="AK37:AK37">ROUND(ROUND(Paramètres!$B$53*K37^Paramètres!$B$54,0)*INDEX(Rôles!$E$18:$E$22,AZ37),0)</f>
        <v>364</v>
      </c>
      <c r="AL37" s="36" t="n">
        <f aca="false">INDEX(Butin!$B$7:$B$11,AZ37)</f>
        <v>0.05</v>
      </c>
      <c r="AM37" s="37" t="n">
        <f aca="false">INDEX(Butin!$E$7:$E$11,AZ37)</f>
        <v>0.05</v>
      </c>
      <c r="AN37" s="30" t="n">
        <f aca="false">IF($H37="Boss",INDEX(Butin!$E$28:$K$37,MATCH($B37,Éléments!$C$5:$C$14,1),1),IF($H37="Dragon",INDEX(Butin!$E$41:$K$50,MATCH($B37,Éléments!$C$5:$C$14,1),1),INDEX(Butin!$E$15:$K$24,MATCH($B37,Éléments!$C$5:$C$14,1),1)))</f>
        <v>0.42</v>
      </c>
      <c r="AO37" s="30" t="n">
        <f aca="false">IF($H37="Boss",INDEX(Butin!$E$28:$K$37,MATCH($B37,Éléments!$C$5:$C$14,1),2),IF($H37="Dragon",INDEX(Butin!$E$41:$K$50,MATCH($B37,Éléments!$C$5:$C$14,1),2),INDEX(Butin!$E$15:$K$24,MATCH($B37,Éléments!$C$5:$C$14,1),2)))</f>
        <v>0.33</v>
      </c>
      <c r="AP37" s="30" t="n">
        <f aca="false">IF($H37="Boss",INDEX(Butin!$E$28:$K$37,MATCH($B37,Éléments!$C$5:$C$14,1),3),IF($H37="Dragon",INDEX(Butin!$E$41:$K$50,MATCH($B37,Éléments!$C$5:$C$14,1),3),INDEX(Butin!$E$15:$K$24,MATCH($B37,Éléments!$C$5:$C$14,1),3)))</f>
        <v>0.18</v>
      </c>
      <c r="AQ37" s="30" t="n">
        <f aca="false">IF($H37="Boss",INDEX(Butin!$E$28:$K$37,MATCH($B37,Éléments!$C$5:$C$14,1),4),IF($H37="Dragon",INDEX(Butin!$E$41:$K$50,MATCH($B37,Éléments!$C$5:$C$14,1),4),INDEX(Butin!$E$15:$K$24,MATCH($B37,Éléments!$C$5:$C$14,1),4)))</f>
        <v>0.06</v>
      </c>
      <c r="AR37" s="30" t="n">
        <f aca="false">IF($H37="Boss",INDEX(Butin!$E$28:$K$37,MATCH($B37,Éléments!$C$5:$C$14,1),5),IF($H37="Dragon",INDEX(Butin!$E$41:$K$50,MATCH($B37,Éléments!$C$5:$C$14,1),5),INDEX(Butin!$E$15:$K$24,MATCH($B37,Éléments!$C$5:$C$14,1),5)))</f>
        <v>0.01</v>
      </c>
      <c r="AS37" s="30" t="n">
        <f aca="false">IF($H37="Boss",INDEX(Butin!$E$28:$K$37,MATCH($B37,Éléments!$C$5:$C$14,1),6),IF($H37="Dragon",INDEX(Butin!$E$41:$K$50,MATCH($B37,Éléments!$C$5:$C$14,1),6),INDEX(Butin!$E$15:$K$24,MATCH($B37,Éléments!$C$5:$C$14,1),6)))</f>
        <v>0</v>
      </c>
      <c r="AT37" s="30" t="n">
        <f aca="false">IF($H37="Boss",INDEX(Butin!$E$28:$K$37,MATCH($B37,Éléments!$C$5:$C$14,1),7),IF($H37="Dragon",INDEX(Butin!$E$41:$K$50,MATCH($B37,Éléments!$C$5:$C$14,1),7),INDEX(Butin!$E$15:$K$24,MATCH($B37,Éléments!$C$5:$C$14,1),7)))</f>
        <v>0</v>
      </c>
      <c r="AU37" s="38" t="str">
        <f aca="false">IF(AT37=0,"—",INDEX(Butin!$D$54:$D$63,MATCH($B37,Éléments!$C$5:$C$14,1))&amp;" · "&amp;INDEX(Butin!$F$54:$F$63,MATCH($B37,Éléments!$C$5:$C$14,1))&amp;" · "&amp;INDEX(Butin!$H$54:$H$63,MATCH($B37,Éléments!$C$5:$C$14,1)))</f>
        <v>—</v>
      </c>
      <c r="AV37" s="20" t="s">
        <v>232</v>
      </c>
      <c r="AW37" s="39" t="str">
        <f aca="false">B37&amp;IF(G37="Oui","|B","|N")</f>
        <v>35|N</v>
      </c>
      <c r="AX37" s="40" t="n">
        <f aca="false">(Paramètres!$B$5+(1-Paramètres!$B$5)*((K37-Paramètres!$B$7)/(Paramètres!$B$8-Paramètres!$B$7))^Paramètres!$B$6)</f>
        <v>0.313472973134794</v>
      </c>
      <c r="AY37" s="39" t="n">
        <f aca="false">MATCH(I37,Rôles!$A$5:$A$13,0)</f>
        <v>5</v>
      </c>
      <c r="AZ37" s="39" t="n">
        <f aca="false">MATCH(H37,Rôles!$A$18:$A$22,0)</f>
        <v>2</v>
      </c>
    </row>
    <row r="38" customFormat="false" ht="15.75" hidden="false" customHeight="true" outlineLevel="0" collapsed="false">
      <c r="A38" s="20" t="s">
        <v>233</v>
      </c>
      <c r="B38" s="21" t="n">
        <v>35</v>
      </c>
      <c r="C38" s="22" t="str">
        <f aca="false" t="array" ref="C38:C38">INDEX(Zones!$B$6:$B$35,MATCH(B38,Zones!$A$6:$A$35,0))</f>
        <v>Désert d'Arrakis</v>
      </c>
      <c r="D38" s="23" t="str">
        <f aca="false" t="array" ref="D38:D38">INDEX(Éléments!$B$5:$B$14,MATCH(B38,Éléments!$C$5:$C$14,1))</f>
        <v>Désert</v>
      </c>
      <c r="E38" s="43" t="str">
        <f aca="false" t="array" ref="E38:E38">INDEX(Éléments!$A$5:$A$14,MATCH(B38,Éléments!$C$5:$C$14,1))</f>
        <v>Vent</v>
      </c>
      <c r="F38" s="25" t="s">
        <v>234</v>
      </c>
      <c r="G38" s="23" t="str">
        <f aca="false">IF(OR(H38="Boss",H38="Dragon"),"Oui","Non")</f>
        <v>Non</v>
      </c>
      <c r="H38" s="26" t="s">
        <v>138</v>
      </c>
      <c r="I38" s="26" t="s">
        <v>145</v>
      </c>
      <c r="J38" s="26" t="s">
        <v>140</v>
      </c>
      <c r="K38" s="27" t="n">
        <f aca="false">IF($F$3="",B38,$F$3)</f>
        <v>35</v>
      </c>
      <c r="L38" s="28" t="n">
        <f aca="false" t="array" ref="L38:L38">ROUND(Paramètres!$B$16*(Paramètres!$B$5+(1-Paramètres!$B$5)*((K38-Paramètres!$B$7)/(Paramètres!$B$8-Paramètres!$B$7))^Paramètres!$B$6)*INDEX(Rôles!$B$18:$B$22,AZ38)*INDEX(Rôles!$B$5:$B$13,AY38),0)</f>
        <v>370</v>
      </c>
      <c r="M38" s="29" t="n">
        <f aca="false" t="array" ref="M38:M38">ROUND(IF(J38="Physique",1,IF(J38="Mixte",Paramètres!$B$32,0))*Paramètres!$B$12*(Paramètres!$B$5+(1-Paramètres!$B$5)*((K38-Paramètres!$B$7)/(Paramètres!$B$8-Paramètres!$B$7))^Paramètres!$B$6)*INDEX(Rôles!$C$18:$C$22,AZ38)*INDEX(Rôles!$C$5:$C$13,AY38)/(Paramètres!$B$35*(1-Paramètres!$B$36)),0)</f>
        <v>129</v>
      </c>
      <c r="N38" s="29" t="n">
        <f aca="false" t="array" ref="N38:N38">ROUND(IF(J38="Magique",1,IF(J38="Mixte",Paramètres!$B$32,0))*Paramètres!$B$12*(Paramètres!$B$5+(1-Paramètres!$B$5)*((K38-Paramètres!$B$7)/(Paramètres!$B$8-Paramètres!$B$7))^Paramètres!$B$6)*INDEX(Rôles!$C$18:$C$22,AZ38)*INDEX(Rôles!$C$5:$C$13,AY38)/(Paramètres!$B$35*(1-Paramètres!$B$36)),0)</f>
        <v>0</v>
      </c>
      <c r="O38" s="29" t="n">
        <f aca="false" t="array" ref="O38:O38">ROUND(Paramètres!$B$18*(Paramètres!$B$5+(1-Paramètres!$B$5)*((K38-Paramètres!$B$7)/(Paramètres!$B$8-Paramètres!$B$7))^Paramètres!$B$6)*INDEX(Rôles!$D$5:$D$13,AY38)*INDEX(Rôles!$D$18:$D$22,AZ38),0)</f>
        <v>85</v>
      </c>
      <c r="P38" s="29" t="n">
        <f aca="false" t="array" ref="P38:P38">ROUND(Paramètres!$B$19*(Paramètres!$B$5+(1-Paramètres!$B$5)*((K38-Paramètres!$B$7)/(Paramètres!$B$8-Paramètres!$B$7))^Paramètres!$B$6)*INDEX(Rôles!$E$5:$E$13,AY38)*INDEX(Rôles!$D$18:$D$22,AZ38),0)</f>
        <v>63</v>
      </c>
      <c r="Q38" s="29" t="n">
        <f aca="false" t="array" ref="Q38:Q38">ROUND(Paramètres!$B$20*(Paramètres!$B$5+(1-Paramètres!$B$5)*((K38-Paramètres!$B$7)/(Paramètres!$B$8-Paramètres!$B$7))^Paramètres!$B$6)*INDEX(Rôles!$F$5:$F$13,AY38),0)</f>
        <v>60</v>
      </c>
      <c r="R38" s="29" t="n">
        <f aca="false">ROUND(Paramètres!$B$64*$AX38*INDEX(Rôles!$N$5:$N$13,$AY38)*INDEX(Rôles!$I$18:$I$22,$AZ38),0)</f>
        <v>47</v>
      </c>
      <c r="S38" s="30" t="n">
        <f aca="false" t="array" ref="S38:S38">MIN(1,ROUND(Paramètres!$B$21*INDEX(Rôles!$G$5:$G$13,AY38),3))</f>
        <v>1</v>
      </c>
      <c r="T38" s="30" t="n">
        <f aca="false" t="array" ref="T38:T38">MIN(Paramètres!$B$28,ROUND(Paramètres!$B$22*INDEX(Rôles!$H$5:$H$13,AY38),3))</f>
        <v>0.08</v>
      </c>
      <c r="U38" s="30" t="n">
        <f aca="false" t="array" ref="U38:U38">ROUND(Paramètres!$B$23*INDEX(Rôles!$I$5:$I$13,AY38),3)</f>
        <v>0.7</v>
      </c>
      <c r="V38" s="30" t="n">
        <f aca="false" t="array" ref="V38:V38">MIN(Paramètres!$B$29,ROUND(Paramètres!$B$24*INDEX(Rôles!$J$5:$J$13,AY38),3))</f>
        <v>0.06</v>
      </c>
      <c r="W38" s="30" t="n">
        <f aca="false" t="array" ref="W38:W38">MIN(Paramètres!$B$27,ROUND((Paramètres!$B$25+(Paramètres!$B$26-Paramètres!$B$25)*(K38-Paramètres!$B$7)/(Paramètres!$B$8-Paramètres!$B$7))*INDEX(Rôles!$K$5:$K$13,AY38)+INDEX(Rôles!$G$18:$G$22,AZ38),3))</f>
        <v>0.109</v>
      </c>
      <c r="X38" s="30" t="n">
        <f aca="false">ROUND(1-(1-P38/(P38+(Paramètres!$B$19*(Paramètres!$B$5+(1-Paramètres!$B$5)*((K38-Paramètres!$B$7)/(Paramètres!$B$8-Paramètres!$B$7))^Paramètres!$B$6)*(1-Paramètres!$B$30)/Paramètres!$B$30)))*(1-O38/(O38+(Paramètres!$B$18*(Paramètres!$B$5+(1-Paramètres!$B$5)*((K38-Paramètres!$B$7)/(Paramètres!$B$8-Paramètres!$B$7))^Paramètres!$B$6)*(1-Paramètres!$B$31)/Paramètres!$B$31))),3)</f>
        <v>0.197</v>
      </c>
      <c r="Y38" s="30" t="n">
        <f aca="false">ROUND(O38/(O38+(Paramètres!$B$18*(Paramètres!$B$5+(1-Paramètres!$B$5)*((K38-Paramètres!$B$7)/(Paramètres!$B$8-Paramètres!$B$7))^Paramètres!$B$6)*(1-Paramètres!$B$31)/Paramètres!$B$31)),3)</f>
        <v>0.096</v>
      </c>
      <c r="Z38" s="31" t="n">
        <f aca="false" t="array" ref="Z38:Z38">IF(E38="Neutre",0,MIN(1,INDEX(Rôles!$L$5:$L$13,AY38)+INDEX(Rôles!$F$18:$F$22,AZ38)))</f>
        <v>0.5</v>
      </c>
      <c r="AA38" s="32" t="n">
        <f aca="false" t="array" ref="AA38:AA38">ROUND(INDEX(Rôles!$C$18:$C$22,AZ38)*INDEX(Rôles!$C$5:$C$13,AY38),4)</f>
        <v>0.018</v>
      </c>
      <c r="AB38" s="33" t="n">
        <f aca="false" t="array" ref="AB38:AB38">ROUND(INDEX(Rôles!$B$18:$B$22,AZ38)*INDEX(Rôles!$B$5:$B$13,AY38),2)</f>
        <v>1.5</v>
      </c>
      <c r="AC38" s="33" t="n">
        <f aca="false" t="array" ref="AC38:AC38">INDEX(Rôles!$E$18:$E$22,AZ38)</f>
        <v>1</v>
      </c>
      <c r="AD38" s="23" t="str">
        <f aca="false" t="array" ref="AD38:AD38">INDEX(Éléments!$F$5:$F$14,MATCH(E38,Éléments!$A$5:$A$14,0))</f>
        <v>Glace</v>
      </c>
      <c r="AE38" s="23" t="str">
        <f aca="false" t="array" ref="AE38:AE38">INDEX(Éléments!$G$5:$G$14,MATCH(E38,Éléments!$A$5:$A$14,0))</f>
        <v>Terre</v>
      </c>
      <c r="AF38" s="34" t="s">
        <v>141</v>
      </c>
      <c r="AG38" s="35" t="n">
        <v>0.2</v>
      </c>
      <c r="AH38" s="34" t="s">
        <v>227</v>
      </c>
      <c r="AI38" s="35" t="n">
        <v>0.2</v>
      </c>
      <c r="AJ38" s="29" t="n">
        <f aca="false" t="array" ref="AJ38:AJ38">ROUND(ROUND(Paramètres!$B$49*K38^Paramètres!$B$50,0)*INDEX(Rôles!$E$18:$E$22,AZ38),0)</f>
        <v>511</v>
      </c>
      <c r="AK38" s="29" t="n">
        <f aca="false" t="array" ref="AK38:AK38">ROUND(ROUND(Paramètres!$B$53*K38^Paramètres!$B$54,0)*INDEX(Rôles!$E$18:$E$22,AZ38),0)</f>
        <v>364</v>
      </c>
      <c r="AL38" s="36" t="n">
        <f aca="false">INDEX(Butin!$B$7:$B$11,AZ38)</f>
        <v>0.05</v>
      </c>
      <c r="AM38" s="37" t="n">
        <f aca="false">INDEX(Butin!$E$7:$E$11,AZ38)</f>
        <v>0.05</v>
      </c>
      <c r="AN38" s="30" t="n">
        <f aca="false">IF($H38="Boss",INDEX(Butin!$E$28:$K$37,MATCH($B38,Éléments!$C$5:$C$14,1),1),IF($H38="Dragon",INDEX(Butin!$E$41:$K$50,MATCH($B38,Éléments!$C$5:$C$14,1),1),INDEX(Butin!$E$15:$K$24,MATCH($B38,Éléments!$C$5:$C$14,1),1)))</f>
        <v>0.42</v>
      </c>
      <c r="AO38" s="30" t="n">
        <f aca="false">IF($H38="Boss",INDEX(Butin!$E$28:$K$37,MATCH($B38,Éléments!$C$5:$C$14,1),2),IF($H38="Dragon",INDEX(Butin!$E$41:$K$50,MATCH($B38,Éléments!$C$5:$C$14,1),2),INDEX(Butin!$E$15:$K$24,MATCH($B38,Éléments!$C$5:$C$14,1),2)))</f>
        <v>0.33</v>
      </c>
      <c r="AP38" s="30" t="n">
        <f aca="false">IF($H38="Boss",INDEX(Butin!$E$28:$K$37,MATCH($B38,Éléments!$C$5:$C$14,1),3),IF($H38="Dragon",INDEX(Butin!$E$41:$K$50,MATCH($B38,Éléments!$C$5:$C$14,1),3),INDEX(Butin!$E$15:$K$24,MATCH($B38,Éléments!$C$5:$C$14,1),3)))</f>
        <v>0.18</v>
      </c>
      <c r="AQ38" s="30" t="n">
        <f aca="false">IF($H38="Boss",INDEX(Butin!$E$28:$K$37,MATCH($B38,Éléments!$C$5:$C$14,1),4),IF($H38="Dragon",INDEX(Butin!$E$41:$K$50,MATCH($B38,Éléments!$C$5:$C$14,1),4),INDEX(Butin!$E$15:$K$24,MATCH($B38,Éléments!$C$5:$C$14,1),4)))</f>
        <v>0.06</v>
      </c>
      <c r="AR38" s="30" t="n">
        <f aca="false">IF($H38="Boss",INDEX(Butin!$E$28:$K$37,MATCH($B38,Éléments!$C$5:$C$14,1),5),IF($H38="Dragon",INDEX(Butin!$E$41:$K$50,MATCH($B38,Éléments!$C$5:$C$14,1),5),INDEX(Butin!$E$15:$K$24,MATCH($B38,Éléments!$C$5:$C$14,1),5)))</f>
        <v>0.01</v>
      </c>
      <c r="AS38" s="30" t="n">
        <f aca="false">IF($H38="Boss",INDEX(Butin!$E$28:$K$37,MATCH($B38,Éléments!$C$5:$C$14,1),6),IF($H38="Dragon",INDEX(Butin!$E$41:$K$50,MATCH($B38,Éléments!$C$5:$C$14,1),6),INDEX(Butin!$E$15:$K$24,MATCH($B38,Éléments!$C$5:$C$14,1),6)))</f>
        <v>0</v>
      </c>
      <c r="AT38" s="30" t="n">
        <f aca="false">IF($H38="Boss",INDEX(Butin!$E$28:$K$37,MATCH($B38,Éléments!$C$5:$C$14,1),7),IF($H38="Dragon",INDEX(Butin!$E$41:$K$50,MATCH($B38,Éléments!$C$5:$C$14,1),7),INDEX(Butin!$E$15:$K$24,MATCH($B38,Éléments!$C$5:$C$14,1),7)))</f>
        <v>0</v>
      </c>
      <c r="AU38" s="38" t="str">
        <f aca="false">IF(AT38=0,"—",INDEX(Butin!$D$54:$D$63,MATCH($B38,Éléments!$C$5:$C$14,1))&amp;" · "&amp;INDEX(Butin!$F$54:$F$63,MATCH($B38,Éléments!$C$5:$C$14,1))&amp;" · "&amp;INDEX(Butin!$H$54:$H$63,MATCH($B38,Éléments!$C$5:$C$14,1)))</f>
        <v>—</v>
      </c>
      <c r="AV38" s="20" t="s">
        <v>234</v>
      </c>
      <c r="AW38" s="39" t="str">
        <f aca="false">B38&amp;IF(G38="Oui","|B","|N")</f>
        <v>35|N</v>
      </c>
      <c r="AX38" s="40" t="n">
        <f aca="false">(Paramètres!$B$5+(1-Paramètres!$B$5)*((K38-Paramètres!$B$7)/(Paramètres!$B$8-Paramètres!$B$7))^Paramètres!$B$6)</f>
        <v>0.313472973134794</v>
      </c>
      <c r="AY38" s="39" t="n">
        <f aca="false">MATCH(I38,Rôles!$A$5:$A$13,0)</f>
        <v>7</v>
      </c>
      <c r="AZ38" s="39" t="n">
        <f aca="false">MATCH(H38,Rôles!$A$18:$A$22,0)</f>
        <v>2</v>
      </c>
    </row>
    <row r="39" customFormat="false" ht="15.75" hidden="false" customHeight="true" outlineLevel="0" collapsed="false">
      <c r="A39" s="20" t="s">
        <v>235</v>
      </c>
      <c r="B39" s="21" t="n">
        <v>39</v>
      </c>
      <c r="C39" s="22" t="str">
        <f aca="false" t="array" ref="C39:C39">INDEX(Zones!$B$6:$B$35,MATCH(B39,Zones!$A$6:$A$35,0))</f>
        <v>Tannière du dragon (39)</v>
      </c>
      <c r="D39" s="23" t="str">
        <f aca="false" t="array" ref="D39:D39">INDEX(Éléments!$B$5:$B$14,MATCH(B39,Éléments!$C$5:$C$14,1))</f>
        <v>Désert</v>
      </c>
      <c r="E39" s="43" t="str">
        <f aca="false" t="array" ref="E39:E39">INDEX(Éléments!$A$5:$A$14,MATCH(B39,Éléments!$C$5:$C$14,1))</f>
        <v>Vent</v>
      </c>
      <c r="F39" s="25" t="s">
        <v>236</v>
      </c>
      <c r="G39" s="23" t="str">
        <f aca="false">IF(OR(H39="Boss",H39="Dragon"),"Oui","Non")</f>
        <v>Oui</v>
      </c>
      <c r="H39" s="26" t="s">
        <v>156</v>
      </c>
      <c r="I39" s="26" t="s">
        <v>156</v>
      </c>
      <c r="J39" s="26" t="s">
        <v>157</v>
      </c>
      <c r="K39" s="27" t="n">
        <f aca="false">IF($F$3="",B39,$F$3)</f>
        <v>39</v>
      </c>
      <c r="L39" s="28" t="n">
        <f aca="false" t="array" ref="L39:L39">ROUND(Paramètres!$B$16*(Paramètres!$B$5+(1-Paramètres!$B$5)*((K39-Paramètres!$B$7)/(Paramètres!$B$8-Paramètres!$B$7))^Paramètres!$B$6)*INDEX(Rôles!$B$18:$B$22,AZ39)*INDEX(Rôles!$B$5:$B$13,AY39),0)</f>
        <v>5530</v>
      </c>
      <c r="M39" s="29" t="n">
        <f aca="false" t="array" ref="M39:M39">ROUND(IF(J39="Physique",1,IF(J39="Mixte",Paramètres!$B$32,0))*Paramètres!$B$12*(Paramètres!$B$5+(1-Paramètres!$B$5)*((K39-Paramètres!$B$7)/(Paramètres!$B$8-Paramètres!$B$7))^Paramètres!$B$6)*INDEX(Rôles!$C$18:$C$22,AZ39)*INDEX(Rôles!$C$5:$C$13,AY39)/(Paramètres!$B$35*(1-Paramètres!$B$36)),0)</f>
        <v>181</v>
      </c>
      <c r="N39" s="29" t="n">
        <f aca="false" t="array" ref="N39:N39">ROUND(IF(J39="Magique",1,IF(J39="Mixte",Paramètres!$B$32,0))*Paramètres!$B$12*(Paramètres!$B$5+(1-Paramètres!$B$5)*((K39-Paramètres!$B$7)/(Paramètres!$B$8-Paramètres!$B$7))^Paramètres!$B$6)*INDEX(Rôles!$C$18:$C$22,AZ39)*INDEX(Rôles!$C$5:$C$13,AY39)/(Paramètres!$B$35*(1-Paramètres!$B$36)),0)</f>
        <v>181</v>
      </c>
      <c r="O39" s="29" t="n">
        <f aca="false" t="array" ref="O39:O39">ROUND(Paramètres!$B$18*(Paramètres!$B$5+(1-Paramètres!$B$5)*((K39-Paramètres!$B$7)/(Paramètres!$B$8-Paramètres!$B$7))^Paramètres!$B$6)*INDEX(Rôles!$D$5:$D$13,AY39)*INDEX(Rôles!$D$18:$D$22,AZ39),0)</f>
        <v>267</v>
      </c>
      <c r="P39" s="29" t="n">
        <f aca="false" t="array" ref="P39:P39">ROUND(Paramètres!$B$19*(Paramètres!$B$5+(1-Paramètres!$B$5)*((K39-Paramètres!$B$7)/(Paramètres!$B$8-Paramètres!$B$7))^Paramètres!$B$6)*INDEX(Rôles!$E$5:$E$13,AY39)*INDEX(Rôles!$D$18:$D$22,AZ39),0)</f>
        <v>256</v>
      </c>
      <c r="Q39" s="29" t="n">
        <f aca="false" t="array" ref="Q39:Q39">ROUND(Paramètres!$B$20*(Paramètres!$B$5+(1-Paramètres!$B$5)*((K39-Paramètres!$B$7)/(Paramètres!$B$8-Paramètres!$B$7))^Paramètres!$B$6)*INDEX(Rôles!$F$5:$F$13,AY39),0)</f>
        <v>34</v>
      </c>
      <c r="R39" s="29" t="n">
        <f aca="false">ROUND(Paramètres!$B$64*$AX39*INDEX(Rôles!$N$5:$N$13,$AY39)*INDEX(Rôles!$I$18:$I$22,$AZ39),0)</f>
        <v>28</v>
      </c>
      <c r="S39" s="30" t="n">
        <f aca="false" t="array" ref="S39:S39">MIN(1,ROUND(Paramètres!$B$21*INDEX(Rôles!$G$5:$G$13,AY39),3))</f>
        <v>0.9</v>
      </c>
      <c r="T39" s="30" t="n">
        <f aca="false" t="array" ref="T39:T39">MIN(Paramètres!$B$28,ROUND(Paramètres!$B$22*INDEX(Rôles!$H$5:$H$13,AY39),3))</f>
        <v>0.05</v>
      </c>
      <c r="U39" s="30" t="n">
        <f aca="false" t="array" ref="U39:U39">ROUND(Paramètres!$B$23*INDEX(Rôles!$I$5:$I$13,AY39),3)</f>
        <v>0.5</v>
      </c>
      <c r="V39" s="30" t="n">
        <f aca="false" t="array" ref="V39:V39">MIN(Paramètres!$B$29,ROUND(Paramètres!$B$24*INDEX(Rôles!$J$5:$J$13,AY39),3))</f>
        <v>0.05</v>
      </c>
      <c r="W39" s="30" t="n">
        <f aca="false" t="array" ref="W39:W39">MIN(Paramètres!$B$27,ROUND((Paramètres!$B$25+(Paramètres!$B$26-Paramètres!$B$25)*(K39-Paramètres!$B$7)/(Paramètres!$B$8-Paramètres!$B$7))*INDEX(Rôles!$K$5:$K$13,AY39)+INDEX(Rôles!$G$18:$G$22,AZ39),3))</f>
        <v>0.39</v>
      </c>
      <c r="X39" s="30" t="n">
        <f aca="false">ROUND(1-(1-P39/(P39+(Paramètres!$B$19*(Paramètres!$B$5+(1-Paramètres!$B$5)*((K39-Paramètres!$B$7)/(Paramètres!$B$8-Paramètres!$B$7))^Paramètres!$B$6)*(1-Paramètres!$B$30)/Paramètres!$B$30)))*(1-O39/(O39+(Paramètres!$B$18*(Paramètres!$B$5+(1-Paramètres!$B$5)*((K39-Paramètres!$B$7)/(Paramètres!$B$8-Paramètres!$B$7))^Paramètres!$B$6)*(1-Paramètres!$B$31)/Paramètres!$B$31))),3)</f>
        <v>0.471</v>
      </c>
      <c r="Y39" s="30" t="n">
        <f aca="false">ROUND(O39/(O39+(Paramètres!$B$18*(Paramètres!$B$5+(1-Paramètres!$B$5)*((K39-Paramètres!$B$7)/(Paramètres!$B$8-Paramètres!$B$7))^Paramètres!$B$6)*(1-Paramètres!$B$31)/Paramètres!$B$31)),3)</f>
        <v>0.23</v>
      </c>
      <c r="Z39" s="31" t="n">
        <f aca="false" t="array" ref="Z39:Z39">IF(E39="Neutre",0,MIN(1,INDEX(Rôles!$L$5:$L$13,AY39)+INDEX(Rôles!$F$18:$F$22,AZ39)))</f>
        <v>1</v>
      </c>
      <c r="AA39" s="32" t="n">
        <f aca="false" t="array" ref="AA39:AA39">ROUND(INDEX(Rôles!$C$18:$C$22,AZ39)*INDEX(Rôles!$C$5:$C$13,AY39),4)</f>
        <v>0.03</v>
      </c>
      <c r="AB39" s="33" t="n">
        <f aca="false" t="array" ref="AB39:AB39">ROUND(INDEX(Rôles!$B$18:$B$22,AZ39)*INDEX(Rôles!$B$5:$B$13,AY39),2)</f>
        <v>20</v>
      </c>
      <c r="AC39" s="33" t="n">
        <f aca="false" t="array" ref="AC39:AC39">INDEX(Rôles!$E$18:$E$22,AZ39)</f>
        <v>12</v>
      </c>
      <c r="AD39" s="23" t="str">
        <f aca="false" t="array" ref="AD39:AD39">INDEX(Éléments!$F$5:$F$14,MATCH(E39,Éléments!$A$5:$A$14,0))</f>
        <v>Glace</v>
      </c>
      <c r="AE39" s="23" t="str">
        <f aca="false" t="array" ref="AE39:AE39">INDEX(Éléments!$G$5:$G$14,MATCH(E39,Éléments!$A$5:$A$14,0))</f>
        <v>Terre</v>
      </c>
      <c r="AF39" s="34" t="s">
        <v>227</v>
      </c>
      <c r="AG39" s="35" t="n">
        <v>0.35</v>
      </c>
      <c r="AH39" s="34" t="s">
        <v>142</v>
      </c>
      <c r="AI39" s="35" t="n">
        <v>0.15</v>
      </c>
      <c r="AJ39" s="29" t="n">
        <f aca="false" t="array" ref="AJ39:AJ39">ROUND(ROUND(Paramètres!$B$49*K39^Paramètres!$B$50,0)*INDEX(Rôles!$E$18:$E$22,AZ39),0)</f>
        <v>7020</v>
      </c>
      <c r="AK39" s="29" t="n">
        <f aca="false" t="array" ref="AK39:AK39">ROUND(ROUND(Paramètres!$B$53*K39^Paramètres!$B$54,0)*INDEX(Rôles!$E$18:$E$22,AZ39),0)</f>
        <v>5064</v>
      </c>
      <c r="AL39" s="36" t="n">
        <f aca="false">INDEX(Butin!$B$7:$B$11,AZ39)</f>
        <v>1</v>
      </c>
      <c r="AM39" s="37" t="n">
        <f aca="false">INDEX(Butin!$E$7:$E$11,AZ39)</f>
        <v>2.5</v>
      </c>
      <c r="AN39" s="30" t="n">
        <f aca="false">IF($H39="Boss",INDEX(Butin!$E$28:$K$37,MATCH($B39,Éléments!$C$5:$C$14,1),1),IF($H39="Dragon",INDEX(Butin!$E$41:$K$50,MATCH($B39,Éléments!$C$5:$C$14,1),1),INDEX(Butin!$E$15:$K$24,MATCH($B39,Éléments!$C$5:$C$14,1),1)))</f>
        <v>0.07</v>
      </c>
      <c r="AO39" s="30" t="n">
        <f aca="false">IF($H39="Boss",INDEX(Butin!$E$28:$K$37,MATCH($B39,Éléments!$C$5:$C$14,1),2),IF($H39="Dragon",INDEX(Butin!$E$41:$K$50,MATCH($B39,Éléments!$C$5:$C$14,1),2),INDEX(Butin!$E$15:$K$24,MATCH($B39,Éléments!$C$5:$C$14,1),2)))</f>
        <v>0.24</v>
      </c>
      <c r="AP39" s="30" t="n">
        <f aca="false">IF($H39="Boss",INDEX(Butin!$E$28:$K$37,MATCH($B39,Éléments!$C$5:$C$14,1),3),IF($H39="Dragon",INDEX(Butin!$E$41:$K$50,MATCH($B39,Éléments!$C$5:$C$14,1),3),INDEX(Butin!$E$15:$K$24,MATCH($B39,Éléments!$C$5:$C$14,1),3)))</f>
        <v>0.31</v>
      </c>
      <c r="AQ39" s="30" t="n">
        <f aca="false">IF($H39="Boss",INDEX(Butin!$E$28:$K$37,MATCH($B39,Éléments!$C$5:$C$14,1),4),IF($H39="Dragon",INDEX(Butin!$E$41:$K$50,MATCH($B39,Éléments!$C$5:$C$14,1),4),INDEX(Butin!$E$15:$K$24,MATCH($B39,Éléments!$C$5:$C$14,1),4)))</f>
        <v>0.23</v>
      </c>
      <c r="AR39" s="30" t="n">
        <f aca="false">IF($H39="Boss",INDEX(Butin!$E$28:$K$37,MATCH($B39,Éléments!$C$5:$C$14,1),5),IF($H39="Dragon",INDEX(Butin!$E$41:$K$50,MATCH($B39,Éléments!$C$5:$C$14,1),5),INDEX(Butin!$E$15:$K$24,MATCH($B39,Éléments!$C$5:$C$14,1),5)))</f>
        <v>0.08</v>
      </c>
      <c r="AS39" s="30" t="n">
        <f aca="false">IF($H39="Boss",INDEX(Butin!$E$28:$K$37,MATCH($B39,Éléments!$C$5:$C$14,1),6),IF($H39="Dragon",INDEX(Butin!$E$41:$K$50,MATCH($B39,Éléments!$C$5:$C$14,1),6),INDEX(Butin!$E$15:$K$24,MATCH($B39,Éléments!$C$5:$C$14,1),6)))</f>
        <v>0.015</v>
      </c>
      <c r="AT39" s="30" t="n">
        <f aca="false">IF($H39="Boss",INDEX(Butin!$E$28:$K$37,MATCH($B39,Éléments!$C$5:$C$14,1),7),IF($H39="Dragon",INDEX(Butin!$E$41:$K$50,MATCH($B39,Éléments!$C$5:$C$14,1),7),INDEX(Butin!$E$15:$K$24,MATCH($B39,Éléments!$C$5:$C$14,1),7)))</f>
        <v>0.055</v>
      </c>
      <c r="AU39" s="38" t="str">
        <f aca="false">IF(AT39=0,"—",INDEX(Butin!$D$54:$D$63,MATCH($B39,Éléments!$C$5:$C$14,1))&amp;" · "&amp;INDEX(Butin!$F$54:$F$63,MATCH($B39,Éléments!$C$5:$C$14,1))&amp;" · "&amp;INDEX(Butin!$H$54:$H$63,MATCH($B39,Éléments!$C$5:$C$14,1)))</f>
        <v>Médaillon du Serment Brisé * · Chapeau du Sage des Cieux · Arc des Mille Tempêtes</v>
      </c>
      <c r="AV39" s="20" t="s">
        <v>236</v>
      </c>
      <c r="AW39" s="39" t="str">
        <f aca="false">B39&amp;IF(G39="Oui","|B","|N")</f>
        <v>39|B</v>
      </c>
      <c r="AX39" s="40" t="n">
        <f aca="false">(Paramètres!$B$5+(1-Paramètres!$B$5)*((K39-Paramètres!$B$7)/(Paramètres!$B$8-Paramètres!$B$7))^Paramètres!$B$6)</f>
        <v>0.351093713283426</v>
      </c>
      <c r="AY39" s="39" t="n">
        <f aca="false">MATCH(I39,Rôles!$A$5:$A$13,0)</f>
        <v>9</v>
      </c>
      <c r="AZ39" s="39" t="n">
        <f aca="false">MATCH(H39,Rôles!$A$18:$A$22,0)</f>
        <v>5</v>
      </c>
    </row>
    <row r="40" customFormat="false" ht="15.75" hidden="false" customHeight="true" outlineLevel="0" collapsed="false">
      <c r="A40" s="20" t="s">
        <v>237</v>
      </c>
      <c r="B40" s="21" t="n">
        <v>40</v>
      </c>
      <c r="C40" s="22" t="str">
        <f aca="false" t="array" ref="C40:C40">INDEX(Zones!$B$6:$B$35,MATCH(B40,Zones!$A$6:$A$35,0))</f>
        <v>Pyramide</v>
      </c>
      <c r="D40" s="23" t="str">
        <f aca="false" t="array" ref="D40:D40">INDEX(Éléments!$B$5:$B$14,MATCH(B40,Éléments!$C$5:$C$14,1))</f>
        <v>Désert</v>
      </c>
      <c r="E40" s="43" t="str">
        <f aca="false" t="array" ref="E40:E40">INDEX(Éléments!$A$5:$A$14,MATCH(B40,Éléments!$C$5:$C$14,1))</f>
        <v>Vent</v>
      </c>
      <c r="F40" s="25" t="s">
        <v>238</v>
      </c>
      <c r="G40" s="23" t="str">
        <f aca="false">IF(OR(H40="Boss",H40="Dragon"),"Oui","Non")</f>
        <v>Oui</v>
      </c>
      <c r="H40" s="26" t="s">
        <v>152</v>
      </c>
      <c r="I40" s="26" t="s">
        <v>160</v>
      </c>
      <c r="J40" s="26" t="s">
        <v>157</v>
      </c>
      <c r="K40" s="27" t="n">
        <f aca="false">IF($F$3="",B40,$F$3)</f>
        <v>40</v>
      </c>
      <c r="L40" s="28" t="n">
        <f aca="false" t="array" ref="L40:L40">ROUND(Paramètres!$B$16*(Paramètres!$B$5+(1-Paramètres!$B$5)*((K40-Paramètres!$B$7)/(Paramètres!$B$8-Paramètres!$B$7))^Paramètres!$B$6)*INDEX(Rôles!$B$18:$B$22,AZ40)*INDEX(Rôles!$B$5:$B$13,AY40),0)</f>
        <v>3919</v>
      </c>
      <c r="M40" s="29" t="n">
        <f aca="false" t="array" ref="M40:M40">ROUND(IF(J40="Physique",1,IF(J40="Mixte",Paramètres!$B$32,0))*Paramètres!$B$12*(Paramètres!$B$5+(1-Paramètres!$B$5)*((K40-Paramètres!$B$7)/(Paramètres!$B$8-Paramètres!$B$7))^Paramètres!$B$6)*INDEX(Rôles!$C$18:$C$22,AZ40)*INDEX(Rôles!$C$5:$C$13,AY40)/(Paramètres!$B$35*(1-Paramètres!$B$36)),0)</f>
        <v>185</v>
      </c>
      <c r="N40" s="29" t="n">
        <f aca="false" t="array" ref="N40:N40">ROUND(IF(J40="Magique",1,IF(J40="Mixte",Paramètres!$B$32,0))*Paramètres!$B$12*(Paramètres!$B$5+(1-Paramètres!$B$5)*((K40-Paramètres!$B$7)/(Paramètres!$B$8-Paramètres!$B$7))^Paramètres!$B$6)*INDEX(Rôles!$C$18:$C$22,AZ40)*INDEX(Rôles!$C$5:$C$13,AY40)/(Paramètres!$B$35*(1-Paramètres!$B$36)),0)</f>
        <v>185</v>
      </c>
      <c r="O40" s="29" t="n">
        <f aca="false" t="array" ref="O40:O40">ROUND(Paramètres!$B$18*(Paramètres!$B$5+(1-Paramètres!$B$5)*((K40-Paramètres!$B$7)/(Paramètres!$B$8-Paramètres!$B$7))^Paramètres!$B$6)*INDEX(Rôles!$D$5:$D$13,AY40)*INDEX(Rôles!$D$18:$D$22,AZ40),0)</f>
        <v>211</v>
      </c>
      <c r="P40" s="29" t="n">
        <f aca="false" t="array" ref="P40:P40">ROUND(Paramètres!$B$19*(Paramètres!$B$5+(1-Paramètres!$B$5)*((K40-Paramètres!$B$7)/(Paramètres!$B$8-Paramètres!$B$7))^Paramètres!$B$6)*INDEX(Rôles!$E$5:$E$13,AY40)*INDEX(Rôles!$D$18:$D$22,AZ40),0)</f>
        <v>225</v>
      </c>
      <c r="Q40" s="29" t="n">
        <f aca="false" t="array" ref="Q40:Q40">ROUND(Paramètres!$B$20*(Paramètres!$B$5+(1-Paramètres!$B$5)*((K40-Paramètres!$B$7)/(Paramètres!$B$8-Paramètres!$B$7))^Paramètres!$B$6)*INDEX(Rôles!$F$5:$F$13,AY40),0)</f>
        <v>39</v>
      </c>
      <c r="R40" s="29" t="n">
        <f aca="false">ROUND(Paramètres!$B$64*$AX40*INDEX(Rôles!$N$5:$N$13,$AY40)*INDEX(Rôles!$I$18:$I$22,$AZ40),0)</f>
        <v>39</v>
      </c>
      <c r="S40" s="30" t="n">
        <f aca="false" t="array" ref="S40:S40">MIN(1,ROUND(Paramètres!$B$21*INDEX(Rôles!$G$5:$G$13,AY40),3))</f>
        <v>0.9</v>
      </c>
      <c r="T40" s="30" t="n">
        <f aca="false" t="array" ref="T40:T40">MIN(Paramètres!$B$28,ROUND(Paramètres!$B$22*INDEX(Rôles!$H$5:$H$13,AY40),3))</f>
        <v>0.05</v>
      </c>
      <c r="U40" s="30" t="n">
        <f aca="false" t="array" ref="U40:U40">ROUND(Paramètres!$B$23*INDEX(Rôles!$I$5:$I$13,AY40),3)</f>
        <v>0.5</v>
      </c>
      <c r="V40" s="30" t="n">
        <f aca="false" t="array" ref="V40:V40">MIN(Paramètres!$B$29,ROUND(Paramètres!$B$24*INDEX(Rôles!$J$5:$J$13,AY40),3))</f>
        <v>0.05</v>
      </c>
      <c r="W40" s="30" t="n">
        <f aca="false" t="array" ref="W40:W40">MIN(Paramètres!$B$27,ROUND((Paramètres!$B$25+(Paramètres!$B$26-Paramètres!$B$25)*(K40-Paramètres!$B$7)/(Paramètres!$B$8-Paramètres!$B$7))*INDEX(Rôles!$K$5:$K$13,AY40)+INDEX(Rôles!$G$18:$G$22,AZ40),3))</f>
        <v>0.348</v>
      </c>
      <c r="X40" s="30" t="n">
        <f aca="false">ROUND(1-(1-P40/(P40+(Paramètres!$B$19*(Paramètres!$B$5+(1-Paramètres!$B$5)*((K40-Paramètres!$B$7)/(Paramètres!$B$8-Paramètres!$B$7))^Paramètres!$B$6)*(1-Paramètres!$B$30)/Paramètres!$B$30)))*(1-O40/(O40+(Paramètres!$B$18*(Paramètres!$B$5+(1-Paramètres!$B$5)*((K40-Paramètres!$B$7)/(Paramètres!$B$8-Paramètres!$B$7))^Paramètres!$B$6)*(1-Paramètres!$B$31)/Paramètres!$B$31))),3)</f>
        <v>0.415</v>
      </c>
      <c r="Y40" s="30" t="n">
        <f aca="false">ROUND(O40/(O40+(Paramètres!$B$18*(Paramètres!$B$5+(1-Paramètres!$B$5)*((K40-Paramètres!$B$7)/(Paramètres!$B$8-Paramètres!$B$7))^Paramètres!$B$6)*(1-Paramètres!$B$31)/Paramètres!$B$31)),3)</f>
        <v>0.187</v>
      </c>
      <c r="Z40" s="31" t="n">
        <f aca="false" t="array" ref="Z40:Z40">IF(E40="Neutre",0,MIN(1,INDEX(Rôles!$L$5:$L$13,AY40)+INDEX(Rôles!$F$18:$F$22,AZ40)))</f>
        <v>0.7</v>
      </c>
      <c r="AA40" s="32" t="n">
        <f aca="false" t="array" ref="AA40:AA40">ROUND(INDEX(Rôles!$C$18:$C$22,AZ40)*INDEX(Rôles!$C$5:$C$13,AY40),4)</f>
        <v>0.03</v>
      </c>
      <c r="AB40" s="33" t="n">
        <f aca="false" t="array" ref="AB40:AB40">ROUND(INDEX(Rôles!$B$18:$B$22,AZ40)*INDEX(Rôles!$B$5:$B$13,AY40),2)</f>
        <v>13.8</v>
      </c>
      <c r="AC40" s="33" t="n">
        <f aca="false" t="array" ref="AC40:AC40">INDEX(Rôles!$E$18:$E$22,AZ40)</f>
        <v>8</v>
      </c>
      <c r="AD40" s="23" t="str">
        <f aca="false" t="array" ref="AD40:AD40">INDEX(Éléments!$F$5:$F$14,MATCH(E40,Éléments!$A$5:$A$14,0))</f>
        <v>Glace</v>
      </c>
      <c r="AE40" s="23" t="str">
        <f aca="false" t="array" ref="AE40:AE40">INDEX(Éléments!$G$5:$G$14,MATCH(E40,Éléments!$A$5:$A$14,0))</f>
        <v>Terre</v>
      </c>
      <c r="AF40" s="34" t="s">
        <v>227</v>
      </c>
      <c r="AG40" s="35" t="n">
        <v>0.3</v>
      </c>
      <c r="AH40" s="34" t="s">
        <v>161</v>
      </c>
      <c r="AI40" s="35" t="n">
        <v>0.3</v>
      </c>
      <c r="AJ40" s="29" t="n">
        <f aca="false" t="array" ref="AJ40:AJ40">ROUND(ROUND(Paramètres!$B$49*K40^Paramètres!$B$50,0)*INDEX(Rôles!$E$18:$E$22,AZ40),0)</f>
        <v>4832</v>
      </c>
      <c r="AK40" s="29" t="n">
        <f aca="false" t="array" ref="AK40:AK40">ROUND(ROUND(Paramètres!$B$53*K40^Paramètres!$B$54,0)*INDEX(Rôles!$E$18:$E$22,AZ40),0)</f>
        <v>3488</v>
      </c>
      <c r="AL40" s="36" t="n">
        <f aca="false">INDEX(Butin!$B$7:$B$11,AZ40)</f>
        <v>1</v>
      </c>
      <c r="AM40" s="37" t="n">
        <f aca="false">INDEX(Butin!$E$7:$E$11,AZ40)</f>
        <v>1.4</v>
      </c>
      <c r="AN40" s="30" t="n">
        <f aca="false">IF($H40="Boss",INDEX(Butin!$E$28:$K$37,MATCH($B40,Éléments!$C$5:$C$14,1),1),IF($H40="Dragon",INDEX(Butin!$E$41:$K$50,MATCH($B40,Éléments!$C$5:$C$14,1),1),INDEX(Butin!$E$15:$K$24,MATCH($B40,Éléments!$C$5:$C$14,1),1)))</f>
        <v>0.12</v>
      </c>
      <c r="AO40" s="30" t="n">
        <f aca="false">IF($H40="Boss",INDEX(Butin!$E$28:$K$37,MATCH($B40,Éléments!$C$5:$C$14,1),2),IF($H40="Dragon",INDEX(Butin!$E$41:$K$50,MATCH($B40,Éléments!$C$5:$C$14,1),2),INDEX(Butin!$E$15:$K$24,MATCH($B40,Éléments!$C$5:$C$14,1),2)))</f>
        <v>0.26</v>
      </c>
      <c r="AP40" s="30" t="n">
        <f aca="false">IF($H40="Boss",INDEX(Butin!$E$28:$K$37,MATCH($B40,Éléments!$C$5:$C$14,1),3),IF($H40="Dragon",INDEX(Butin!$E$41:$K$50,MATCH($B40,Éléments!$C$5:$C$14,1),3),INDEX(Butin!$E$15:$K$24,MATCH($B40,Éléments!$C$5:$C$14,1),3)))</f>
        <v>0.32</v>
      </c>
      <c r="AQ40" s="30" t="n">
        <f aca="false">IF($H40="Boss",INDEX(Butin!$E$28:$K$37,MATCH($B40,Éléments!$C$5:$C$14,1),4),IF($H40="Dragon",INDEX(Butin!$E$41:$K$50,MATCH($B40,Éléments!$C$5:$C$14,1),4),INDEX(Butin!$E$15:$K$24,MATCH($B40,Éléments!$C$5:$C$14,1),4)))</f>
        <v>0.19</v>
      </c>
      <c r="AR40" s="30" t="n">
        <f aca="false">IF($H40="Boss",INDEX(Butin!$E$28:$K$37,MATCH($B40,Éléments!$C$5:$C$14,1),5),IF($H40="Dragon",INDEX(Butin!$E$41:$K$50,MATCH($B40,Éléments!$C$5:$C$14,1),5),INDEX(Butin!$E$15:$K$24,MATCH($B40,Éléments!$C$5:$C$14,1),5)))</f>
        <v>0.06</v>
      </c>
      <c r="AS40" s="30" t="n">
        <f aca="false">IF($H40="Boss",INDEX(Butin!$E$28:$K$37,MATCH($B40,Éléments!$C$5:$C$14,1),6),IF($H40="Dragon",INDEX(Butin!$E$41:$K$50,MATCH($B40,Éléments!$C$5:$C$14,1),6),INDEX(Butin!$E$15:$K$24,MATCH($B40,Éléments!$C$5:$C$14,1),6)))</f>
        <v>0.01</v>
      </c>
      <c r="AT40" s="30" t="n">
        <f aca="false">IF($H40="Boss",INDEX(Butin!$E$28:$K$37,MATCH($B40,Éléments!$C$5:$C$14,1),7),IF($H40="Dragon",INDEX(Butin!$E$41:$K$50,MATCH($B40,Éléments!$C$5:$C$14,1),7),INDEX(Butin!$E$15:$K$24,MATCH($B40,Éléments!$C$5:$C$14,1),7)))</f>
        <v>0.04</v>
      </c>
      <c r="AU40" s="38" t="str">
        <f aca="false">IF(AT40=0,"—",INDEX(Butin!$D$54:$D$63,MATCH($B40,Éléments!$C$5:$C$14,1))&amp;" · "&amp;INDEX(Butin!$F$54:$F$63,MATCH($B40,Éléments!$C$5:$C$14,1))&amp;" · "&amp;INDEX(Butin!$H$54:$H$63,MATCH($B40,Éléments!$C$5:$C$14,1)))</f>
        <v>Médaillon du Serment Brisé * · Chapeau du Sage des Cieux · Arc des Mille Tempêtes</v>
      </c>
      <c r="AV40" s="20" t="s">
        <v>239</v>
      </c>
      <c r="AW40" s="39" t="str">
        <f aca="false">B40&amp;IF(G40="Oui","|B","|N")</f>
        <v>40|B</v>
      </c>
      <c r="AX40" s="40" t="n">
        <f aca="false">(Paramètres!$B$5+(1-Paramètres!$B$5)*((K40-Paramètres!$B$7)/(Paramètres!$B$8-Paramètres!$B$7))^Paramètres!$B$6)</f>
        <v>0.360626783905164</v>
      </c>
      <c r="AY40" s="39" t="n">
        <f aca="false">MATCH(I40,Rôles!$A$5:$A$13,0)</f>
        <v>3</v>
      </c>
      <c r="AZ40" s="39" t="n">
        <f aca="false">MATCH(H40,Rôles!$A$18:$A$22,0)</f>
        <v>4</v>
      </c>
    </row>
    <row r="41" customFormat="false" ht="15.75" hidden="false" customHeight="true" outlineLevel="0" collapsed="false">
      <c r="A41" s="20" t="s">
        <v>240</v>
      </c>
      <c r="B41" s="21" t="n">
        <v>40</v>
      </c>
      <c r="C41" s="22" t="str">
        <f aca="false" t="array" ref="C41:C41">INDEX(Zones!$B$6:$B$35,MATCH(B41,Zones!$A$6:$A$35,0))</f>
        <v>Pyramide</v>
      </c>
      <c r="D41" s="23" t="str">
        <f aca="false" t="array" ref="D41:D41">INDEX(Éléments!$B$5:$B$14,MATCH(B41,Éléments!$C$5:$C$14,1))</f>
        <v>Désert</v>
      </c>
      <c r="E41" s="43" t="str">
        <f aca="false" t="array" ref="E41:E41">INDEX(Éléments!$A$5:$A$14,MATCH(B41,Éléments!$C$5:$C$14,1))</f>
        <v>Vent</v>
      </c>
      <c r="F41" s="25" t="s">
        <v>241</v>
      </c>
      <c r="G41" s="23" t="str">
        <f aca="false">IF(OR(H41="Boss",H41="Dragon"),"Oui","Non")</f>
        <v>Non</v>
      </c>
      <c r="H41" s="26" t="s">
        <v>138</v>
      </c>
      <c r="I41" s="26" t="s">
        <v>160</v>
      </c>
      <c r="J41" s="26" t="s">
        <v>140</v>
      </c>
      <c r="K41" s="27" t="n">
        <f aca="false">IF($F$3="",B41,$F$3)</f>
        <v>40</v>
      </c>
      <c r="L41" s="28" t="n">
        <f aca="false" t="array" ref="L41:L41">ROUND(Paramètres!$B$16*(Paramètres!$B$5+(1-Paramètres!$B$5)*((K41-Paramètres!$B$7)/(Paramètres!$B$8-Paramètres!$B$7))^Paramètres!$B$6)*INDEX(Rôles!$B$18:$B$22,AZ41)*INDEX(Rôles!$B$5:$B$13,AY41),0)</f>
        <v>653</v>
      </c>
      <c r="M41" s="29" t="n">
        <f aca="false" t="array" ref="M41:M41">ROUND(IF(J41="Physique",1,IF(J41="Mixte",Paramètres!$B$32,0))*Paramètres!$B$12*(Paramètres!$B$5+(1-Paramètres!$B$5)*((K41-Paramètres!$B$7)/(Paramètres!$B$8-Paramètres!$B$7))^Paramètres!$B$6)*INDEX(Rôles!$C$18:$C$22,AZ41)*INDEX(Rôles!$C$5:$C$13,AY41)/(Paramètres!$B$35*(1-Paramètres!$B$36)),0)</f>
        <v>124</v>
      </c>
      <c r="N41" s="29" t="n">
        <f aca="false" t="array" ref="N41:N41">ROUND(IF(J41="Magique",1,IF(J41="Mixte",Paramètres!$B$32,0))*Paramètres!$B$12*(Paramètres!$B$5+(1-Paramètres!$B$5)*((K41-Paramètres!$B$7)/(Paramètres!$B$8-Paramètres!$B$7))^Paramètres!$B$6)*INDEX(Rôles!$C$18:$C$22,AZ41)*INDEX(Rôles!$C$5:$C$13,AY41)/(Paramètres!$B$35*(1-Paramètres!$B$36)),0)</f>
        <v>0</v>
      </c>
      <c r="O41" s="29" t="n">
        <f aca="false" t="array" ref="O41:O41">ROUND(Paramètres!$B$18*(Paramètres!$B$5+(1-Paramètres!$B$5)*((K41-Paramètres!$B$7)/(Paramètres!$B$8-Paramètres!$B$7))^Paramètres!$B$6)*INDEX(Rôles!$D$5:$D$13,AY41)*INDEX(Rôles!$D$18:$D$22,AZ41),0)</f>
        <v>162</v>
      </c>
      <c r="P41" s="29" t="n">
        <f aca="false" t="array" ref="P41:P41">ROUND(Paramètres!$B$19*(Paramètres!$B$5+(1-Paramètres!$B$5)*((K41-Paramètres!$B$7)/(Paramètres!$B$8-Paramètres!$B$7))^Paramètres!$B$6)*INDEX(Rôles!$E$5:$E$13,AY41)*INDEX(Rôles!$D$18:$D$22,AZ41),0)</f>
        <v>173</v>
      </c>
      <c r="Q41" s="29" t="n">
        <f aca="false" t="array" ref="Q41:Q41">ROUND(Paramètres!$B$20*(Paramètres!$B$5+(1-Paramètres!$B$5)*((K41-Paramètres!$B$7)/(Paramètres!$B$8-Paramètres!$B$7))^Paramètres!$B$6)*INDEX(Rôles!$F$5:$F$13,AY41),0)</f>
        <v>39</v>
      </c>
      <c r="R41" s="29" t="n">
        <f aca="false">ROUND(Paramètres!$B$64*$AX41*INDEX(Rôles!$N$5:$N$13,$AY41)*INDEX(Rôles!$I$18:$I$22,$AZ41),0)</f>
        <v>34</v>
      </c>
      <c r="S41" s="30" t="n">
        <f aca="false" t="array" ref="S41:S41">MIN(1,ROUND(Paramètres!$B$21*INDEX(Rôles!$G$5:$G$13,AY41),3))</f>
        <v>0.9</v>
      </c>
      <c r="T41" s="30" t="n">
        <f aca="false" t="array" ref="T41:T41">MIN(Paramètres!$B$28,ROUND(Paramètres!$B$22*INDEX(Rôles!$H$5:$H$13,AY41),3))</f>
        <v>0.05</v>
      </c>
      <c r="U41" s="30" t="n">
        <f aca="false" t="array" ref="U41:U41">ROUND(Paramètres!$B$23*INDEX(Rôles!$I$5:$I$13,AY41),3)</f>
        <v>0.5</v>
      </c>
      <c r="V41" s="30" t="n">
        <f aca="false" t="array" ref="V41:V41">MIN(Paramètres!$B$29,ROUND(Paramètres!$B$24*INDEX(Rôles!$J$5:$J$13,AY41),3))</f>
        <v>0.05</v>
      </c>
      <c r="W41" s="30" t="n">
        <f aca="false" t="array" ref="W41:W41">MIN(Paramètres!$B$27,ROUND((Paramètres!$B$25+(Paramètres!$B$26-Paramètres!$B$25)*(K41-Paramètres!$B$7)/(Paramètres!$B$8-Paramètres!$B$7))*INDEX(Rôles!$K$5:$K$13,AY41)+INDEX(Rôles!$G$18:$G$22,AZ41),3))</f>
        <v>0.148</v>
      </c>
      <c r="X41" s="30" t="n">
        <f aca="false">ROUND(1-(1-P41/(P41+(Paramètres!$B$19*(Paramètres!$B$5+(1-Paramètres!$B$5)*((K41-Paramètres!$B$7)/(Paramètres!$B$8-Paramètres!$B$7))^Paramètres!$B$6)*(1-Paramètres!$B$30)/Paramètres!$B$30)))*(1-O41/(O41+(Paramètres!$B$18*(Paramètres!$B$5+(1-Paramètres!$B$5)*((K41-Paramètres!$B$7)/(Paramètres!$B$8-Paramètres!$B$7))^Paramètres!$B$6)*(1-Paramètres!$B$31)/Paramètres!$B$31))),3)</f>
        <v>0.346</v>
      </c>
      <c r="Y41" s="30" t="n">
        <f aca="false">ROUND(O41/(O41+(Paramètres!$B$18*(Paramètres!$B$5+(1-Paramètres!$B$5)*((K41-Paramètres!$B$7)/(Paramètres!$B$8-Paramètres!$B$7))^Paramètres!$B$6)*(1-Paramètres!$B$31)/Paramètres!$B$31)),3)</f>
        <v>0.15</v>
      </c>
      <c r="Z41" s="31" t="n">
        <f aca="false" t="array" ref="Z41:Z41">IF(E41="Neutre",0,MIN(1,INDEX(Rôles!$L$5:$L$13,AY41)+INDEX(Rôles!$F$18:$F$22,AZ41)))</f>
        <v>0.5</v>
      </c>
      <c r="AA41" s="32" t="n">
        <f aca="false" t="array" ref="AA41:AA41">ROUND(INDEX(Rôles!$C$18:$C$22,AZ41)*INDEX(Rôles!$C$5:$C$13,AY41),4)</f>
        <v>0.015</v>
      </c>
      <c r="AB41" s="33" t="n">
        <f aca="false" t="array" ref="AB41:AB41">ROUND(INDEX(Rôles!$B$18:$B$22,AZ41)*INDEX(Rôles!$B$5:$B$13,AY41),2)</f>
        <v>2.3</v>
      </c>
      <c r="AC41" s="33" t="n">
        <f aca="false" t="array" ref="AC41:AC41">INDEX(Rôles!$E$18:$E$22,AZ41)</f>
        <v>1</v>
      </c>
      <c r="AD41" s="23" t="str">
        <f aca="false" t="array" ref="AD41:AD41">INDEX(Éléments!$F$5:$F$14,MATCH(E41,Éléments!$A$5:$A$14,0))</f>
        <v>Glace</v>
      </c>
      <c r="AE41" s="23" t="str">
        <f aca="false" t="array" ref="AE41:AE41">INDEX(Éléments!$G$5:$G$14,MATCH(E41,Éléments!$A$5:$A$14,0))</f>
        <v>Terre</v>
      </c>
      <c r="AF41" s="34" t="s">
        <v>141</v>
      </c>
      <c r="AG41" s="35" t="n">
        <v>0.2</v>
      </c>
      <c r="AH41" s="34" t="s">
        <v>227</v>
      </c>
      <c r="AI41" s="35" t="n">
        <v>0.15</v>
      </c>
      <c r="AJ41" s="29" t="n">
        <f aca="false" t="array" ref="AJ41:AJ41">ROUND(ROUND(Paramètres!$B$49*K41^Paramètres!$B$50,0)*INDEX(Rôles!$E$18:$E$22,AZ41),0)</f>
        <v>604</v>
      </c>
      <c r="AK41" s="29" t="n">
        <f aca="false" t="array" ref="AK41:AK41">ROUND(ROUND(Paramètres!$B$53*K41^Paramètres!$B$54,0)*INDEX(Rôles!$E$18:$E$22,AZ41),0)</f>
        <v>436</v>
      </c>
      <c r="AL41" s="36" t="n">
        <f aca="false">INDEX(Butin!$B$7:$B$11,AZ41)</f>
        <v>0.05</v>
      </c>
      <c r="AM41" s="37" t="n">
        <f aca="false">INDEX(Butin!$E$7:$E$11,AZ41)</f>
        <v>0.05</v>
      </c>
      <c r="AN41" s="30" t="n">
        <f aca="false">IF($H41="Boss",INDEX(Butin!$E$28:$K$37,MATCH($B41,Éléments!$C$5:$C$14,1),1),IF($H41="Dragon",INDEX(Butin!$E$41:$K$50,MATCH($B41,Éléments!$C$5:$C$14,1),1),INDEX(Butin!$E$15:$K$24,MATCH($B41,Éléments!$C$5:$C$14,1),1)))</f>
        <v>0.42</v>
      </c>
      <c r="AO41" s="30" t="n">
        <f aca="false">IF($H41="Boss",INDEX(Butin!$E$28:$K$37,MATCH($B41,Éléments!$C$5:$C$14,1),2),IF($H41="Dragon",INDEX(Butin!$E$41:$K$50,MATCH($B41,Éléments!$C$5:$C$14,1),2),INDEX(Butin!$E$15:$K$24,MATCH($B41,Éléments!$C$5:$C$14,1),2)))</f>
        <v>0.33</v>
      </c>
      <c r="AP41" s="30" t="n">
        <f aca="false">IF($H41="Boss",INDEX(Butin!$E$28:$K$37,MATCH($B41,Éléments!$C$5:$C$14,1),3),IF($H41="Dragon",INDEX(Butin!$E$41:$K$50,MATCH($B41,Éléments!$C$5:$C$14,1),3),INDEX(Butin!$E$15:$K$24,MATCH($B41,Éléments!$C$5:$C$14,1),3)))</f>
        <v>0.18</v>
      </c>
      <c r="AQ41" s="30" t="n">
        <f aca="false">IF($H41="Boss",INDEX(Butin!$E$28:$K$37,MATCH($B41,Éléments!$C$5:$C$14,1),4),IF($H41="Dragon",INDEX(Butin!$E$41:$K$50,MATCH($B41,Éléments!$C$5:$C$14,1),4),INDEX(Butin!$E$15:$K$24,MATCH($B41,Éléments!$C$5:$C$14,1),4)))</f>
        <v>0.06</v>
      </c>
      <c r="AR41" s="30" t="n">
        <f aca="false">IF($H41="Boss",INDEX(Butin!$E$28:$K$37,MATCH($B41,Éléments!$C$5:$C$14,1),5),IF($H41="Dragon",INDEX(Butin!$E$41:$K$50,MATCH($B41,Éléments!$C$5:$C$14,1),5),INDEX(Butin!$E$15:$K$24,MATCH($B41,Éléments!$C$5:$C$14,1),5)))</f>
        <v>0.01</v>
      </c>
      <c r="AS41" s="30" t="n">
        <f aca="false">IF($H41="Boss",INDEX(Butin!$E$28:$K$37,MATCH($B41,Éléments!$C$5:$C$14,1),6),IF($H41="Dragon",INDEX(Butin!$E$41:$K$50,MATCH($B41,Éléments!$C$5:$C$14,1),6),INDEX(Butin!$E$15:$K$24,MATCH($B41,Éléments!$C$5:$C$14,1),6)))</f>
        <v>0</v>
      </c>
      <c r="AT41" s="30" t="n">
        <f aca="false">IF($H41="Boss",INDEX(Butin!$E$28:$K$37,MATCH($B41,Éléments!$C$5:$C$14,1),7),IF($H41="Dragon",INDEX(Butin!$E$41:$K$50,MATCH($B41,Éléments!$C$5:$C$14,1),7),INDEX(Butin!$E$15:$K$24,MATCH($B41,Éléments!$C$5:$C$14,1),7)))</f>
        <v>0</v>
      </c>
      <c r="AU41" s="38" t="str">
        <f aca="false">IF(AT41=0,"—",INDEX(Butin!$D$54:$D$63,MATCH($B41,Éléments!$C$5:$C$14,1))&amp;" · "&amp;INDEX(Butin!$F$54:$F$63,MATCH($B41,Éléments!$C$5:$C$14,1))&amp;" · "&amp;INDEX(Butin!$H$54:$H$63,MATCH($B41,Éléments!$C$5:$C$14,1)))</f>
        <v>—</v>
      </c>
      <c r="AV41" s="20" t="s">
        <v>242</v>
      </c>
      <c r="AW41" s="39" t="str">
        <f aca="false">B41&amp;IF(G41="Oui","|B","|N")</f>
        <v>40|N</v>
      </c>
      <c r="AX41" s="40" t="n">
        <f aca="false">(Paramètres!$B$5+(1-Paramètres!$B$5)*((K41-Paramètres!$B$7)/(Paramètres!$B$8-Paramètres!$B$7))^Paramètres!$B$6)</f>
        <v>0.360626783905164</v>
      </c>
      <c r="AY41" s="39" t="n">
        <f aca="false">MATCH(I41,Rôles!$A$5:$A$13,0)</f>
        <v>3</v>
      </c>
      <c r="AZ41" s="39" t="n">
        <f aca="false">MATCH(H41,Rôles!$A$18:$A$22,0)</f>
        <v>2</v>
      </c>
    </row>
    <row r="42" customFormat="false" ht="15.75" hidden="false" customHeight="true" outlineLevel="0" collapsed="false">
      <c r="A42" s="20" t="s">
        <v>243</v>
      </c>
      <c r="B42" s="21" t="n">
        <v>40</v>
      </c>
      <c r="C42" s="22" t="str">
        <f aca="false" t="array" ref="C42:C42">INDEX(Zones!$B$6:$B$35,MATCH(B42,Zones!$A$6:$A$35,0))</f>
        <v>Pyramide</v>
      </c>
      <c r="D42" s="23" t="str">
        <f aca="false" t="array" ref="D42:D42">INDEX(Éléments!$B$5:$B$14,MATCH(B42,Éléments!$C$5:$C$14,1))</f>
        <v>Désert</v>
      </c>
      <c r="E42" s="43" t="str">
        <f aca="false" t="array" ref="E42:E42">INDEX(Éléments!$A$5:$A$14,MATCH(B42,Éléments!$C$5:$C$14,1))</f>
        <v>Vent</v>
      </c>
      <c r="F42" s="25" t="s">
        <v>244</v>
      </c>
      <c r="G42" s="23" t="str">
        <f aca="false">IF(OR(H42="Boss",H42="Dragon"),"Oui","Non")</f>
        <v>Non</v>
      </c>
      <c r="H42" s="26" t="s">
        <v>138</v>
      </c>
      <c r="I42" s="26" t="s">
        <v>145</v>
      </c>
      <c r="J42" s="26" t="s">
        <v>140</v>
      </c>
      <c r="K42" s="27" t="n">
        <f aca="false">IF($F$3="",B42,$F$3)</f>
        <v>40</v>
      </c>
      <c r="L42" s="28" t="n">
        <f aca="false" t="array" ref="L42:L42">ROUND(Paramètres!$B$16*(Paramètres!$B$5+(1-Paramètres!$B$5)*((K42-Paramètres!$B$7)/(Paramètres!$B$8-Paramètres!$B$7))^Paramètres!$B$6)*INDEX(Rôles!$B$18:$B$22,AZ42)*INDEX(Rôles!$B$5:$B$13,AY42),0)</f>
        <v>426</v>
      </c>
      <c r="M42" s="29" t="n">
        <f aca="false" t="array" ref="M42:M42">ROUND(IF(J42="Physique",1,IF(J42="Mixte",Paramètres!$B$32,0))*Paramètres!$B$12*(Paramètres!$B$5+(1-Paramètres!$B$5)*((K42-Paramètres!$B$7)/(Paramètres!$B$8-Paramètres!$B$7))^Paramètres!$B$6)*INDEX(Rôles!$C$18:$C$22,AZ42)*INDEX(Rôles!$C$5:$C$13,AY42)/(Paramètres!$B$35*(1-Paramètres!$B$36)),0)</f>
        <v>148</v>
      </c>
      <c r="N42" s="29" t="n">
        <f aca="false" t="array" ref="N42:N42">ROUND(IF(J42="Magique",1,IF(J42="Mixte",Paramètres!$B$32,0))*Paramètres!$B$12*(Paramètres!$B$5+(1-Paramètres!$B$5)*((K42-Paramètres!$B$7)/(Paramètres!$B$8-Paramètres!$B$7))^Paramètres!$B$6)*INDEX(Rôles!$C$18:$C$22,AZ42)*INDEX(Rôles!$C$5:$C$13,AY42)/(Paramètres!$B$35*(1-Paramètres!$B$36)),0)</f>
        <v>0</v>
      </c>
      <c r="O42" s="29" t="n">
        <f aca="false" t="array" ref="O42:O42">ROUND(Paramètres!$B$18*(Paramètres!$B$5+(1-Paramètres!$B$5)*((K42-Paramètres!$B$7)/(Paramètres!$B$8-Paramètres!$B$7))^Paramètres!$B$6)*INDEX(Rôles!$D$5:$D$13,AY42)*INDEX(Rôles!$D$18:$D$22,AZ42),0)</f>
        <v>97</v>
      </c>
      <c r="P42" s="29" t="n">
        <f aca="false" t="array" ref="P42:P42">ROUND(Paramètres!$B$19*(Paramètres!$B$5+(1-Paramètres!$B$5)*((K42-Paramètres!$B$7)/(Paramètres!$B$8-Paramètres!$B$7))^Paramètres!$B$6)*INDEX(Rôles!$E$5:$E$13,AY42)*INDEX(Rôles!$D$18:$D$22,AZ42),0)</f>
        <v>72</v>
      </c>
      <c r="Q42" s="29" t="n">
        <f aca="false" t="array" ref="Q42:Q42">ROUND(Paramètres!$B$20*(Paramètres!$B$5+(1-Paramètres!$B$5)*((K42-Paramètres!$B$7)/(Paramètres!$B$8-Paramètres!$B$7))^Paramètres!$B$6)*INDEX(Rôles!$F$5:$F$13,AY42),0)</f>
        <v>69</v>
      </c>
      <c r="R42" s="29" t="n">
        <f aca="false">ROUND(Paramètres!$B$64*$AX42*INDEX(Rôles!$N$5:$N$13,$AY42)*INDEX(Rôles!$I$18:$I$22,$AZ42),0)</f>
        <v>54</v>
      </c>
      <c r="S42" s="30" t="n">
        <f aca="false" t="array" ref="S42:S42">MIN(1,ROUND(Paramètres!$B$21*INDEX(Rôles!$G$5:$G$13,AY42),3))</f>
        <v>1</v>
      </c>
      <c r="T42" s="30" t="n">
        <f aca="false" t="array" ref="T42:T42">MIN(Paramètres!$B$28,ROUND(Paramètres!$B$22*INDEX(Rôles!$H$5:$H$13,AY42),3))</f>
        <v>0.08</v>
      </c>
      <c r="U42" s="30" t="n">
        <f aca="false" t="array" ref="U42:U42">ROUND(Paramètres!$B$23*INDEX(Rôles!$I$5:$I$13,AY42),3)</f>
        <v>0.7</v>
      </c>
      <c r="V42" s="30" t="n">
        <f aca="false" t="array" ref="V42:V42">MIN(Paramètres!$B$29,ROUND(Paramètres!$B$24*INDEX(Rôles!$J$5:$J$13,AY42),3))</f>
        <v>0.06</v>
      </c>
      <c r="W42" s="30" t="n">
        <f aca="false" t="array" ref="W42:W42">MIN(Paramètres!$B$27,ROUND((Paramètres!$B$25+(Paramètres!$B$26-Paramètres!$B$25)*(K42-Paramètres!$B$7)/(Paramètres!$B$8-Paramètres!$B$7))*INDEX(Rôles!$K$5:$K$13,AY42)+INDEX(Rôles!$G$18:$G$22,AZ42),3))</f>
        <v>0.119</v>
      </c>
      <c r="X42" s="30" t="n">
        <f aca="false">ROUND(1-(1-P42/(P42+(Paramètres!$B$19*(Paramètres!$B$5+(1-Paramètres!$B$5)*((K42-Paramètres!$B$7)/(Paramètres!$B$8-Paramètres!$B$7))^Paramètres!$B$6)*(1-Paramètres!$B$30)/Paramètres!$B$30)))*(1-O42/(O42+(Paramètres!$B$18*(Paramètres!$B$5+(1-Paramètres!$B$5)*((K42-Paramètres!$B$7)/(Paramètres!$B$8-Paramètres!$B$7))^Paramètres!$B$6)*(1-Paramètres!$B$31)/Paramètres!$B$31))),3)</f>
        <v>0.196</v>
      </c>
      <c r="Y42" s="30" t="n">
        <f aca="false">ROUND(O42/(O42+(Paramètres!$B$18*(Paramètres!$B$5+(1-Paramètres!$B$5)*((K42-Paramètres!$B$7)/(Paramètres!$B$8-Paramètres!$B$7))^Paramètres!$B$6)*(1-Paramètres!$B$31)/Paramètres!$B$31)),3)</f>
        <v>0.095</v>
      </c>
      <c r="Z42" s="31" t="n">
        <f aca="false" t="array" ref="Z42:Z42">IF(E42="Neutre",0,MIN(1,INDEX(Rôles!$L$5:$L$13,AY42)+INDEX(Rôles!$F$18:$F$22,AZ42)))</f>
        <v>0.5</v>
      </c>
      <c r="AA42" s="32" t="n">
        <f aca="false" t="array" ref="AA42:AA42">ROUND(INDEX(Rôles!$C$18:$C$22,AZ42)*INDEX(Rôles!$C$5:$C$13,AY42),4)</f>
        <v>0.018</v>
      </c>
      <c r="AB42" s="33" t="n">
        <f aca="false" t="array" ref="AB42:AB42">ROUND(INDEX(Rôles!$B$18:$B$22,AZ42)*INDEX(Rôles!$B$5:$B$13,AY42),2)</f>
        <v>1.5</v>
      </c>
      <c r="AC42" s="33" t="n">
        <f aca="false" t="array" ref="AC42:AC42">INDEX(Rôles!$E$18:$E$22,AZ42)</f>
        <v>1</v>
      </c>
      <c r="AD42" s="23" t="str">
        <f aca="false" t="array" ref="AD42:AD42">INDEX(Éléments!$F$5:$F$14,MATCH(E42,Éléments!$A$5:$A$14,0))</f>
        <v>Glace</v>
      </c>
      <c r="AE42" s="23" t="str">
        <f aca="false" t="array" ref="AE42:AE42">INDEX(Éléments!$G$5:$G$14,MATCH(E42,Éléments!$A$5:$A$14,0))</f>
        <v>Terre</v>
      </c>
      <c r="AF42" s="34" t="s">
        <v>141</v>
      </c>
      <c r="AG42" s="35" t="n">
        <v>0.25</v>
      </c>
      <c r="AH42" s="34" t="s">
        <v>227</v>
      </c>
      <c r="AI42" s="35" t="n">
        <v>0.15</v>
      </c>
      <c r="AJ42" s="29" t="n">
        <f aca="false" t="array" ref="AJ42:AJ42">ROUND(ROUND(Paramètres!$B$49*K42^Paramètres!$B$50,0)*INDEX(Rôles!$E$18:$E$22,AZ42),0)</f>
        <v>604</v>
      </c>
      <c r="AK42" s="29" t="n">
        <f aca="false" t="array" ref="AK42:AK42">ROUND(ROUND(Paramètres!$B$53*K42^Paramètres!$B$54,0)*INDEX(Rôles!$E$18:$E$22,AZ42),0)</f>
        <v>436</v>
      </c>
      <c r="AL42" s="36" t="n">
        <f aca="false">INDEX(Butin!$B$7:$B$11,AZ42)</f>
        <v>0.05</v>
      </c>
      <c r="AM42" s="37" t="n">
        <f aca="false">INDEX(Butin!$E$7:$E$11,AZ42)</f>
        <v>0.05</v>
      </c>
      <c r="AN42" s="30" t="n">
        <f aca="false">IF($H42="Boss",INDEX(Butin!$E$28:$K$37,MATCH($B42,Éléments!$C$5:$C$14,1),1),IF($H42="Dragon",INDEX(Butin!$E$41:$K$50,MATCH($B42,Éléments!$C$5:$C$14,1),1),INDEX(Butin!$E$15:$K$24,MATCH($B42,Éléments!$C$5:$C$14,1),1)))</f>
        <v>0.42</v>
      </c>
      <c r="AO42" s="30" t="n">
        <f aca="false">IF($H42="Boss",INDEX(Butin!$E$28:$K$37,MATCH($B42,Éléments!$C$5:$C$14,1),2),IF($H42="Dragon",INDEX(Butin!$E$41:$K$50,MATCH($B42,Éléments!$C$5:$C$14,1),2),INDEX(Butin!$E$15:$K$24,MATCH($B42,Éléments!$C$5:$C$14,1),2)))</f>
        <v>0.33</v>
      </c>
      <c r="AP42" s="30" t="n">
        <f aca="false">IF($H42="Boss",INDEX(Butin!$E$28:$K$37,MATCH($B42,Éléments!$C$5:$C$14,1),3),IF($H42="Dragon",INDEX(Butin!$E$41:$K$50,MATCH($B42,Éléments!$C$5:$C$14,1),3),INDEX(Butin!$E$15:$K$24,MATCH($B42,Éléments!$C$5:$C$14,1),3)))</f>
        <v>0.18</v>
      </c>
      <c r="AQ42" s="30" t="n">
        <f aca="false">IF($H42="Boss",INDEX(Butin!$E$28:$K$37,MATCH($B42,Éléments!$C$5:$C$14,1),4),IF($H42="Dragon",INDEX(Butin!$E$41:$K$50,MATCH($B42,Éléments!$C$5:$C$14,1),4),INDEX(Butin!$E$15:$K$24,MATCH($B42,Éléments!$C$5:$C$14,1),4)))</f>
        <v>0.06</v>
      </c>
      <c r="AR42" s="30" t="n">
        <f aca="false">IF($H42="Boss",INDEX(Butin!$E$28:$K$37,MATCH($B42,Éléments!$C$5:$C$14,1),5),IF($H42="Dragon",INDEX(Butin!$E$41:$K$50,MATCH($B42,Éléments!$C$5:$C$14,1),5),INDEX(Butin!$E$15:$K$24,MATCH($B42,Éléments!$C$5:$C$14,1),5)))</f>
        <v>0.01</v>
      </c>
      <c r="AS42" s="30" t="n">
        <f aca="false">IF($H42="Boss",INDEX(Butin!$E$28:$K$37,MATCH($B42,Éléments!$C$5:$C$14,1),6),IF($H42="Dragon",INDEX(Butin!$E$41:$K$50,MATCH($B42,Éléments!$C$5:$C$14,1),6),INDEX(Butin!$E$15:$K$24,MATCH($B42,Éléments!$C$5:$C$14,1),6)))</f>
        <v>0</v>
      </c>
      <c r="AT42" s="30" t="n">
        <f aca="false">IF($H42="Boss",INDEX(Butin!$E$28:$K$37,MATCH($B42,Éléments!$C$5:$C$14,1),7),IF($H42="Dragon",INDEX(Butin!$E$41:$K$50,MATCH($B42,Éléments!$C$5:$C$14,1),7),INDEX(Butin!$E$15:$K$24,MATCH($B42,Éléments!$C$5:$C$14,1),7)))</f>
        <v>0</v>
      </c>
      <c r="AU42" s="38" t="str">
        <f aca="false">IF(AT42=0,"—",INDEX(Butin!$D$54:$D$63,MATCH($B42,Éléments!$C$5:$C$14,1))&amp;" · "&amp;INDEX(Butin!$F$54:$F$63,MATCH($B42,Éléments!$C$5:$C$14,1))&amp;" · "&amp;INDEX(Butin!$H$54:$H$63,MATCH($B42,Éléments!$C$5:$C$14,1)))</f>
        <v>—</v>
      </c>
      <c r="AV42" s="20" t="s">
        <v>245</v>
      </c>
      <c r="AW42" s="39" t="str">
        <f aca="false">B42&amp;IF(G42="Oui","|B","|N")</f>
        <v>40|N</v>
      </c>
      <c r="AX42" s="40" t="n">
        <f aca="false">(Paramètres!$B$5+(1-Paramètres!$B$5)*((K42-Paramètres!$B$7)/(Paramètres!$B$8-Paramètres!$B$7))^Paramètres!$B$6)</f>
        <v>0.360626783905164</v>
      </c>
      <c r="AY42" s="39" t="n">
        <f aca="false">MATCH(I42,Rôles!$A$5:$A$13,0)</f>
        <v>7</v>
      </c>
      <c r="AZ42" s="39" t="n">
        <f aca="false">MATCH(H42,Rôles!$A$18:$A$22,0)</f>
        <v>2</v>
      </c>
    </row>
    <row r="43" customFormat="false" ht="15.75" hidden="false" customHeight="true" outlineLevel="0" collapsed="false">
      <c r="A43" s="20" t="s">
        <v>246</v>
      </c>
      <c r="B43" s="21" t="n">
        <v>40</v>
      </c>
      <c r="C43" s="22" t="str">
        <f aca="false" t="array" ref="C43:C43">INDEX(Zones!$B$6:$B$35,MATCH(B43,Zones!$A$6:$A$35,0))</f>
        <v>Pyramide</v>
      </c>
      <c r="D43" s="23" t="str">
        <f aca="false" t="array" ref="D43:D43">INDEX(Éléments!$B$5:$B$14,MATCH(B43,Éléments!$C$5:$C$14,1))</f>
        <v>Désert</v>
      </c>
      <c r="E43" s="43" t="str">
        <f aca="false" t="array" ref="E43:E43">INDEX(Éléments!$A$5:$A$14,MATCH(B43,Éléments!$C$5:$C$14,1))</f>
        <v>Vent</v>
      </c>
      <c r="F43" s="25" t="s">
        <v>247</v>
      </c>
      <c r="G43" s="23" t="str">
        <f aca="false">IF(OR(H43="Boss",H43="Dragon"),"Oui","Non")</f>
        <v>Non</v>
      </c>
      <c r="H43" s="26" t="s">
        <v>148</v>
      </c>
      <c r="I43" s="26" t="s">
        <v>149</v>
      </c>
      <c r="J43" s="26" t="s">
        <v>140</v>
      </c>
      <c r="K43" s="27" t="n">
        <f aca="false">IF($F$3="",B43,$F$3)</f>
        <v>40</v>
      </c>
      <c r="L43" s="28" t="n">
        <f aca="false" t="array" ref="L43:L43">ROUND(Paramètres!$B$16*(Paramètres!$B$5+(1-Paramètres!$B$5)*((K43-Paramètres!$B$7)/(Paramètres!$B$8-Paramètres!$B$7))^Paramètres!$B$6)*INDEX(Rôles!$B$18:$B$22,AZ43)*INDEX(Rôles!$B$5:$B$13,AY43),0)</f>
        <v>1193</v>
      </c>
      <c r="M43" s="29" t="n">
        <f aca="false" t="array" ref="M43:M43">ROUND(IF(J43="Physique",1,IF(J43="Mixte",Paramètres!$B$32,0))*Paramètres!$B$12*(Paramètres!$B$5+(1-Paramètres!$B$5)*((K43-Paramètres!$B$7)/(Paramètres!$B$8-Paramètres!$B$7))^Paramètres!$B$6)*INDEX(Rôles!$C$18:$C$22,AZ43)*INDEX(Rôles!$C$5:$C$13,AY43)/(Paramètres!$B$35*(1-Paramètres!$B$36)),0)</f>
        <v>149</v>
      </c>
      <c r="N43" s="29" t="n">
        <f aca="false" t="array" ref="N43:N43">ROUND(IF(J43="Magique",1,IF(J43="Mixte",Paramètres!$B$32,0))*Paramètres!$B$12*(Paramètres!$B$5+(1-Paramètres!$B$5)*((K43-Paramètres!$B$7)/(Paramètres!$B$8-Paramètres!$B$7))^Paramètres!$B$6)*INDEX(Rôles!$C$18:$C$22,AZ43)*INDEX(Rôles!$C$5:$C$13,AY43)/(Paramètres!$B$35*(1-Paramètres!$B$36)),0)</f>
        <v>0</v>
      </c>
      <c r="O43" s="29" t="n">
        <f aca="false" t="array" ref="O43:O43">ROUND(Paramètres!$B$18*(Paramètres!$B$5+(1-Paramètres!$B$5)*((K43-Paramètres!$B$7)/(Paramètres!$B$8-Paramètres!$B$7))^Paramètres!$B$6)*INDEX(Rôles!$D$5:$D$13,AY43)*INDEX(Rôles!$D$18:$D$22,AZ43),0)</f>
        <v>224</v>
      </c>
      <c r="P43" s="29" t="n">
        <f aca="false" t="array" ref="P43:P43">ROUND(Paramètres!$B$19*(Paramètres!$B$5+(1-Paramètres!$B$5)*((K43-Paramètres!$B$7)/(Paramètres!$B$8-Paramètres!$B$7))^Paramètres!$B$6)*INDEX(Rôles!$E$5:$E$13,AY43)*INDEX(Rôles!$D$18:$D$22,AZ43),0)</f>
        <v>249</v>
      </c>
      <c r="Q43" s="29" t="n">
        <f aca="false" t="array" ref="Q43:Q43">ROUND(Paramètres!$B$20*(Paramètres!$B$5+(1-Paramètres!$B$5)*((K43-Paramètres!$B$7)/(Paramètres!$B$8-Paramètres!$B$7))^Paramètres!$B$6)*INDEX(Rôles!$F$5:$F$13,AY43),0)</f>
        <v>26</v>
      </c>
      <c r="R43" s="29" t="n">
        <f aca="false">ROUND(Paramètres!$B$64*$AX43*INDEX(Rôles!$N$5:$N$13,$AY43)*INDEX(Rôles!$I$18:$I$22,$AZ43),0)</f>
        <v>27</v>
      </c>
      <c r="S43" s="30" t="n">
        <f aca="false" t="array" ref="S43:S43">MIN(1,ROUND(Paramètres!$B$21*INDEX(Rôles!$G$5:$G$13,AY43),3))</f>
        <v>0.765</v>
      </c>
      <c r="T43" s="30" t="n">
        <f aca="false" t="array" ref="T43:T43">MIN(Paramètres!$B$28,ROUND(Paramètres!$B$22*INDEX(Rôles!$H$5:$H$13,AY43),3))</f>
        <v>0.03</v>
      </c>
      <c r="U43" s="30" t="n">
        <f aca="false" t="array" ref="U43:U43">ROUND(Paramètres!$B$23*INDEX(Rôles!$I$5:$I$13,AY43),3)</f>
        <v>0.5</v>
      </c>
      <c r="V43" s="30" t="n">
        <f aca="false" t="array" ref="V43:V43">MIN(Paramètres!$B$29,ROUND(Paramètres!$B$24*INDEX(Rôles!$J$5:$J$13,AY43),3))</f>
        <v>0.04</v>
      </c>
      <c r="W43" s="30" t="n">
        <f aca="false" t="array" ref="W43:W43">MIN(Paramètres!$B$27,ROUND((Paramètres!$B$25+(Paramètres!$B$26-Paramètres!$B$25)*(K43-Paramètres!$B$7)/(Paramètres!$B$8-Paramètres!$B$7))*INDEX(Rôles!$K$5:$K$13,AY43)+INDEX(Rôles!$G$18:$G$22,AZ43),3))</f>
        <v>0.178</v>
      </c>
      <c r="X43" s="30" t="n">
        <f aca="false">ROUND(1-(1-P43/(P43+(Paramètres!$B$19*(Paramètres!$B$5+(1-Paramètres!$B$5)*((K43-Paramètres!$B$7)/(Paramètres!$B$8-Paramètres!$B$7))^Paramètres!$B$6)*(1-Paramètres!$B$30)/Paramètres!$B$30)))*(1-O43/(O43+(Paramètres!$B$18*(Paramètres!$B$5+(1-Paramètres!$B$5)*((K43-Paramètres!$B$7)/(Paramètres!$B$8-Paramètres!$B$7))^Paramètres!$B$6)*(1-Paramètres!$B$31)/Paramètres!$B$31))),3)</f>
        <v>0.438</v>
      </c>
      <c r="Y43" s="30" t="n">
        <f aca="false">ROUND(O43/(O43+(Paramètres!$B$18*(Paramètres!$B$5+(1-Paramètres!$B$5)*((K43-Paramètres!$B$7)/(Paramètres!$B$8-Paramètres!$B$7))^Paramètres!$B$6)*(1-Paramètres!$B$31)/Paramètres!$B$31)),3)</f>
        <v>0.196</v>
      </c>
      <c r="Z43" s="31" t="n">
        <f aca="false" t="array" ref="Z43:Z43">IF(E43="Neutre",0,MIN(1,INDEX(Rôles!$L$5:$L$13,AY43)+INDEX(Rôles!$F$18:$F$22,AZ43)))</f>
        <v>0.4</v>
      </c>
      <c r="AA43" s="32" t="n">
        <f aca="false" t="array" ref="AA43:AA43">ROUND(INDEX(Rôles!$C$18:$C$22,AZ43)*INDEX(Rôles!$C$5:$C$13,AY43),4)</f>
        <v>0.0181</v>
      </c>
      <c r="AB43" s="33" t="n">
        <f aca="false" t="array" ref="AB43:AB43">ROUND(INDEX(Rôles!$B$18:$B$22,AZ43)*INDEX(Rôles!$B$5:$B$13,AY43),2)</f>
        <v>4.2</v>
      </c>
      <c r="AC43" s="33" t="n">
        <f aca="false" t="array" ref="AC43:AC43">INDEX(Rôles!$E$18:$E$22,AZ43)</f>
        <v>1.4</v>
      </c>
      <c r="AD43" s="23" t="str">
        <f aca="false" t="array" ref="AD43:AD43">INDEX(Éléments!$F$5:$F$14,MATCH(E43,Éléments!$A$5:$A$14,0))</f>
        <v>Glace</v>
      </c>
      <c r="AE43" s="23" t="str">
        <f aca="false" t="array" ref="AE43:AE43">INDEX(Éléments!$G$5:$G$14,MATCH(E43,Éléments!$A$5:$A$14,0))</f>
        <v>Terre</v>
      </c>
      <c r="AF43" s="34" t="s">
        <v>142</v>
      </c>
      <c r="AG43" s="35" t="n">
        <v>0.15</v>
      </c>
      <c r="AH43" s="34" t="s">
        <v>227</v>
      </c>
      <c r="AI43" s="35" t="n">
        <v>0.15</v>
      </c>
      <c r="AJ43" s="29" t="n">
        <f aca="false" t="array" ref="AJ43:AJ43">ROUND(ROUND(Paramètres!$B$49*K43^Paramètres!$B$50,0)*INDEX(Rôles!$E$18:$E$22,AZ43),0)</f>
        <v>846</v>
      </c>
      <c r="AK43" s="29" t="n">
        <f aca="false" t="array" ref="AK43:AK43">ROUND(ROUND(Paramètres!$B$53*K43^Paramètres!$B$54,0)*INDEX(Rôles!$E$18:$E$22,AZ43),0)</f>
        <v>610</v>
      </c>
      <c r="AL43" s="36" t="n">
        <f aca="false">INDEX(Butin!$B$7:$B$11,AZ43)</f>
        <v>0.08</v>
      </c>
      <c r="AM43" s="37" t="n">
        <f aca="false">INDEX(Butin!$E$7:$E$11,AZ43)</f>
        <v>0.08</v>
      </c>
      <c r="AN43" s="30" t="n">
        <f aca="false">IF($H43="Boss",INDEX(Butin!$E$28:$K$37,MATCH($B43,Éléments!$C$5:$C$14,1),1),IF($H43="Dragon",INDEX(Butin!$E$41:$K$50,MATCH($B43,Éléments!$C$5:$C$14,1),1),INDEX(Butin!$E$15:$K$24,MATCH($B43,Éléments!$C$5:$C$14,1),1)))</f>
        <v>0.42</v>
      </c>
      <c r="AO43" s="30" t="n">
        <f aca="false">IF($H43="Boss",INDEX(Butin!$E$28:$K$37,MATCH($B43,Éléments!$C$5:$C$14,1),2),IF($H43="Dragon",INDEX(Butin!$E$41:$K$50,MATCH($B43,Éléments!$C$5:$C$14,1),2),INDEX(Butin!$E$15:$K$24,MATCH($B43,Éléments!$C$5:$C$14,1),2)))</f>
        <v>0.33</v>
      </c>
      <c r="AP43" s="30" t="n">
        <f aca="false">IF($H43="Boss",INDEX(Butin!$E$28:$K$37,MATCH($B43,Éléments!$C$5:$C$14,1),3),IF($H43="Dragon",INDEX(Butin!$E$41:$K$50,MATCH($B43,Éléments!$C$5:$C$14,1),3),INDEX(Butin!$E$15:$K$24,MATCH($B43,Éléments!$C$5:$C$14,1),3)))</f>
        <v>0.18</v>
      </c>
      <c r="AQ43" s="30" t="n">
        <f aca="false">IF($H43="Boss",INDEX(Butin!$E$28:$K$37,MATCH($B43,Éléments!$C$5:$C$14,1),4),IF($H43="Dragon",INDEX(Butin!$E$41:$K$50,MATCH($B43,Éléments!$C$5:$C$14,1),4),INDEX(Butin!$E$15:$K$24,MATCH($B43,Éléments!$C$5:$C$14,1),4)))</f>
        <v>0.06</v>
      </c>
      <c r="AR43" s="30" t="n">
        <f aca="false">IF($H43="Boss",INDEX(Butin!$E$28:$K$37,MATCH($B43,Éléments!$C$5:$C$14,1),5),IF($H43="Dragon",INDEX(Butin!$E$41:$K$50,MATCH($B43,Éléments!$C$5:$C$14,1),5),INDEX(Butin!$E$15:$K$24,MATCH($B43,Éléments!$C$5:$C$14,1),5)))</f>
        <v>0.01</v>
      </c>
      <c r="AS43" s="30" t="n">
        <f aca="false">IF($H43="Boss",INDEX(Butin!$E$28:$K$37,MATCH($B43,Éléments!$C$5:$C$14,1),6),IF($H43="Dragon",INDEX(Butin!$E$41:$K$50,MATCH($B43,Éléments!$C$5:$C$14,1),6),INDEX(Butin!$E$15:$K$24,MATCH($B43,Éléments!$C$5:$C$14,1),6)))</f>
        <v>0</v>
      </c>
      <c r="AT43" s="30" t="n">
        <f aca="false">IF($H43="Boss",INDEX(Butin!$E$28:$K$37,MATCH($B43,Éléments!$C$5:$C$14,1),7),IF($H43="Dragon",INDEX(Butin!$E$41:$K$50,MATCH($B43,Éléments!$C$5:$C$14,1),7),INDEX(Butin!$E$15:$K$24,MATCH($B43,Éléments!$C$5:$C$14,1),7)))</f>
        <v>0</v>
      </c>
      <c r="AU43" s="38" t="str">
        <f aca="false">IF(AT43=0,"—",INDEX(Butin!$D$54:$D$63,MATCH($B43,Éléments!$C$5:$C$14,1))&amp;" · "&amp;INDEX(Butin!$F$54:$F$63,MATCH($B43,Éléments!$C$5:$C$14,1))&amp;" · "&amp;INDEX(Butin!$H$54:$H$63,MATCH($B43,Éléments!$C$5:$C$14,1)))</f>
        <v>—</v>
      </c>
      <c r="AV43" s="20" t="s">
        <v>248</v>
      </c>
      <c r="AW43" s="39" t="str">
        <f aca="false">B43&amp;IF(G43="Oui","|B","|N")</f>
        <v>40|N</v>
      </c>
      <c r="AX43" s="40" t="n">
        <f aca="false">(Paramètres!$B$5+(1-Paramètres!$B$5)*((K43-Paramètres!$B$7)/(Paramètres!$B$8-Paramètres!$B$7))^Paramètres!$B$6)</f>
        <v>0.360626783905164</v>
      </c>
      <c r="AY43" s="39" t="n">
        <f aca="false">MATCH(I43,Rôles!$A$5:$A$13,0)</f>
        <v>2</v>
      </c>
      <c r="AZ43" s="39" t="n">
        <f aca="false">MATCH(H43,Rôles!$A$18:$A$22,0)</f>
        <v>3</v>
      </c>
    </row>
    <row r="44" customFormat="false" ht="15.75" hidden="false" customHeight="true" outlineLevel="0" collapsed="false">
      <c r="A44" s="20" t="s">
        <v>249</v>
      </c>
      <c r="B44" s="21" t="n">
        <v>45</v>
      </c>
      <c r="C44" s="22" t="str">
        <f aca="false" t="array" ref="C44:C44">INDEX(Zones!$B$6:$B$35,MATCH(B44,Zones!$A$6:$A$35,0))</f>
        <v>Ancienne tour</v>
      </c>
      <c r="D44" s="23" t="str">
        <f aca="false" t="array" ref="D44:D44">INDEX(Éléments!$B$5:$B$14,MATCH(B44,Éléments!$C$5:$C$14,1))</f>
        <v>Marais</v>
      </c>
      <c r="E44" s="44" t="str">
        <f aca="false" t="array" ref="E44:E44">INDEX(Éléments!$A$5:$A$14,MATCH(B44,Éléments!$C$5:$C$14,1))</f>
        <v>Acide</v>
      </c>
      <c r="F44" s="25" t="s">
        <v>250</v>
      </c>
      <c r="G44" s="23" t="str">
        <f aca="false">IF(OR(H44="Boss",H44="Dragon"),"Oui","Non")</f>
        <v>Oui</v>
      </c>
      <c r="H44" s="26" t="s">
        <v>152</v>
      </c>
      <c r="I44" s="26" t="s">
        <v>149</v>
      </c>
      <c r="J44" s="26" t="s">
        <v>140</v>
      </c>
      <c r="K44" s="27" t="n">
        <f aca="false">IF($F$3="",B44,$F$3)</f>
        <v>45</v>
      </c>
      <c r="L44" s="28" t="n">
        <f aca="false" t="array" ref="L44:L44">ROUND(Paramètres!$B$16*(Paramètres!$B$5+(1-Paramètres!$B$5)*((K44-Paramètres!$B$7)/(Paramètres!$B$8-Paramètres!$B$7))^Paramètres!$B$6)*INDEX(Rôles!$B$18:$B$22,AZ44)*INDEX(Rôles!$B$5:$B$13,AY44),0)</f>
        <v>5798</v>
      </c>
      <c r="M44" s="29" t="n">
        <f aca="false" t="array" ref="M44:M44">ROUND(IF(J44="Physique",1,IF(J44="Mixte",Paramètres!$B$32,0))*Paramètres!$B$12*(Paramètres!$B$5+(1-Paramètres!$B$5)*((K44-Paramètres!$B$7)/(Paramètres!$B$8-Paramètres!$B$7))^Paramètres!$B$6)*INDEX(Rôles!$C$18:$C$22,AZ44)*INDEX(Rôles!$C$5:$C$13,AY44)/(Paramètres!$B$35*(1-Paramètres!$B$36)),0)</f>
        <v>266</v>
      </c>
      <c r="N44" s="29" t="n">
        <f aca="false" t="array" ref="N44:N44">ROUND(IF(J44="Magique",1,IF(J44="Mixte",Paramètres!$B$32,0))*Paramètres!$B$12*(Paramètres!$B$5+(1-Paramètres!$B$5)*((K44-Paramètres!$B$7)/(Paramètres!$B$8-Paramètres!$B$7))^Paramètres!$B$6)*INDEX(Rôles!$C$18:$C$22,AZ44)*INDEX(Rôles!$C$5:$C$13,AY44)/(Paramètres!$B$35*(1-Paramètres!$B$36)),0)</f>
        <v>0</v>
      </c>
      <c r="O44" s="29" t="n">
        <f aca="false" t="array" ref="O44:O44">ROUND(Paramètres!$B$18*(Paramètres!$B$5+(1-Paramètres!$B$5)*((K44-Paramètres!$B$7)/(Paramètres!$B$8-Paramètres!$B$7))^Paramètres!$B$6)*INDEX(Rôles!$D$5:$D$13,AY44)*INDEX(Rôles!$D$18:$D$22,AZ44),0)</f>
        <v>287</v>
      </c>
      <c r="P44" s="29" t="n">
        <f aca="false" t="array" ref="P44:P44">ROUND(Paramètres!$B$19*(Paramètres!$B$5+(1-Paramètres!$B$5)*((K44-Paramètres!$B$7)/(Paramètres!$B$8-Paramètres!$B$7))^Paramètres!$B$6)*INDEX(Rôles!$E$5:$E$13,AY44)*INDEX(Rôles!$D$18:$D$22,AZ44),0)</f>
        <v>319</v>
      </c>
      <c r="Q44" s="29" t="n">
        <f aca="false" t="array" ref="Q44:Q44">ROUND(Paramètres!$B$20*(Paramètres!$B$5+(1-Paramètres!$B$5)*((K44-Paramètres!$B$7)/(Paramètres!$B$8-Paramètres!$B$7))^Paramètres!$B$6)*INDEX(Rôles!$F$5:$F$13,AY44),0)</f>
        <v>29</v>
      </c>
      <c r="R44" s="29" t="n">
        <f aca="false">ROUND(Paramètres!$B$64*$AX44*INDEX(Rôles!$N$5:$N$13,$AY44)*INDEX(Rôles!$I$18:$I$22,$AZ44),0)</f>
        <v>33</v>
      </c>
      <c r="S44" s="30" t="n">
        <f aca="false" t="array" ref="S44:S44">MIN(1,ROUND(Paramètres!$B$21*INDEX(Rôles!$G$5:$G$13,AY44),3))</f>
        <v>0.765</v>
      </c>
      <c r="T44" s="30" t="n">
        <f aca="false" t="array" ref="T44:T44">MIN(Paramètres!$B$28,ROUND(Paramètres!$B$22*INDEX(Rôles!$H$5:$H$13,AY44),3))</f>
        <v>0.03</v>
      </c>
      <c r="U44" s="30" t="n">
        <f aca="false" t="array" ref="U44:U44">ROUND(Paramètres!$B$23*INDEX(Rôles!$I$5:$I$13,AY44),3)</f>
        <v>0.5</v>
      </c>
      <c r="V44" s="30" t="n">
        <f aca="false" t="array" ref="V44:V44">MIN(Paramètres!$B$29,ROUND(Paramètres!$B$24*INDEX(Rôles!$J$5:$J$13,AY44),3))</f>
        <v>0.04</v>
      </c>
      <c r="W44" s="30" t="n">
        <f aca="false" t="array" ref="W44:W44">MIN(Paramètres!$B$27,ROUND((Paramètres!$B$25+(Paramètres!$B$26-Paramètres!$B$25)*(K44-Paramètres!$B$7)/(Paramètres!$B$8-Paramètres!$B$7))*INDEX(Rôles!$K$5:$K$13,AY44)+INDEX(Rôles!$G$18:$G$22,AZ44),3))</f>
        <v>0.393</v>
      </c>
      <c r="X44" s="30" t="n">
        <f aca="false">ROUND(1-(1-P44/(P44+(Paramètres!$B$19*(Paramètres!$B$5+(1-Paramètres!$B$5)*((K44-Paramètres!$B$7)/(Paramètres!$B$8-Paramètres!$B$7))^Paramètres!$B$6)*(1-Paramètres!$B$30)/Paramètres!$B$30)))*(1-O44/(O44+(Paramètres!$B$18*(Paramètres!$B$5+(1-Paramètres!$B$5)*((K44-Paramètres!$B$7)/(Paramètres!$B$8-Paramètres!$B$7))^Paramètres!$B$6)*(1-Paramètres!$B$31)/Paramètres!$B$31))),3)</f>
        <v>0.473</v>
      </c>
      <c r="Y44" s="30" t="n">
        <f aca="false">ROUND(O44/(O44+(Paramètres!$B$18*(Paramètres!$B$5+(1-Paramètres!$B$5)*((K44-Paramètres!$B$7)/(Paramètres!$B$8-Paramètres!$B$7))^Paramètres!$B$6)*(1-Paramètres!$B$31)/Paramètres!$B$31)),3)</f>
        <v>0.216</v>
      </c>
      <c r="Z44" s="31" t="n">
        <f aca="false" t="array" ref="Z44:Z44">IF(E44="Neutre",0,MIN(1,INDEX(Rôles!$L$5:$L$13,AY44)+INDEX(Rôles!$F$18:$F$22,AZ44)))</f>
        <v>0.6</v>
      </c>
      <c r="AA44" s="32" t="n">
        <f aca="false" t="array" ref="AA44:AA44">ROUND(INDEX(Rôles!$C$18:$C$22,AZ44)*INDEX(Rôles!$C$5:$C$13,AY44),4)</f>
        <v>0.0285</v>
      </c>
      <c r="AB44" s="33" t="n">
        <f aca="false" t="array" ref="AB44:AB44">ROUND(INDEX(Rôles!$B$18:$B$22,AZ44)*INDEX(Rôles!$B$5:$B$13,AY44),2)</f>
        <v>18</v>
      </c>
      <c r="AC44" s="33" t="n">
        <f aca="false" t="array" ref="AC44:AC44">INDEX(Rôles!$E$18:$E$22,AZ44)</f>
        <v>8</v>
      </c>
      <c r="AD44" s="23" t="str">
        <f aca="false" t="array" ref="AD44:AD44">INDEX(Éléments!$F$5:$F$14,MATCH(E44,Éléments!$A$5:$A$14,0))</f>
        <v>—</v>
      </c>
      <c r="AE44" s="23" t="str">
        <f aca="false" t="array" ref="AE44:AE44">INDEX(Éléments!$G$5:$G$14,MATCH(E44,Éléments!$A$5:$A$14,0))</f>
        <v>Terre, Lumière</v>
      </c>
      <c r="AF44" s="34" t="s">
        <v>251</v>
      </c>
      <c r="AG44" s="35" t="n">
        <v>0.35</v>
      </c>
      <c r="AH44" s="34" t="s">
        <v>252</v>
      </c>
      <c r="AI44" s="35" t="n">
        <v>0.3</v>
      </c>
      <c r="AJ44" s="29" t="n">
        <f aca="false" t="array" ref="AJ44:AJ44">ROUND(ROUND(Paramètres!$B$49*K44^Paramètres!$B$50,0)*INDEX(Rôles!$E$18:$E$22,AZ44),0)</f>
        <v>5592</v>
      </c>
      <c r="AK44" s="29" t="n">
        <f aca="false" t="array" ref="AK44:AK44">ROUND(ROUND(Paramètres!$B$53*K44^Paramètres!$B$54,0)*INDEX(Rôles!$E$18:$E$22,AZ44),0)</f>
        <v>4096</v>
      </c>
      <c r="AL44" s="36" t="n">
        <f aca="false">INDEX(Butin!$B$7:$B$11,AZ44)</f>
        <v>1</v>
      </c>
      <c r="AM44" s="37" t="n">
        <f aca="false">INDEX(Butin!$E$7:$E$11,AZ44)</f>
        <v>1.4</v>
      </c>
      <c r="AN44" s="30" t="n">
        <f aca="false">IF($H44="Boss",INDEX(Butin!$E$28:$K$37,MATCH($B44,Éléments!$C$5:$C$14,1),1),IF($H44="Dragon",INDEX(Butin!$E$41:$K$50,MATCH($B44,Éléments!$C$5:$C$14,1),1),INDEX(Butin!$E$15:$K$24,MATCH($B44,Éléments!$C$5:$C$14,1),1)))</f>
        <v>0.08</v>
      </c>
      <c r="AO44" s="30" t="n">
        <f aca="false">IF($H44="Boss",INDEX(Butin!$E$28:$K$37,MATCH($B44,Éléments!$C$5:$C$14,1),2),IF($H44="Dragon",INDEX(Butin!$E$41:$K$50,MATCH($B44,Éléments!$C$5:$C$14,1),2),INDEX(Butin!$E$15:$K$24,MATCH($B44,Éléments!$C$5:$C$14,1),2)))</f>
        <v>0.21</v>
      </c>
      <c r="AP44" s="30" t="n">
        <f aca="false">IF($H44="Boss",INDEX(Butin!$E$28:$K$37,MATCH($B44,Éléments!$C$5:$C$14,1),3),IF($H44="Dragon",INDEX(Butin!$E$41:$K$50,MATCH($B44,Éléments!$C$5:$C$14,1),3),INDEX(Butin!$E$15:$K$24,MATCH($B44,Éléments!$C$5:$C$14,1),3)))</f>
        <v>0.31</v>
      </c>
      <c r="AQ44" s="30" t="n">
        <f aca="false">IF($H44="Boss",INDEX(Butin!$E$28:$K$37,MATCH($B44,Éléments!$C$5:$C$14,1),4),IF($H44="Dragon",INDEX(Butin!$E$41:$K$50,MATCH($B44,Éléments!$C$5:$C$14,1),4),INDEX(Butin!$E$15:$K$24,MATCH($B44,Éléments!$C$5:$C$14,1),4)))</f>
        <v>0.23</v>
      </c>
      <c r="AR44" s="30" t="n">
        <f aca="false">IF($H44="Boss",INDEX(Butin!$E$28:$K$37,MATCH($B44,Éléments!$C$5:$C$14,1),5),IF($H44="Dragon",INDEX(Butin!$E$41:$K$50,MATCH($B44,Éléments!$C$5:$C$14,1),5),INDEX(Butin!$E$15:$K$24,MATCH($B44,Éléments!$C$5:$C$14,1),5)))</f>
        <v>0.1</v>
      </c>
      <c r="AS44" s="30" t="n">
        <f aca="false">IF($H44="Boss",INDEX(Butin!$E$28:$K$37,MATCH($B44,Éléments!$C$5:$C$14,1),6),IF($H44="Dragon",INDEX(Butin!$E$41:$K$50,MATCH($B44,Éléments!$C$5:$C$14,1),6),INDEX(Butin!$E$15:$K$24,MATCH($B44,Éléments!$C$5:$C$14,1),6)))</f>
        <v>0.025</v>
      </c>
      <c r="AT44" s="30" t="n">
        <f aca="false">IF($H44="Boss",INDEX(Butin!$E$28:$K$37,MATCH($B44,Éléments!$C$5:$C$14,1),7),IF($H44="Dragon",INDEX(Butin!$E$41:$K$50,MATCH($B44,Éléments!$C$5:$C$14,1),7),INDEX(Butin!$E$15:$K$24,MATCH($B44,Éléments!$C$5:$C$14,1),7)))</f>
        <v>0.045</v>
      </c>
      <c r="AU44" s="38" t="str">
        <f aca="false">IF(AT44=0,"—",INDEX(Butin!$D$54:$D$63,MATCH($B44,Éléments!$C$5:$C$14,1))&amp;" · "&amp;INDEX(Butin!$F$54:$F$63,MATCH($B44,Éléments!$C$5:$C$14,1))&amp;" · "&amp;INDEX(Butin!$H$54:$H$63,MATCH($B44,Éléments!$C$5:$C$14,1)))</f>
        <v>Anneau du Briseur de Remparts · Anneau de l'Alchimiste Fou · Ceinture de l'Alchimiste Chasseur</v>
      </c>
      <c r="AV44" s="20" t="s">
        <v>250</v>
      </c>
      <c r="AW44" s="39" t="str">
        <f aca="false">B44&amp;IF(G44="Oui","|B","|N")</f>
        <v>45|B</v>
      </c>
      <c r="AX44" s="40" t="n">
        <f aca="false">(Paramètres!$B$5+(1-Paramètres!$B$5)*((K44-Paramètres!$B$7)/(Paramètres!$B$8-Paramètres!$B$7))^Paramètres!$B$6)</f>
        <v>0.409008377953926</v>
      </c>
      <c r="AY44" s="39" t="n">
        <f aca="false">MATCH(I44,Rôles!$A$5:$A$13,0)</f>
        <v>2</v>
      </c>
      <c r="AZ44" s="39" t="n">
        <f aca="false">MATCH(H44,Rôles!$A$18:$A$22,0)</f>
        <v>4</v>
      </c>
    </row>
    <row r="45" customFormat="false" ht="15.75" hidden="false" customHeight="true" outlineLevel="0" collapsed="false">
      <c r="A45" s="20" t="s">
        <v>253</v>
      </c>
      <c r="B45" s="21" t="n">
        <v>45</v>
      </c>
      <c r="C45" s="22" t="str">
        <f aca="false" t="array" ref="C45:C45">INDEX(Zones!$B$6:$B$35,MATCH(B45,Zones!$A$6:$A$35,0))</f>
        <v>Ancienne tour</v>
      </c>
      <c r="D45" s="23" t="str">
        <f aca="false" t="array" ref="D45:D45">INDEX(Éléments!$B$5:$B$14,MATCH(B45,Éléments!$C$5:$C$14,1))</f>
        <v>Marais</v>
      </c>
      <c r="E45" s="44" t="str">
        <f aca="false" t="array" ref="E45:E45">INDEX(Éléments!$A$5:$A$14,MATCH(B45,Éléments!$C$5:$C$14,1))</f>
        <v>Acide</v>
      </c>
      <c r="F45" s="25" t="s">
        <v>254</v>
      </c>
      <c r="G45" s="23" t="str">
        <f aca="false">IF(OR(H45="Boss",H45="Dragon"),"Oui","Non")</f>
        <v>Non</v>
      </c>
      <c r="H45" s="26" t="s">
        <v>148</v>
      </c>
      <c r="I45" s="26" t="s">
        <v>139</v>
      </c>
      <c r="J45" s="26" t="s">
        <v>140</v>
      </c>
      <c r="K45" s="27" t="n">
        <f aca="false">IF($F$3="",B45,$F$3)</f>
        <v>45</v>
      </c>
      <c r="L45" s="28" t="n">
        <f aca="false" t="array" ref="L45:L45">ROUND(Paramètres!$B$16*(Paramètres!$B$5+(1-Paramètres!$B$5)*((K45-Paramètres!$B$7)/(Paramètres!$B$8-Paramètres!$B$7))^Paramètres!$B$6)*INDEX(Rôles!$B$18:$B$22,AZ45)*INDEX(Rôles!$B$5:$B$13,AY45),0)</f>
        <v>857</v>
      </c>
      <c r="M45" s="29" t="n">
        <f aca="false" t="array" ref="M45:M45">ROUND(IF(J45="Physique",1,IF(J45="Mixte",Paramètres!$B$32,0))*Paramètres!$B$12*(Paramètres!$B$5+(1-Paramètres!$B$5)*((K45-Paramètres!$B$7)/(Paramètres!$B$8-Paramètres!$B$7))^Paramètres!$B$6)*INDEX(Rôles!$C$18:$C$22,AZ45)*INDEX(Rôles!$C$5:$C$13,AY45)/(Paramètres!$B$35*(1-Paramètres!$B$36)),0)</f>
        <v>187</v>
      </c>
      <c r="N45" s="29" t="n">
        <f aca="false" t="array" ref="N45:N45">ROUND(IF(J45="Magique",1,IF(J45="Mixte",Paramètres!$B$32,0))*Paramètres!$B$12*(Paramètres!$B$5+(1-Paramètres!$B$5)*((K45-Paramètres!$B$7)/(Paramètres!$B$8-Paramètres!$B$7))^Paramètres!$B$6)*INDEX(Rôles!$C$18:$C$22,AZ45)*INDEX(Rôles!$C$5:$C$13,AY45)/(Paramètres!$B$35*(1-Paramètres!$B$36)),0)</f>
        <v>0</v>
      </c>
      <c r="O45" s="29" t="n">
        <f aca="false" t="array" ref="O45:O45">ROUND(Paramètres!$B$18*(Paramètres!$B$5+(1-Paramètres!$B$5)*((K45-Paramètres!$B$7)/(Paramètres!$B$8-Paramètres!$B$7))^Paramètres!$B$6)*INDEX(Rôles!$D$5:$D$13,AY45)*INDEX(Rôles!$D$18:$D$22,AZ45),0)</f>
        <v>127</v>
      </c>
      <c r="P45" s="29" t="n">
        <f aca="false" t="array" ref="P45:P45">ROUND(Paramètres!$B$19*(Paramètres!$B$5+(1-Paramètres!$B$5)*((K45-Paramètres!$B$7)/(Paramètres!$B$8-Paramètres!$B$7))^Paramètres!$B$6)*INDEX(Rôles!$E$5:$E$13,AY45)*INDEX(Rôles!$D$18:$D$22,AZ45),0)</f>
        <v>132</v>
      </c>
      <c r="Q45" s="29" t="n">
        <f aca="false" t="array" ref="Q45:Q45">ROUND(Paramètres!$B$20*(Paramètres!$B$5+(1-Paramètres!$B$5)*((K45-Paramètres!$B$7)/(Paramètres!$B$8-Paramètres!$B$7))^Paramètres!$B$6)*INDEX(Rôles!$F$5:$F$13,AY45),0)</f>
        <v>59</v>
      </c>
      <c r="R45" s="29" t="n">
        <f aca="false">ROUND(Paramètres!$B$64*$AX45*INDEX(Rôles!$N$5:$N$13,$AY45)*INDEX(Rôles!$I$18:$I$22,$AZ45),0)</f>
        <v>52</v>
      </c>
      <c r="S45" s="30" t="n">
        <f aca="false" t="array" ref="S45:S45">MIN(1,ROUND(Paramètres!$B$21*INDEX(Rôles!$G$5:$G$13,AY45),3))</f>
        <v>0.9</v>
      </c>
      <c r="T45" s="30" t="n">
        <f aca="false" t="array" ref="T45:T45">MIN(Paramètres!$B$28,ROUND(Paramètres!$B$22*INDEX(Rôles!$H$5:$H$13,AY45),3))</f>
        <v>0.05</v>
      </c>
      <c r="U45" s="30" t="n">
        <f aca="false" t="array" ref="U45:U45">ROUND(Paramètres!$B$23*INDEX(Rôles!$I$5:$I$13,AY45),3)</f>
        <v>0.5</v>
      </c>
      <c r="V45" s="30" t="n">
        <f aca="false" t="array" ref="V45:V45">MIN(Paramètres!$B$29,ROUND(Paramètres!$B$24*INDEX(Rôles!$J$5:$J$13,AY45),3))</f>
        <v>0.025</v>
      </c>
      <c r="W45" s="30" t="n">
        <f aca="false" t="array" ref="W45:W45">MIN(Paramètres!$B$27,ROUND((Paramètres!$B$25+(Paramètres!$B$26-Paramètres!$B$25)*(K45-Paramètres!$B$7)/(Paramètres!$B$8-Paramètres!$B$7))*INDEX(Rôles!$K$5:$K$13,AY45)+INDEX(Rôles!$G$18:$G$22,AZ45),3))</f>
        <v>0.129</v>
      </c>
      <c r="X45" s="30" t="n">
        <f aca="false">ROUND(1-(1-P45/(P45+(Paramètres!$B$19*(Paramètres!$B$5+(1-Paramètres!$B$5)*((K45-Paramètres!$B$7)/(Paramètres!$B$8-Paramètres!$B$7))^Paramètres!$B$6)*(1-Paramètres!$B$30)/Paramètres!$B$30)))*(1-O45/(O45+(Paramètres!$B$18*(Paramètres!$B$5+(1-Paramètres!$B$5)*((K45-Paramètres!$B$7)/(Paramètres!$B$8-Paramètres!$B$7))^Paramètres!$B$6)*(1-Paramètres!$B$31)/Paramètres!$B$31))),3)</f>
        <v>0.258</v>
      </c>
      <c r="Y45" s="30" t="n">
        <f aca="false">ROUND(O45/(O45+(Paramètres!$B$18*(Paramètres!$B$5+(1-Paramètres!$B$5)*((K45-Paramètres!$B$7)/(Paramètres!$B$8-Paramètres!$B$7))^Paramètres!$B$6)*(1-Paramètres!$B$31)/Paramètres!$B$31)),3)</f>
        <v>0.109</v>
      </c>
      <c r="Z45" s="31" t="n">
        <f aca="false" t="array" ref="Z45:Z45">IF(E45="Neutre",0,MIN(1,INDEX(Rôles!$L$5:$L$13,AY45)+INDEX(Rôles!$F$18:$F$22,AZ45)))</f>
        <v>0.5</v>
      </c>
      <c r="AA45" s="32" t="n">
        <f aca="false" t="array" ref="AA45:AA45">ROUND(INDEX(Rôles!$C$18:$C$22,AZ45)*INDEX(Rôles!$C$5:$C$13,AY45),4)</f>
        <v>0.02</v>
      </c>
      <c r="AB45" s="33" t="n">
        <f aca="false" t="array" ref="AB45:AB45">ROUND(INDEX(Rôles!$B$18:$B$22,AZ45)*INDEX(Rôles!$B$5:$B$13,AY45),2)</f>
        <v>2.66</v>
      </c>
      <c r="AC45" s="33" t="n">
        <f aca="false" t="array" ref="AC45:AC45">INDEX(Rôles!$E$18:$E$22,AZ45)</f>
        <v>1.4</v>
      </c>
      <c r="AD45" s="23" t="str">
        <f aca="false" t="array" ref="AD45:AD45">INDEX(Éléments!$F$5:$F$14,MATCH(E45,Éléments!$A$5:$A$14,0))</f>
        <v>—</v>
      </c>
      <c r="AE45" s="23" t="str">
        <f aca="false" t="array" ref="AE45:AE45">INDEX(Éléments!$G$5:$G$14,MATCH(E45,Éléments!$A$5:$A$14,0))</f>
        <v>Terre, Lumière</v>
      </c>
      <c r="AF45" s="34" t="s">
        <v>252</v>
      </c>
      <c r="AG45" s="35" t="n">
        <v>0.35</v>
      </c>
      <c r="AH45" s="34" t="s">
        <v>251</v>
      </c>
      <c r="AI45" s="35" t="n">
        <v>0.15</v>
      </c>
      <c r="AJ45" s="29" t="n">
        <f aca="false" t="array" ref="AJ45:AJ45">ROUND(ROUND(Paramètres!$B$49*K45^Paramètres!$B$50,0)*INDEX(Rôles!$E$18:$E$22,AZ45),0)</f>
        <v>979</v>
      </c>
      <c r="AK45" s="29" t="n">
        <f aca="false" t="array" ref="AK45:AK45">ROUND(ROUND(Paramètres!$B$53*K45^Paramètres!$B$54,0)*INDEX(Rôles!$E$18:$E$22,AZ45),0)</f>
        <v>717</v>
      </c>
      <c r="AL45" s="36" t="n">
        <f aca="false">INDEX(Butin!$B$7:$B$11,AZ45)</f>
        <v>0.08</v>
      </c>
      <c r="AM45" s="37" t="n">
        <f aca="false">INDEX(Butin!$E$7:$E$11,AZ45)</f>
        <v>0.08</v>
      </c>
      <c r="AN45" s="30" t="n">
        <f aca="false">IF($H45="Boss",INDEX(Butin!$E$28:$K$37,MATCH($B45,Éléments!$C$5:$C$14,1),1),IF($H45="Dragon",INDEX(Butin!$E$41:$K$50,MATCH($B45,Éléments!$C$5:$C$14,1),1),INDEX(Butin!$E$15:$K$24,MATCH($B45,Éléments!$C$5:$C$14,1),1)))</f>
        <v>0.34</v>
      </c>
      <c r="AO45" s="30" t="n">
        <f aca="false">IF($H45="Boss",INDEX(Butin!$E$28:$K$37,MATCH($B45,Éléments!$C$5:$C$14,1),2),IF($H45="Dragon",INDEX(Butin!$E$41:$K$50,MATCH($B45,Éléments!$C$5:$C$14,1),2),INDEX(Butin!$E$15:$K$24,MATCH($B45,Éléments!$C$5:$C$14,1),2)))</f>
        <v>0.32</v>
      </c>
      <c r="AP45" s="30" t="n">
        <f aca="false">IF($H45="Boss",INDEX(Butin!$E$28:$K$37,MATCH($B45,Éléments!$C$5:$C$14,1),3),IF($H45="Dragon",INDEX(Butin!$E$41:$K$50,MATCH($B45,Éléments!$C$5:$C$14,1),3),INDEX(Butin!$E$15:$K$24,MATCH($B45,Éléments!$C$5:$C$14,1),3)))</f>
        <v>0.22</v>
      </c>
      <c r="AQ45" s="30" t="n">
        <f aca="false">IF($H45="Boss",INDEX(Butin!$E$28:$K$37,MATCH($B45,Éléments!$C$5:$C$14,1),4),IF($H45="Dragon",INDEX(Butin!$E$41:$K$50,MATCH($B45,Éléments!$C$5:$C$14,1),4),INDEX(Butin!$E$15:$K$24,MATCH($B45,Éléments!$C$5:$C$14,1),4)))</f>
        <v>0.094</v>
      </c>
      <c r="AR45" s="30" t="n">
        <f aca="false">IF($H45="Boss",INDEX(Butin!$E$28:$K$37,MATCH($B45,Éléments!$C$5:$C$14,1),5),IF($H45="Dragon",INDEX(Butin!$E$41:$K$50,MATCH($B45,Éléments!$C$5:$C$14,1),5),INDEX(Butin!$E$15:$K$24,MATCH($B45,Éléments!$C$5:$C$14,1),5)))</f>
        <v>0.025</v>
      </c>
      <c r="AS45" s="30" t="n">
        <f aca="false">IF($H45="Boss",INDEX(Butin!$E$28:$K$37,MATCH($B45,Éléments!$C$5:$C$14,1),6),IF($H45="Dragon",INDEX(Butin!$E$41:$K$50,MATCH($B45,Éléments!$C$5:$C$14,1),6),INDEX(Butin!$E$15:$K$24,MATCH($B45,Éléments!$C$5:$C$14,1),6)))</f>
        <v>0</v>
      </c>
      <c r="AT45" s="30" t="n">
        <f aca="false">IF($H45="Boss",INDEX(Butin!$E$28:$K$37,MATCH($B45,Éléments!$C$5:$C$14,1),7),IF($H45="Dragon",INDEX(Butin!$E$41:$K$50,MATCH($B45,Éléments!$C$5:$C$14,1),7),INDEX(Butin!$E$15:$K$24,MATCH($B45,Éléments!$C$5:$C$14,1),7)))</f>
        <v>0.001</v>
      </c>
      <c r="AU45" s="38" t="str">
        <f aca="false">IF(AT45=0,"—",INDEX(Butin!$D$54:$D$63,MATCH($B45,Éléments!$C$5:$C$14,1))&amp;" · "&amp;INDEX(Butin!$F$54:$F$63,MATCH($B45,Éléments!$C$5:$C$14,1))&amp;" · "&amp;INDEX(Butin!$H$54:$H$63,MATCH($B45,Éléments!$C$5:$C$14,1)))</f>
        <v>Anneau du Briseur de Remparts · Anneau de l'Alchimiste Fou · Ceinture de l'Alchimiste Chasseur</v>
      </c>
      <c r="AV45" s="20" t="s">
        <v>254</v>
      </c>
      <c r="AW45" s="39" t="str">
        <f aca="false">B45&amp;IF(G45="Oui","|B","|N")</f>
        <v>45|N</v>
      </c>
      <c r="AX45" s="40" t="n">
        <f aca="false">(Paramètres!$B$5+(1-Paramètres!$B$5)*((K45-Paramètres!$B$7)/(Paramètres!$B$8-Paramètres!$B$7))^Paramètres!$B$6)</f>
        <v>0.409008377953926</v>
      </c>
      <c r="AY45" s="39" t="n">
        <f aca="false">MATCH(I45,Rôles!$A$5:$A$13,0)</f>
        <v>1</v>
      </c>
      <c r="AZ45" s="39" t="n">
        <f aca="false">MATCH(H45,Rôles!$A$18:$A$22,0)</f>
        <v>3</v>
      </c>
    </row>
    <row r="46" customFormat="false" ht="15.75" hidden="false" customHeight="true" outlineLevel="0" collapsed="false">
      <c r="A46" s="20" t="s">
        <v>255</v>
      </c>
      <c r="B46" s="21" t="n">
        <v>45</v>
      </c>
      <c r="C46" s="22" t="str">
        <f aca="false" t="array" ref="C46:C46">INDEX(Zones!$B$6:$B$35,MATCH(B46,Zones!$A$6:$A$35,0))</f>
        <v>Ancienne tour</v>
      </c>
      <c r="D46" s="23" t="str">
        <f aca="false" t="array" ref="D46:D46">INDEX(Éléments!$B$5:$B$14,MATCH(B46,Éléments!$C$5:$C$14,1))</f>
        <v>Marais</v>
      </c>
      <c r="E46" s="44" t="str">
        <f aca="false" t="array" ref="E46:E46">INDEX(Éléments!$A$5:$A$14,MATCH(B46,Éléments!$C$5:$C$14,1))</f>
        <v>Acide</v>
      </c>
      <c r="F46" s="25" t="s">
        <v>256</v>
      </c>
      <c r="G46" s="23" t="str">
        <f aca="false">IF(OR(H46="Boss",H46="Dragon"),"Oui","Non")</f>
        <v>Non</v>
      </c>
      <c r="H46" s="26" t="s">
        <v>138</v>
      </c>
      <c r="I46" s="26" t="s">
        <v>177</v>
      </c>
      <c r="J46" s="26" t="s">
        <v>173</v>
      </c>
      <c r="K46" s="27" t="n">
        <f aca="false">IF($F$3="",B46,$F$3)</f>
        <v>45</v>
      </c>
      <c r="L46" s="28" t="n">
        <f aca="false" t="array" ref="L46:L46">ROUND(Paramètres!$B$16*(Paramètres!$B$5+(1-Paramètres!$B$5)*((K46-Paramètres!$B$7)/(Paramètres!$B$8-Paramètres!$B$7))^Paramètres!$B$6)*INDEX(Rôles!$B$18:$B$22,AZ46)*INDEX(Rôles!$B$5:$B$13,AY46),0)</f>
        <v>515</v>
      </c>
      <c r="M46" s="29" t="n">
        <f aca="false" t="array" ref="M46:M46">ROUND(IF(J46="Physique",1,IF(J46="Mixte",Paramètres!$B$32,0))*Paramètres!$B$12*(Paramètres!$B$5+(1-Paramètres!$B$5)*((K46-Paramètres!$B$7)/(Paramètres!$B$8-Paramètres!$B$7))^Paramètres!$B$6)*INDEX(Rôles!$C$18:$C$22,AZ46)*INDEX(Rôles!$C$5:$C$13,AY46)/(Paramètres!$B$35*(1-Paramètres!$B$36)),0)</f>
        <v>0</v>
      </c>
      <c r="N46" s="29" t="n">
        <f aca="false" t="array" ref="N46:N46">ROUND(IF(J46="Magique",1,IF(J46="Mixte",Paramètres!$B$32,0))*Paramètres!$B$12*(Paramètres!$B$5+(1-Paramètres!$B$5)*((K46-Paramètres!$B$7)/(Paramètres!$B$8-Paramètres!$B$7))^Paramètres!$B$6)*INDEX(Rôles!$C$18:$C$22,AZ46)*INDEX(Rôles!$C$5:$C$13,AY46)/(Paramètres!$B$35*(1-Paramètres!$B$36)),0)</f>
        <v>154</v>
      </c>
      <c r="O46" s="29" t="n">
        <f aca="false" t="array" ref="O46:O46">ROUND(Paramètres!$B$18*(Paramètres!$B$5+(1-Paramètres!$B$5)*((K46-Paramètres!$B$7)/(Paramètres!$B$8-Paramètres!$B$7))^Paramètres!$B$6)*INDEX(Rôles!$D$5:$D$13,AY46)*INDEX(Rôles!$D$18:$D$22,AZ46),0)</f>
        <v>129</v>
      </c>
      <c r="P46" s="29" t="n">
        <f aca="false" t="array" ref="P46:P46">ROUND(Paramètres!$B$19*(Paramètres!$B$5+(1-Paramètres!$B$5)*((K46-Paramètres!$B$7)/(Paramètres!$B$8-Paramètres!$B$7))^Paramètres!$B$6)*INDEX(Rôles!$E$5:$E$13,AY46)*INDEX(Rôles!$D$18:$D$22,AZ46),0)</f>
        <v>98</v>
      </c>
      <c r="Q46" s="29" t="n">
        <f aca="false" t="array" ref="Q46:Q46">ROUND(Paramètres!$B$20*(Paramètres!$B$5+(1-Paramètres!$B$5)*((K46-Paramètres!$B$7)/(Paramètres!$B$8-Paramètres!$B$7))^Paramètres!$B$6)*INDEX(Rôles!$F$5:$F$13,AY46),0)</f>
        <v>54</v>
      </c>
      <c r="R46" s="29" t="n">
        <f aca="false">ROUND(Paramètres!$B$64*$AX46*INDEX(Rôles!$N$5:$N$13,$AY46)*INDEX(Rôles!$I$18:$I$22,$AZ46),0)</f>
        <v>45</v>
      </c>
      <c r="S46" s="30" t="n">
        <f aca="false" t="array" ref="S46:S46">MIN(1,ROUND(Paramètres!$B$21*INDEX(Rôles!$G$5:$G$13,AY46),3))</f>
        <v>1</v>
      </c>
      <c r="T46" s="30" t="n">
        <f aca="false" t="array" ref="T46:T46">MIN(Paramètres!$B$28,ROUND(Paramètres!$B$22*INDEX(Rôles!$H$5:$H$13,AY46),3))</f>
        <v>0.075</v>
      </c>
      <c r="U46" s="30" t="n">
        <f aca="false" t="array" ref="U46:U46">ROUND(Paramètres!$B$23*INDEX(Rôles!$I$5:$I$13,AY46),3)</f>
        <v>0.65</v>
      </c>
      <c r="V46" s="30" t="n">
        <f aca="false" t="array" ref="V46:V46">MIN(Paramètres!$B$29,ROUND(Paramètres!$B$24*INDEX(Rôles!$J$5:$J$13,AY46),3))</f>
        <v>0.07</v>
      </c>
      <c r="W46" s="30" t="n">
        <f aca="false" t="array" ref="W46:W46">MIN(Paramètres!$B$27,ROUND((Paramètres!$B$25+(Paramètres!$B$26-Paramètres!$B$25)*(K46-Paramètres!$B$7)/(Paramètres!$B$8-Paramètres!$B$7))*INDEX(Rôles!$K$5:$K$13,AY46)+INDEX(Rôles!$G$18:$G$22,AZ46),3))</f>
        <v>0.129</v>
      </c>
      <c r="X46" s="30" t="n">
        <f aca="false">ROUND(1-(1-P46/(P46+(Paramètres!$B$19*(Paramètres!$B$5+(1-Paramètres!$B$5)*((K46-Paramètres!$B$7)/(Paramètres!$B$8-Paramètres!$B$7))^Paramètres!$B$6)*(1-Paramètres!$B$30)/Paramètres!$B$30)))*(1-O46/(O46+(Paramètres!$B$18*(Paramètres!$B$5+(1-Paramètres!$B$5)*((K46-Paramètres!$B$7)/(Paramètres!$B$8-Paramètres!$B$7))^Paramètres!$B$6)*(1-Paramètres!$B$31)/Paramètres!$B$31))),3)</f>
        <v>0.226</v>
      </c>
      <c r="Y46" s="30" t="n">
        <f aca="false">ROUND(O46/(O46+(Paramètres!$B$18*(Paramètres!$B$5+(1-Paramètres!$B$5)*((K46-Paramètres!$B$7)/(Paramètres!$B$8-Paramètres!$B$7))^Paramètres!$B$6)*(1-Paramètres!$B$31)/Paramètres!$B$31)),3)</f>
        <v>0.11</v>
      </c>
      <c r="Z46" s="31" t="n">
        <f aca="false" t="array" ref="Z46:Z46">IF(E46="Neutre",0,MIN(1,INDEX(Rôles!$L$5:$L$13,AY46)+INDEX(Rôles!$F$18:$F$22,AZ46)))</f>
        <v>0.6</v>
      </c>
      <c r="AA46" s="32" t="n">
        <f aca="false" t="array" ref="AA46:AA46">ROUND(INDEX(Rôles!$C$18:$C$22,AZ46)*INDEX(Rôles!$C$5:$C$13,AY46),4)</f>
        <v>0.0165</v>
      </c>
      <c r="AB46" s="33" t="n">
        <f aca="false" t="array" ref="AB46:AB46">ROUND(INDEX(Rôles!$B$18:$B$22,AZ46)*INDEX(Rôles!$B$5:$B$13,AY46),2)</f>
        <v>1.6</v>
      </c>
      <c r="AC46" s="33" t="n">
        <f aca="false" t="array" ref="AC46:AC46">INDEX(Rôles!$E$18:$E$22,AZ46)</f>
        <v>1</v>
      </c>
      <c r="AD46" s="23" t="str">
        <f aca="false" t="array" ref="AD46:AD46">INDEX(Éléments!$F$5:$F$14,MATCH(E46,Éléments!$A$5:$A$14,0))</f>
        <v>—</v>
      </c>
      <c r="AE46" s="23" t="str">
        <f aca="false" t="array" ref="AE46:AE46">INDEX(Éléments!$G$5:$G$14,MATCH(E46,Éléments!$A$5:$A$14,0))</f>
        <v>Terre, Lumière</v>
      </c>
      <c r="AF46" s="34" t="s">
        <v>252</v>
      </c>
      <c r="AG46" s="35" t="n">
        <v>0.3</v>
      </c>
      <c r="AH46" s="34" t="s">
        <v>251</v>
      </c>
      <c r="AI46" s="35" t="n">
        <v>0.25</v>
      </c>
      <c r="AJ46" s="29" t="n">
        <f aca="false" t="array" ref="AJ46:AJ46">ROUND(ROUND(Paramètres!$B$49*K46^Paramètres!$B$50,0)*INDEX(Rôles!$E$18:$E$22,AZ46),0)</f>
        <v>699</v>
      </c>
      <c r="AK46" s="29" t="n">
        <f aca="false" t="array" ref="AK46:AK46">ROUND(ROUND(Paramètres!$B$53*K46^Paramètres!$B$54,0)*INDEX(Rôles!$E$18:$E$22,AZ46),0)</f>
        <v>512</v>
      </c>
      <c r="AL46" s="36" t="n">
        <f aca="false">INDEX(Butin!$B$7:$B$11,AZ46)</f>
        <v>0.05</v>
      </c>
      <c r="AM46" s="37" t="n">
        <f aca="false">INDEX(Butin!$E$7:$E$11,AZ46)</f>
        <v>0.05</v>
      </c>
      <c r="AN46" s="30" t="n">
        <f aca="false">IF($H46="Boss",INDEX(Butin!$E$28:$K$37,MATCH($B46,Éléments!$C$5:$C$14,1),1),IF($H46="Dragon",INDEX(Butin!$E$41:$K$50,MATCH($B46,Éléments!$C$5:$C$14,1),1),INDEX(Butin!$E$15:$K$24,MATCH($B46,Éléments!$C$5:$C$14,1),1)))</f>
        <v>0.34</v>
      </c>
      <c r="AO46" s="30" t="n">
        <f aca="false">IF($H46="Boss",INDEX(Butin!$E$28:$K$37,MATCH($B46,Éléments!$C$5:$C$14,1),2),IF($H46="Dragon",INDEX(Butin!$E$41:$K$50,MATCH($B46,Éléments!$C$5:$C$14,1),2),INDEX(Butin!$E$15:$K$24,MATCH($B46,Éléments!$C$5:$C$14,1),2)))</f>
        <v>0.32</v>
      </c>
      <c r="AP46" s="30" t="n">
        <f aca="false">IF($H46="Boss",INDEX(Butin!$E$28:$K$37,MATCH($B46,Éléments!$C$5:$C$14,1),3),IF($H46="Dragon",INDEX(Butin!$E$41:$K$50,MATCH($B46,Éléments!$C$5:$C$14,1),3),INDEX(Butin!$E$15:$K$24,MATCH($B46,Éléments!$C$5:$C$14,1),3)))</f>
        <v>0.22</v>
      </c>
      <c r="AQ46" s="30" t="n">
        <f aca="false">IF($H46="Boss",INDEX(Butin!$E$28:$K$37,MATCH($B46,Éléments!$C$5:$C$14,1),4),IF($H46="Dragon",INDEX(Butin!$E$41:$K$50,MATCH($B46,Éléments!$C$5:$C$14,1),4),INDEX(Butin!$E$15:$K$24,MATCH($B46,Éléments!$C$5:$C$14,1),4)))</f>
        <v>0.094</v>
      </c>
      <c r="AR46" s="30" t="n">
        <f aca="false">IF($H46="Boss",INDEX(Butin!$E$28:$K$37,MATCH($B46,Éléments!$C$5:$C$14,1),5),IF($H46="Dragon",INDEX(Butin!$E$41:$K$50,MATCH($B46,Éléments!$C$5:$C$14,1),5),INDEX(Butin!$E$15:$K$24,MATCH($B46,Éléments!$C$5:$C$14,1),5)))</f>
        <v>0.025</v>
      </c>
      <c r="AS46" s="30" t="n">
        <f aca="false">IF($H46="Boss",INDEX(Butin!$E$28:$K$37,MATCH($B46,Éléments!$C$5:$C$14,1),6),IF($H46="Dragon",INDEX(Butin!$E$41:$K$50,MATCH($B46,Éléments!$C$5:$C$14,1),6),INDEX(Butin!$E$15:$K$24,MATCH($B46,Éléments!$C$5:$C$14,1),6)))</f>
        <v>0</v>
      </c>
      <c r="AT46" s="30" t="n">
        <f aca="false">IF($H46="Boss",INDEX(Butin!$E$28:$K$37,MATCH($B46,Éléments!$C$5:$C$14,1),7),IF($H46="Dragon",INDEX(Butin!$E$41:$K$50,MATCH($B46,Éléments!$C$5:$C$14,1),7),INDEX(Butin!$E$15:$K$24,MATCH($B46,Éléments!$C$5:$C$14,1),7)))</f>
        <v>0.001</v>
      </c>
      <c r="AU46" s="38" t="str">
        <f aca="false">IF(AT46=0,"—",INDEX(Butin!$D$54:$D$63,MATCH($B46,Éléments!$C$5:$C$14,1))&amp;" · "&amp;INDEX(Butin!$F$54:$F$63,MATCH($B46,Éléments!$C$5:$C$14,1))&amp;" · "&amp;INDEX(Butin!$H$54:$H$63,MATCH($B46,Éléments!$C$5:$C$14,1)))</f>
        <v>Anneau du Briseur de Remparts · Anneau de l'Alchimiste Fou · Ceinture de l'Alchimiste Chasseur</v>
      </c>
      <c r="AV46" s="20" t="s">
        <v>257</v>
      </c>
      <c r="AW46" s="39" t="str">
        <f aca="false">B46&amp;IF(G46="Oui","|B","|N")</f>
        <v>45|N</v>
      </c>
      <c r="AX46" s="40" t="n">
        <f aca="false">(Paramètres!$B$5+(1-Paramètres!$B$5)*((K46-Paramètres!$B$7)/(Paramètres!$B$8-Paramètres!$B$7))^Paramètres!$B$6)</f>
        <v>0.409008377953926</v>
      </c>
      <c r="AY46" s="39" t="n">
        <f aca="false">MATCH(I46,Rôles!$A$5:$A$13,0)</f>
        <v>4</v>
      </c>
      <c r="AZ46" s="39" t="n">
        <f aca="false">MATCH(H46,Rôles!$A$18:$A$22,0)</f>
        <v>2</v>
      </c>
    </row>
    <row r="47" customFormat="false" ht="15.75" hidden="false" customHeight="true" outlineLevel="0" collapsed="false">
      <c r="A47" s="20" t="s">
        <v>258</v>
      </c>
      <c r="B47" s="21" t="n">
        <v>45</v>
      </c>
      <c r="C47" s="22" t="str">
        <f aca="false" t="array" ref="C47:C47">INDEX(Zones!$B$6:$B$35,MATCH(B47,Zones!$A$6:$A$35,0))</f>
        <v>Ancienne tour</v>
      </c>
      <c r="D47" s="23" t="str">
        <f aca="false" t="array" ref="D47:D47">INDEX(Éléments!$B$5:$B$14,MATCH(B47,Éléments!$C$5:$C$14,1))</f>
        <v>Marais</v>
      </c>
      <c r="E47" s="44" t="str">
        <f aca="false" t="array" ref="E47:E47">INDEX(Éléments!$A$5:$A$14,MATCH(B47,Éléments!$C$5:$C$14,1))</f>
        <v>Acide</v>
      </c>
      <c r="F47" s="25" t="s">
        <v>259</v>
      </c>
      <c r="G47" s="23" t="str">
        <f aca="false">IF(OR(H47="Boss",H47="Dragon"),"Oui","Non")</f>
        <v>Non</v>
      </c>
      <c r="H47" s="26" t="s">
        <v>165</v>
      </c>
      <c r="I47" s="26" t="s">
        <v>139</v>
      </c>
      <c r="J47" s="26" t="s">
        <v>140</v>
      </c>
      <c r="K47" s="27" t="n">
        <f aca="false">IF($F$3="",B47,$F$3)</f>
        <v>45</v>
      </c>
      <c r="L47" s="28" t="n">
        <f aca="false" t="array" ref="L47:L47">ROUND(Paramètres!$B$16*(Paramètres!$B$5+(1-Paramètres!$B$5)*((K47-Paramètres!$B$7)/(Paramètres!$B$8-Paramètres!$B$7))^Paramètres!$B$6)*INDEX(Rôles!$B$18:$B$22,AZ47)*INDEX(Rôles!$B$5:$B$13,AY47),0)</f>
        <v>459</v>
      </c>
      <c r="M47" s="29" t="n">
        <f aca="false" t="array" ref="M47:M47">ROUND(IF(J47="Physique",1,IF(J47="Mixte",Paramètres!$B$32,0))*Paramètres!$B$12*(Paramètres!$B$5+(1-Paramètres!$B$5)*((K47-Paramètres!$B$7)/(Paramètres!$B$8-Paramètres!$B$7))^Paramètres!$B$6)*INDEX(Rôles!$C$18:$C$22,AZ47)*INDEX(Rôles!$C$5:$C$13,AY47)/(Paramètres!$B$35*(1-Paramètres!$B$36)),0)</f>
        <v>98</v>
      </c>
      <c r="N47" s="29" t="n">
        <f aca="false" t="array" ref="N47:N47">ROUND(IF(J47="Magique",1,IF(J47="Mixte",Paramètres!$B$32,0))*Paramètres!$B$12*(Paramètres!$B$5+(1-Paramètres!$B$5)*((K47-Paramètres!$B$7)/(Paramètres!$B$8-Paramètres!$B$7))^Paramètres!$B$6)*INDEX(Rôles!$C$18:$C$22,AZ47)*INDEX(Rôles!$C$5:$C$13,AY47)/(Paramètres!$B$35*(1-Paramètres!$B$36)),0)</f>
        <v>0</v>
      </c>
      <c r="O47" s="29" t="n">
        <f aca="false" t="array" ref="O47:O47">ROUND(Paramètres!$B$18*(Paramètres!$B$5+(1-Paramètres!$B$5)*((K47-Paramètres!$B$7)/(Paramètres!$B$8-Paramètres!$B$7))^Paramètres!$B$6)*INDEX(Rôles!$D$5:$D$13,AY47)*INDEX(Rôles!$D$18:$D$22,AZ47),0)</f>
        <v>88</v>
      </c>
      <c r="P47" s="29" t="n">
        <f aca="false" t="array" ref="P47:P47">ROUND(Paramètres!$B$19*(Paramètres!$B$5+(1-Paramètres!$B$5)*((K47-Paramètres!$B$7)/(Paramètres!$B$8-Paramètres!$B$7))^Paramètres!$B$6)*INDEX(Rôles!$E$5:$E$13,AY47)*INDEX(Rôles!$D$18:$D$22,AZ47),0)</f>
        <v>92</v>
      </c>
      <c r="Q47" s="29" t="n">
        <f aca="false" t="array" ref="Q47:Q47">ROUND(Paramètres!$B$20*(Paramètres!$B$5+(1-Paramètres!$B$5)*((K47-Paramètres!$B$7)/(Paramètres!$B$8-Paramètres!$B$7))^Paramètres!$B$6)*INDEX(Rôles!$F$5:$F$13,AY47),0)</f>
        <v>59</v>
      </c>
      <c r="R47" s="29" t="n">
        <f aca="false">ROUND(Paramètres!$B$64*$AX47*INDEX(Rôles!$N$5:$N$13,$AY47)*INDEX(Rôles!$I$18:$I$22,$AZ47),0)</f>
        <v>44</v>
      </c>
      <c r="S47" s="30" t="n">
        <f aca="false" t="array" ref="S47:S47">MIN(1,ROUND(Paramètres!$B$21*INDEX(Rôles!$G$5:$G$13,AY47),3))</f>
        <v>0.9</v>
      </c>
      <c r="T47" s="30" t="n">
        <f aca="false" t="array" ref="T47:T47">MIN(Paramètres!$B$28,ROUND(Paramètres!$B$22*INDEX(Rôles!$H$5:$H$13,AY47),3))</f>
        <v>0.05</v>
      </c>
      <c r="U47" s="30" t="n">
        <f aca="false" t="array" ref="U47:U47">ROUND(Paramètres!$B$23*INDEX(Rôles!$I$5:$I$13,AY47),3)</f>
        <v>0.5</v>
      </c>
      <c r="V47" s="30" t="n">
        <f aca="false" t="array" ref="V47:V47">MIN(Paramètres!$B$29,ROUND(Paramètres!$B$24*INDEX(Rôles!$J$5:$J$13,AY47),3))</f>
        <v>0.025</v>
      </c>
      <c r="W47" s="30" t="n">
        <f aca="false" t="array" ref="W47:W47">MIN(Paramètres!$B$27,ROUND((Paramètres!$B$25+(Paramètres!$B$26-Paramètres!$B$25)*(K47-Paramètres!$B$7)/(Paramètres!$B$8-Paramètres!$B$7))*INDEX(Rôles!$K$5:$K$13,AY47)+INDEX(Rôles!$G$18:$G$22,AZ47),3))</f>
        <v>0.129</v>
      </c>
      <c r="X47" s="30" t="n">
        <f aca="false">ROUND(1-(1-P47/(P47+(Paramètres!$B$19*(Paramètres!$B$5+(1-Paramètres!$B$5)*((K47-Paramètres!$B$7)/(Paramètres!$B$8-Paramètres!$B$7))^Paramètres!$B$6)*(1-Paramètres!$B$30)/Paramètres!$B$30)))*(1-O47/(O47+(Paramètres!$B$18*(Paramètres!$B$5+(1-Paramètres!$B$5)*((K47-Paramètres!$B$7)/(Paramètres!$B$8-Paramètres!$B$7))^Paramètres!$B$6)*(1-Paramètres!$B$31)/Paramètres!$B$31))),3)</f>
        <v>0.191</v>
      </c>
      <c r="Y47" s="30" t="n">
        <f aca="false">ROUND(O47/(O47+(Paramètres!$B$18*(Paramètres!$B$5+(1-Paramètres!$B$5)*((K47-Paramètres!$B$7)/(Paramètres!$B$8-Paramètres!$B$7))^Paramètres!$B$6)*(1-Paramètres!$B$31)/Paramètres!$B$31)),3)</f>
        <v>0.078</v>
      </c>
      <c r="Z47" s="31" t="n">
        <f aca="false" t="array" ref="Z47:Z47">IF(E47="Neutre",0,MIN(1,INDEX(Rôles!$L$5:$L$13,AY47)+INDEX(Rôles!$F$18:$F$22,AZ47)))</f>
        <v>0.5</v>
      </c>
      <c r="AA47" s="32" t="n">
        <f aca="false" t="array" ref="AA47:AA47">ROUND(INDEX(Rôles!$C$18:$C$22,AZ47)*INDEX(Rôles!$C$5:$C$13,AY47),4)</f>
        <v>0.0105</v>
      </c>
      <c r="AB47" s="33" t="n">
        <f aca="false" t="array" ref="AB47:AB47">ROUND(INDEX(Rôles!$B$18:$B$22,AZ47)*INDEX(Rôles!$B$5:$B$13,AY47),2)</f>
        <v>1.43</v>
      </c>
      <c r="AC47" s="33" t="n">
        <f aca="false" t="array" ref="AC47:AC47">INDEX(Rôles!$E$18:$E$22,AZ47)</f>
        <v>0.7</v>
      </c>
      <c r="AD47" s="23" t="str">
        <f aca="false" t="array" ref="AD47:AD47">INDEX(Éléments!$F$5:$F$14,MATCH(E47,Éléments!$A$5:$A$14,0))</f>
        <v>—</v>
      </c>
      <c r="AE47" s="23" t="str">
        <f aca="false" t="array" ref="AE47:AE47">INDEX(Éléments!$G$5:$G$14,MATCH(E47,Éléments!$A$5:$A$14,0))</f>
        <v>Terre, Lumière</v>
      </c>
      <c r="AF47" s="34" t="s">
        <v>251</v>
      </c>
      <c r="AG47" s="35" t="n">
        <v>0.25</v>
      </c>
      <c r="AH47" s="34" t="s">
        <v>252</v>
      </c>
      <c r="AI47" s="35" t="n">
        <v>0.15</v>
      </c>
      <c r="AJ47" s="29" t="n">
        <f aca="false" t="array" ref="AJ47:AJ47">ROUND(ROUND(Paramètres!$B$49*K47^Paramètres!$B$50,0)*INDEX(Rôles!$E$18:$E$22,AZ47),0)</f>
        <v>489</v>
      </c>
      <c r="AK47" s="29" t="n">
        <f aca="false" t="array" ref="AK47:AK47">ROUND(ROUND(Paramètres!$B$53*K47^Paramètres!$B$54,0)*INDEX(Rôles!$E$18:$E$22,AZ47),0)</f>
        <v>358</v>
      </c>
      <c r="AL47" s="36" t="n">
        <f aca="false">INDEX(Butin!$B$7:$B$11,AZ47)</f>
        <v>0.03</v>
      </c>
      <c r="AM47" s="37" t="n">
        <f aca="false">INDEX(Butin!$E$7:$E$11,AZ47)</f>
        <v>0.03</v>
      </c>
      <c r="AN47" s="30" t="n">
        <f aca="false">IF($H47="Boss",INDEX(Butin!$E$28:$K$37,MATCH($B47,Éléments!$C$5:$C$14,1),1),IF($H47="Dragon",INDEX(Butin!$E$41:$K$50,MATCH($B47,Éléments!$C$5:$C$14,1),1),INDEX(Butin!$E$15:$K$24,MATCH($B47,Éléments!$C$5:$C$14,1),1)))</f>
        <v>0.34</v>
      </c>
      <c r="AO47" s="30" t="n">
        <f aca="false">IF($H47="Boss",INDEX(Butin!$E$28:$K$37,MATCH($B47,Éléments!$C$5:$C$14,1),2),IF($H47="Dragon",INDEX(Butin!$E$41:$K$50,MATCH($B47,Éléments!$C$5:$C$14,1),2),INDEX(Butin!$E$15:$K$24,MATCH($B47,Éléments!$C$5:$C$14,1),2)))</f>
        <v>0.32</v>
      </c>
      <c r="AP47" s="30" t="n">
        <f aca="false">IF($H47="Boss",INDEX(Butin!$E$28:$K$37,MATCH($B47,Éléments!$C$5:$C$14,1),3),IF($H47="Dragon",INDEX(Butin!$E$41:$K$50,MATCH($B47,Éléments!$C$5:$C$14,1),3),INDEX(Butin!$E$15:$K$24,MATCH($B47,Éléments!$C$5:$C$14,1),3)))</f>
        <v>0.22</v>
      </c>
      <c r="AQ47" s="30" t="n">
        <f aca="false">IF($H47="Boss",INDEX(Butin!$E$28:$K$37,MATCH($B47,Éléments!$C$5:$C$14,1),4),IF($H47="Dragon",INDEX(Butin!$E$41:$K$50,MATCH($B47,Éléments!$C$5:$C$14,1),4),INDEX(Butin!$E$15:$K$24,MATCH($B47,Éléments!$C$5:$C$14,1),4)))</f>
        <v>0.094</v>
      </c>
      <c r="AR47" s="30" t="n">
        <f aca="false">IF($H47="Boss",INDEX(Butin!$E$28:$K$37,MATCH($B47,Éléments!$C$5:$C$14,1),5),IF($H47="Dragon",INDEX(Butin!$E$41:$K$50,MATCH($B47,Éléments!$C$5:$C$14,1),5),INDEX(Butin!$E$15:$K$24,MATCH($B47,Éléments!$C$5:$C$14,1),5)))</f>
        <v>0.025</v>
      </c>
      <c r="AS47" s="30" t="n">
        <f aca="false">IF($H47="Boss",INDEX(Butin!$E$28:$K$37,MATCH($B47,Éléments!$C$5:$C$14,1),6),IF($H47="Dragon",INDEX(Butin!$E$41:$K$50,MATCH($B47,Éléments!$C$5:$C$14,1),6),INDEX(Butin!$E$15:$K$24,MATCH($B47,Éléments!$C$5:$C$14,1),6)))</f>
        <v>0</v>
      </c>
      <c r="AT47" s="30" t="n">
        <f aca="false">IF($H47="Boss",INDEX(Butin!$E$28:$K$37,MATCH($B47,Éléments!$C$5:$C$14,1),7),IF($H47="Dragon",INDEX(Butin!$E$41:$K$50,MATCH($B47,Éléments!$C$5:$C$14,1),7),INDEX(Butin!$E$15:$K$24,MATCH($B47,Éléments!$C$5:$C$14,1),7)))</f>
        <v>0.001</v>
      </c>
      <c r="AU47" s="38" t="str">
        <f aca="false">IF(AT47=0,"—",INDEX(Butin!$D$54:$D$63,MATCH($B47,Éléments!$C$5:$C$14,1))&amp;" · "&amp;INDEX(Butin!$F$54:$F$63,MATCH($B47,Éléments!$C$5:$C$14,1))&amp;" · "&amp;INDEX(Butin!$H$54:$H$63,MATCH($B47,Éléments!$C$5:$C$14,1)))</f>
        <v>Anneau du Briseur de Remparts · Anneau de l'Alchimiste Fou · Ceinture de l'Alchimiste Chasseur</v>
      </c>
      <c r="AV47" s="20" t="s">
        <v>259</v>
      </c>
      <c r="AW47" s="39" t="str">
        <f aca="false">B47&amp;IF(G47="Oui","|B","|N")</f>
        <v>45|N</v>
      </c>
      <c r="AX47" s="40" t="n">
        <f aca="false">(Paramètres!$B$5+(1-Paramètres!$B$5)*((K47-Paramètres!$B$7)/(Paramètres!$B$8-Paramètres!$B$7))^Paramètres!$B$6)</f>
        <v>0.409008377953926</v>
      </c>
      <c r="AY47" s="39" t="n">
        <f aca="false">MATCH(I47,Rôles!$A$5:$A$13,0)</f>
        <v>1</v>
      </c>
      <c r="AZ47" s="39" t="n">
        <f aca="false">MATCH(H47,Rôles!$A$18:$A$22,0)</f>
        <v>1</v>
      </c>
    </row>
    <row r="48" customFormat="false" ht="15.75" hidden="false" customHeight="true" outlineLevel="0" collapsed="false">
      <c r="A48" s="20" t="s">
        <v>260</v>
      </c>
      <c r="B48" s="21" t="n">
        <v>49</v>
      </c>
      <c r="C48" s="22" t="str">
        <f aca="false" t="array" ref="C48:C48">INDEX(Zones!$B$6:$B$35,MATCH(B48,Zones!$A$6:$A$35,0))</f>
        <v>Tannière du dragon (49)</v>
      </c>
      <c r="D48" s="23" t="str">
        <f aca="false" t="array" ref="D48:D48">INDEX(Éléments!$B$5:$B$14,MATCH(B48,Éléments!$C$5:$C$14,1))</f>
        <v>Marais</v>
      </c>
      <c r="E48" s="44" t="str">
        <f aca="false" t="array" ref="E48:E48">INDEX(Éléments!$A$5:$A$14,MATCH(B48,Éléments!$C$5:$C$14,1))</f>
        <v>Acide</v>
      </c>
      <c r="F48" s="25" t="s">
        <v>261</v>
      </c>
      <c r="G48" s="23" t="str">
        <f aca="false">IF(OR(H48="Boss",H48="Dragon"),"Oui","Non")</f>
        <v>Oui</v>
      </c>
      <c r="H48" s="26" t="s">
        <v>156</v>
      </c>
      <c r="I48" s="26" t="s">
        <v>156</v>
      </c>
      <c r="J48" s="26" t="s">
        <v>157</v>
      </c>
      <c r="K48" s="27" t="n">
        <f aca="false">IF($F$3="",B48,$F$3)</f>
        <v>49</v>
      </c>
      <c r="L48" s="28" t="n">
        <f aca="false" t="array" ref="L48:L48">ROUND(Paramètres!$B$16*(Paramètres!$B$5+(1-Paramètres!$B$5)*((K48-Paramètres!$B$7)/(Paramètres!$B$8-Paramètres!$B$7))^Paramètres!$B$6)*INDEX(Rôles!$B$18:$B$22,AZ48)*INDEX(Rôles!$B$5:$B$13,AY48),0)</f>
        <v>7064</v>
      </c>
      <c r="M48" s="29" t="n">
        <f aca="false" t="array" ref="M48:M48">ROUND(IF(J48="Physique",1,IF(J48="Mixte",Paramètres!$B$32,0))*Paramètres!$B$12*(Paramètres!$B$5+(1-Paramètres!$B$5)*((K48-Paramètres!$B$7)/(Paramètres!$B$8-Paramètres!$B$7))^Paramètres!$B$6)*INDEX(Rôles!$C$18:$C$22,AZ48)*INDEX(Rôles!$C$5:$C$13,AY48)/(Paramètres!$B$35*(1-Paramètres!$B$36)),0)</f>
        <v>231</v>
      </c>
      <c r="N48" s="29" t="n">
        <f aca="false" t="array" ref="N48:N48">ROUND(IF(J48="Magique",1,IF(J48="Mixte",Paramètres!$B$32,0))*Paramètres!$B$12*(Paramètres!$B$5+(1-Paramètres!$B$5)*((K48-Paramètres!$B$7)/(Paramètres!$B$8-Paramètres!$B$7))^Paramètres!$B$6)*INDEX(Rôles!$C$18:$C$22,AZ48)*INDEX(Rôles!$C$5:$C$13,AY48)/(Paramètres!$B$35*(1-Paramètres!$B$36)),0)</f>
        <v>231</v>
      </c>
      <c r="O48" s="29" t="n">
        <f aca="false" t="array" ref="O48:O48">ROUND(Paramètres!$B$18*(Paramètres!$B$5+(1-Paramètres!$B$5)*((K48-Paramètres!$B$7)/(Paramètres!$B$8-Paramètres!$B$7))^Paramètres!$B$6)*INDEX(Rôles!$D$5:$D$13,AY48)*INDEX(Rôles!$D$18:$D$22,AZ48),0)</f>
        <v>341</v>
      </c>
      <c r="P48" s="29" t="n">
        <f aca="false" t="array" ref="P48:P48">ROUND(Paramètres!$B$19*(Paramètres!$B$5+(1-Paramètres!$B$5)*((K48-Paramètres!$B$7)/(Paramètres!$B$8-Paramètres!$B$7))^Paramètres!$B$6)*INDEX(Rôles!$E$5:$E$13,AY48)*INDEX(Rôles!$D$18:$D$22,AZ48),0)</f>
        <v>327</v>
      </c>
      <c r="Q48" s="29" t="n">
        <f aca="false" t="array" ref="Q48:Q48">ROUND(Paramètres!$B$20*(Paramètres!$B$5+(1-Paramètres!$B$5)*((K48-Paramètres!$B$7)/(Paramètres!$B$8-Paramètres!$B$7))^Paramètres!$B$6)*INDEX(Rôles!$F$5:$F$13,AY48),0)</f>
        <v>43</v>
      </c>
      <c r="R48" s="29" t="n">
        <f aca="false">ROUND(Paramètres!$B$64*$AX48*INDEX(Rôles!$N$5:$N$13,$AY48)*INDEX(Rôles!$I$18:$I$22,$AZ48),0)</f>
        <v>36</v>
      </c>
      <c r="S48" s="30" t="n">
        <f aca="false" t="array" ref="S48:S48">MIN(1,ROUND(Paramètres!$B$21*INDEX(Rôles!$G$5:$G$13,AY48),3))</f>
        <v>0.9</v>
      </c>
      <c r="T48" s="30" t="n">
        <f aca="false" t="array" ref="T48:T48">MIN(Paramètres!$B$28,ROUND(Paramètres!$B$22*INDEX(Rôles!$H$5:$H$13,AY48),3))</f>
        <v>0.05</v>
      </c>
      <c r="U48" s="30" t="n">
        <f aca="false" t="array" ref="U48:U48">ROUND(Paramètres!$B$23*INDEX(Rôles!$I$5:$I$13,AY48),3)</f>
        <v>0.5</v>
      </c>
      <c r="V48" s="30" t="n">
        <f aca="false" t="array" ref="V48:V48">MIN(Paramètres!$B$29,ROUND(Paramètres!$B$24*INDEX(Rôles!$J$5:$J$13,AY48),3))</f>
        <v>0.05</v>
      </c>
      <c r="W48" s="30" t="n">
        <f aca="false" t="array" ref="W48:W48">MIN(Paramètres!$B$27,ROUND((Paramètres!$B$25+(Paramètres!$B$26-Paramètres!$B$25)*(K48-Paramètres!$B$7)/(Paramètres!$B$8-Paramètres!$B$7))*INDEX(Rôles!$K$5:$K$13,AY48)+INDEX(Rôles!$G$18:$G$22,AZ48),3))</f>
        <v>0.423</v>
      </c>
      <c r="X48" s="30" t="n">
        <f aca="false">ROUND(1-(1-P48/(P48+(Paramètres!$B$19*(Paramètres!$B$5+(1-Paramètres!$B$5)*((K48-Paramètres!$B$7)/(Paramètres!$B$8-Paramètres!$B$7))^Paramètres!$B$6)*(1-Paramètres!$B$30)/Paramètres!$B$30)))*(1-O48/(O48+(Paramètres!$B$18*(Paramètres!$B$5+(1-Paramètres!$B$5)*((K48-Paramètres!$B$7)/(Paramètres!$B$8-Paramètres!$B$7))^Paramètres!$B$6)*(1-Paramètres!$B$31)/Paramètres!$B$31))),3)</f>
        <v>0.471</v>
      </c>
      <c r="Y48" s="30" t="n">
        <f aca="false">ROUND(O48/(O48+(Paramètres!$B$18*(Paramètres!$B$5+(1-Paramètres!$B$5)*((K48-Paramètres!$B$7)/(Paramètres!$B$8-Paramètres!$B$7))^Paramètres!$B$6)*(1-Paramètres!$B$31)/Paramètres!$B$31)),3)</f>
        <v>0.23</v>
      </c>
      <c r="Z48" s="31" t="n">
        <f aca="false" t="array" ref="Z48:Z48">IF(E48="Neutre",0,MIN(1,INDEX(Rôles!$L$5:$L$13,AY48)+INDEX(Rôles!$F$18:$F$22,AZ48)))</f>
        <v>1</v>
      </c>
      <c r="AA48" s="32" t="n">
        <f aca="false" t="array" ref="AA48:AA48">ROUND(INDEX(Rôles!$C$18:$C$22,AZ48)*INDEX(Rôles!$C$5:$C$13,AY48),4)</f>
        <v>0.03</v>
      </c>
      <c r="AB48" s="33" t="n">
        <f aca="false" t="array" ref="AB48:AB48">ROUND(INDEX(Rôles!$B$18:$B$22,AZ48)*INDEX(Rôles!$B$5:$B$13,AY48),2)</f>
        <v>20</v>
      </c>
      <c r="AC48" s="33" t="n">
        <f aca="false" t="array" ref="AC48:AC48">INDEX(Rôles!$E$18:$E$22,AZ48)</f>
        <v>12</v>
      </c>
      <c r="AD48" s="23" t="str">
        <f aca="false" t="array" ref="AD48:AD48">INDEX(Éléments!$F$5:$F$14,MATCH(E48,Éléments!$A$5:$A$14,0))</f>
        <v>—</v>
      </c>
      <c r="AE48" s="23" t="str">
        <f aca="false" t="array" ref="AE48:AE48">INDEX(Éléments!$G$5:$G$14,MATCH(E48,Éléments!$A$5:$A$14,0))</f>
        <v>Terre, Lumière</v>
      </c>
      <c r="AF48" s="34" t="s">
        <v>251</v>
      </c>
      <c r="AG48" s="35" t="n">
        <v>0.35</v>
      </c>
      <c r="AH48" s="34" t="s">
        <v>252</v>
      </c>
      <c r="AI48" s="35" t="n">
        <v>0.3</v>
      </c>
      <c r="AJ48" s="29" t="n">
        <f aca="false" t="array" ref="AJ48:AJ48">ROUND(ROUND(Paramètres!$B$49*K48^Paramètres!$B$50,0)*INDEX(Rôles!$E$18:$E$22,AZ48),0)</f>
        <v>9336</v>
      </c>
      <c r="AK48" s="29" t="n">
        <f aca="false" t="array" ref="AK48:AK48">ROUND(ROUND(Paramètres!$B$53*K48^Paramètres!$B$54,0)*INDEX(Rôles!$E$18:$E$22,AZ48),0)</f>
        <v>6888</v>
      </c>
      <c r="AL48" s="36" t="n">
        <f aca="false">INDEX(Butin!$B$7:$B$11,AZ48)</f>
        <v>1</v>
      </c>
      <c r="AM48" s="37" t="n">
        <f aca="false">INDEX(Butin!$E$7:$E$11,AZ48)</f>
        <v>2.5</v>
      </c>
      <c r="AN48" s="30" t="n">
        <f aca="false">IF($H48="Boss",INDEX(Butin!$E$28:$K$37,MATCH($B48,Éléments!$C$5:$C$14,1),1),IF($H48="Dragon",INDEX(Butin!$E$41:$K$50,MATCH($B48,Éléments!$C$5:$C$14,1),1),INDEX(Butin!$E$15:$K$24,MATCH($B48,Éléments!$C$5:$C$14,1),1)))</f>
        <v>0.04</v>
      </c>
      <c r="AO48" s="30" t="n">
        <f aca="false">IF($H48="Boss",INDEX(Butin!$E$28:$K$37,MATCH($B48,Éléments!$C$5:$C$14,1),2),IF($H48="Dragon",INDEX(Butin!$E$41:$K$50,MATCH($B48,Éléments!$C$5:$C$14,1),2),INDEX(Butin!$E$15:$K$24,MATCH($B48,Éléments!$C$5:$C$14,1),2)))</f>
        <v>0.18</v>
      </c>
      <c r="AP48" s="30" t="n">
        <f aca="false">IF($H48="Boss",INDEX(Butin!$E$28:$K$37,MATCH($B48,Éléments!$C$5:$C$14,1),3),IF($H48="Dragon",INDEX(Butin!$E$41:$K$50,MATCH($B48,Éléments!$C$5:$C$14,1),3),INDEX(Butin!$E$15:$K$24,MATCH($B48,Éléments!$C$5:$C$14,1),3)))</f>
        <v>0.29</v>
      </c>
      <c r="AQ48" s="30" t="n">
        <f aca="false">IF($H48="Boss",INDEX(Butin!$E$28:$K$37,MATCH($B48,Éléments!$C$5:$C$14,1),4),IF($H48="Dragon",INDEX(Butin!$E$41:$K$50,MATCH($B48,Éléments!$C$5:$C$14,1),4),INDEX(Butin!$E$15:$K$24,MATCH($B48,Éléments!$C$5:$C$14,1),4)))</f>
        <v>0.27</v>
      </c>
      <c r="AR48" s="30" t="n">
        <f aca="false">IF($H48="Boss",INDEX(Butin!$E$28:$K$37,MATCH($B48,Éléments!$C$5:$C$14,1),5),IF($H48="Dragon",INDEX(Butin!$E$41:$K$50,MATCH($B48,Éléments!$C$5:$C$14,1),5),INDEX(Butin!$E$15:$K$24,MATCH($B48,Éléments!$C$5:$C$14,1),5)))</f>
        <v>0.13</v>
      </c>
      <c r="AS48" s="30" t="n">
        <f aca="false">IF($H48="Boss",INDEX(Butin!$E$28:$K$37,MATCH($B48,Éléments!$C$5:$C$14,1),6),IF($H48="Dragon",INDEX(Butin!$E$41:$K$50,MATCH($B48,Éléments!$C$5:$C$14,1),6),INDEX(Butin!$E$15:$K$24,MATCH($B48,Éléments!$C$5:$C$14,1),6)))</f>
        <v>0.03</v>
      </c>
      <c r="AT48" s="30" t="n">
        <f aca="false">IF($H48="Boss",INDEX(Butin!$E$28:$K$37,MATCH($B48,Éléments!$C$5:$C$14,1),7),IF($H48="Dragon",INDEX(Butin!$E$41:$K$50,MATCH($B48,Éléments!$C$5:$C$14,1),7),INDEX(Butin!$E$15:$K$24,MATCH($B48,Éléments!$C$5:$C$14,1),7)))</f>
        <v>0.06</v>
      </c>
      <c r="AU48" s="38" t="str">
        <f aca="false">IF(AT48=0,"—",INDEX(Butin!$D$54:$D$63,MATCH($B48,Éléments!$C$5:$C$14,1))&amp;" · "&amp;INDEX(Butin!$F$54:$F$63,MATCH($B48,Éléments!$C$5:$C$14,1))&amp;" · "&amp;INDEX(Butin!$H$54:$H$63,MATCH($B48,Éléments!$C$5:$C$14,1)))</f>
        <v>Anneau du Briseur de Remparts · Anneau de l'Alchimiste Fou · Ceinture de l'Alchimiste Chasseur</v>
      </c>
      <c r="AV48" s="20" t="s">
        <v>261</v>
      </c>
      <c r="AW48" s="39" t="str">
        <f aca="false">B48&amp;IF(G48="Oui","|B","|N")</f>
        <v>49|B</v>
      </c>
      <c r="AX48" s="40" t="n">
        <f aca="false">(Paramètres!$B$5+(1-Paramètres!$B$5)*((K48-Paramètres!$B$7)/(Paramètres!$B$8-Paramètres!$B$7))^Paramètres!$B$6)</f>
        <v>0.448520674434256</v>
      </c>
      <c r="AY48" s="39" t="n">
        <f aca="false">MATCH(I48,Rôles!$A$5:$A$13,0)</f>
        <v>9</v>
      </c>
      <c r="AZ48" s="39" t="n">
        <f aca="false">MATCH(H48,Rôles!$A$18:$A$22,0)</f>
        <v>5</v>
      </c>
    </row>
    <row r="49" customFormat="false" ht="15.75" hidden="false" customHeight="true" outlineLevel="0" collapsed="false">
      <c r="A49" s="20" t="s">
        <v>262</v>
      </c>
      <c r="B49" s="21" t="n">
        <v>50</v>
      </c>
      <c r="C49" s="22" t="str">
        <f aca="false" t="array" ref="C49:C49">INDEX(Zones!$B$6:$B$35,MATCH(B49,Zones!$A$6:$A$35,0))</f>
        <v>Marais des morts</v>
      </c>
      <c r="D49" s="23" t="str">
        <f aca="false" t="array" ref="D49:D49">INDEX(Éléments!$B$5:$B$14,MATCH(B49,Éléments!$C$5:$C$14,1))</f>
        <v>Marais</v>
      </c>
      <c r="E49" s="44" t="str">
        <f aca="false" t="array" ref="E49:E49">INDEX(Éléments!$A$5:$A$14,MATCH(B49,Éléments!$C$5:$C$14,1))</f>
        <v>Acide</v>
      </c>
      <c r="F49" s="25" t="s">
        <v>263</v>
      </c>
      <c r="G49" s="23" t="str">
        <f aca="false">IF(OR(H49="Boss",H49="Dragon"),"Oui","Non")</f>
        <v>Oui</v>
      </c>
      <c r="H49" s="26" t="s">
        <v>152</v>
      </c>
      <c r="I49" s="26" t="s">
        <v>149</v>
      </c>
      <c r="J49" s="26" t="s">
        <v>140</v>
      </c>
      <c r="K49" s="27" t="n">
        <f aca="false">IF($F$3="",B49,$F$3)</f>
        <v>50</v>
      </c>
      <c r="L49" s="28" t="n">
        <f aca="false" t="array" ref="L49:L49">ROUND(Paramètres!$B$16*(Paramètres!$B$5+(1-Paramètres!$B$5)*((K49-Paramètres!$B$7)/(Paramètres!$B$8-Paramètres!$B$7))^Paramètres!$B$6)*INDEX(Rôles!$B$18:$B$22,AZ49)*INDEX(Rôles!$B$5:$B$13,AY49),0)</f>
        <v>6499</v>
      </c>
      <c r="M49" s="29" t="n">
        <f aca="false" t="array" ref="M49:M49">ROUND(IF(J49="Physique",1,IF(J49="Mixte",Paramètres!$B$32,0))*Paramètres!$B$12*(Paramètres!$B$5+(1-Paramètres!$B$5)*((K49-Paramètres!$B$7)/(Paramètres!$B$8-Paramètres!$B$7))^Paramètres!$B$6)*INDEX(Rôles!$C$18:$C$22,AZ49)*INDEX(Rôles!$C$5:$C$13,AY49)/(Paramètres!$B$35*(1-Paramètres!$B$36)),0)</f>
        <v>299</v>
      </c>
      <c r="N49" s="29" t="n">
        <f aca="false" t="array" ref="N49:N49">ROUND(IF(J49="Magique",1,IF(J49="Mixte",Paramètres!$B$32,0))*Paramètres!$B$12*(Paramètres!$B$5+(1-Paramètres!$B$5)*((K49-Paramètres!$B$7)/(Paramètres!$B$8-Paramètres!$B$7))^Paramètres!$B$6)*INDEX(Rôles!$C$18:$C$22,AZ49)*INDEX(Rôles!$C$5:$C$13,AY49)/(Paramètres!$B$35*(1-Paramètres!$B$36)),0)</f>
        <v>0</v>
      </c>
      <c r="O49" s="29" t="n">
        <f aca="false" t="array" ref="O49:O49">ROUND(Paramètres!$B$18*(Paramètres!$B$5+(1-Paramètres!$B$5)*((K49-Paramètres!$B$7)/(Paramètres!$B$8-Paramètres!$B$7))^Paramètres!$B$6)*INDEX(Rôles!$D$5:$D$13,AY49)*INDEX(Rôles!$D$18:$D$22,AZ49),0)</f>
        <v>322</v>
      </c>
      <c r="P49" s="29" t="n">
        <f aca="false" t="array" ref="P49:P49">ROUND(Paramètres!$B$19*(Paramètres!$B$5+(1-Paramètres!$B$5)*((K49-Paramètres!$B$7)/(Paramètres!$B$8-Paramètres!$B$7))^Paramètres!$B$6)*INDEX(Rôles!$E$5:$E$13,AY49)*INDEX(Rôles!$D$18:$D$22,AZ49),0)</f>
        <v>358</v>
      </c>
      <c r="Q49" s="29" t="n">
        <f aca="false" t="array" ref="Q49:Q49">ROUND(Paramètres!$B$20*(Paramètres!$B$5+(1-Paramètres!$B$5)*((K49-Paramètres!$B$7)/(Paramètres!$B$8-Paramètres!$B$7))^Paramètres!$B$6)*INDEX(Rôles!$F$5:$F$13,AY49),0)</f>
        <v>33</v>
      </c>
      <c r="R49" s="29" t="n">
        <f aca="false">ROUND(Paramètres!$B$64*$AX49*INDEX(Rôles!$N$5:$N$13,$AY49)*INDEX(Rôles!$I$18:$I$22,$AZ49),0)</f>
        <v>37</v>
      </c>
      <c r="S49" s="30" t="n">
        <f aca="false" t="array" ref="S49:S49">MIN(1,ROUND(Paramètres!$B$21*INDEX(Rôles!$G$5:$G$13,AY49),3))</f>
        <v>0.765</v>
      </c>
      <c r="T49" s="30" t="n">
        <f aca="false" t="array" ref="T49:T49">MIN(Paramètres!$B$28,ROUND(Paramètres!$B$22*INDEX(Rôles!$H$5:$H$13,AY49),3))</f>
        <v>0.03</v>
      </c>
      <c r="U49" s="30" t="n">
        <f aca="false" t="array" ref="U49:U49">ROUND(Paramètres!$B$23*INDEX(Rôles!$I$5:$I$13,AY49),3)</f>
        <v>0.5</v>
      </c>
      <c r="V49" s="30" t="n">
        <f aca="false" t="array" ref="V49:V49">MIN(Paramètres!$B$29,ROUND(Paramètres!$B$24*INDEX(Rôles!$J$5:$J$13,AY49),3))</f>
        <v>0.04</v>
      </c>
      <c r="W49" s="30" t="n">
        <f aca="false" t="array" ref="W49:W49">MIN(Paramètres!$B$27,ROUND((Paramètres!$B$25+(Paramètres!$B$26-Paramètres!$B$25)*(K49-Paramètres!$B$7)/(Paramètres!$B$8-Paramètres!$B$7))*INDEX(Rôles!$K$5:$K$13,AY49)+INDEX(Rôles!$G$18:$G$22,AZ49),3))</f>
        <v>0.408</v>
      </c>
      <c r="X49" s="30" t="n">
        <f aca="false">ROUND(1-(1-P49/(P49+(Paramètres!$B$19*(Paramètres!$B$5+(1-Paramètres!$B$5)*((K49-Paramètres!$B$7)/(Paramètres!$B$8-Paramètres!$B$7))^Paramètres!$B$6)*(1-Paramètres!$B$30)/Paramètres!$B$30)))*(1-O49/(O49+(Paramètres!$B$18*(Paramètres!$B$5+(1-Paramètres!$B$5)*((K49-Paramètres!$B$7)/(Paramètres!$B$8-Paramètres!$B$7))^Paramètres!$B$6)*(1-Paramètres!$B$31)/Paramètres!$B$31))),3)</f>
        <v>0.473</v>
      </c>
      <c r="Y49" s="30" t="n">
        <f aca="false">ROUND(O49/(O49+(Paramètres!$B$18*(Paramètres!$B$5+(1-Paramètres!$B$5)*((K49-Paramètres!$B$7)/(Paramètres!$B$8-Paramètres!$B$7))^Paramètres!$B$6)*(1-Paramètres!$B$31)/Paramètres!$B$31)),3)</f>
        <v>0.216</v>
      </c>
      <c r="Z49" s="31" t="n">
        <f aca="false" t="array" ref="Z49:Z49">IF(E49="Neutre",0,MIN(1,INDEX(Rôles!$L$5:$L$13,AY49)+INDEX(Rôles!$F$18:$F$22,AZ49)))</f>
        <v>0.6</v>
      </c>
      <c r="AA49" s="32" t="n">
        <f aca="false" t="array" ref="AA49:AA49">ROUND(INDEX(Rôles!$C$18:$C$22,AZ49)*INDEX(Rôles!$C$5:$C$13,AY49),4)</f>
        <v>0.0285</v>
      </c>
      <c r="AB49" s="33" t="n">
        <f aca="false" t="array" ref="AB49:AB49">ROUND(INDEX(Rôles!$B$18:$B$22,AZ49)*INDEX(Rôles!$B$5:$B$13,AY49),2)</f>
        <v>18</v>
      </c>
      <c r="AC49" s="33" t="n">
        <f aca="false" t="array" ref="AC49:AC49">INDEX(Rôles!$E$18:$E$22,AZ49)</f>
        <v>8</v>
      </c>
      <c r="AD49" s="23" t="str">
        <f aca="false" t="array" ref="AD49:AD49">INDEX(Éléments!$F$5:$F$14,MATCH(E49,Éléments!$A$5:$A$14,0))</f>
        <v>—</v>
      </c>
      <c r="AE49" s="23" t="str">
        <f aca="false" t="array" ref="AE49:AE49">INDEX(Éléments!$G$5:$G$14,MATCH(E49,Éléments!$A$5:$A$14,0))</f>
        <v>Terre, Lumière</v>
      </c>
      <c r="AF49" s="34" t="s">
        <v>252</v>
      </c>
      <c r="AG49" s="35" t="n">
        <v>0.4</v>
      </c>
      <c r="AH49" s="34" t="s">
        <v>251</v>
      </c>
      <c r="AI49" s="35" t="n">
        <v>0.3</v>
      </c>
      <c r="AJ49" s="29" t="n">
        <f aca="false" t="array" ref="AJ49:AJ49">ROUND(ROUND(Paramètres!$B$49*K49^Paramètres!$B$50,0)*INDEX(Rôles!$E$18:$E$22,AZ49),0)</f>
        <v>6384</v>
      </c>
      <c r="AK49" s="29" t="n">
        <f aca="false" t="array" ref="AK49:AK49">ROUND(ROUND(Paramètres!$B$53*K49^Paramètres!$B$54,0)*INDEX(Rôles!$E$18:$E$22,AZ49),0)</f>
        <v>4720</v>
      </c>
      <c r="AL49" s="36" t="n">
        <f aca="false">INDEX(Butin!$B$7:$B$11,AZ49)</f>
        <v>1</v>
      </c>
      <c r="AM49" s="37" t="n">
        <f aca="false">INDEX(Butin!$E$7:$E$11,AZ49)</f>
        <v>1.4</v>
      </c>
      <c r="AN49" s="30" t="n">
        <f aca="false">IF($H49="Boss",INDEX(Butin!$E$28:$K$37,MATCH($B49,Éléments!$C$5:$C$14,1),1),IF($H49="Dragon",INDEX(Butin!$E$41:$K$50,MATCH($B49,Éléments!$C$5:$C$14,1),1),INDEX(Butin!$E$15:$K$24,MATCH($B49,Éléments!$C$5:$C$14,1),1)))</f>
        <v>0.08</v>
      </c>
      <c r="AO49" s="30" t="n">
        <f aca="false">IF($H49="Boss",INDEX(Butin!$E$28:$K$37,MATCH($B49,Éléments!$C$5:$C$14,1),2),IF($H49="Dragon",INDEX(Butin!$E$41:$K$50,MATCH($B49,Éléments!$C$5:$C$14,1),2),INDEX(Butin!$E$15:$K$24,MATCH($B49,Éléments!$C$5:$C$14,1),2)))</f>
        <v>0.21</v>
      </c>
      <c r="AP49" s="30" t="n">
        <f aca="false">IF($H49="Boss",INDEX(Butin!$E$28:$K$37,MATCH($B49,Éléments!$C$5:$C$14,1),3),IF($H49="Dragon",INDEX(Butin!$E$41:$K$50,MATCH($B49,Éléments!$C$5:$C$14,1),3),INDEX(Butin!$E$15:$K$24,MATCH($B49,Éléments!$C$5:$C$14,1),3)))</f>
        <v>0.31</v>
      </c>
      <c r="AQ49" s="30" t="n">
        <f aca="false">IF($H49="Boss",INDEX(Butin!$E$28:$K$37,MATCH($B49,Éléments!$C$5:$C$14,1),4),IF($H49="Dragon",INDEX(Butin!$E$41:$K$50,MATCH($B49,Éléments!$C$5:$C$14,1),4),INDEX(Butin!$E$15:$K$24,MATCH($B49,Éléments!$C$5:$C$14,1),4)))</f>
        <v>0.23</v>
      </c>
      <c r="AR49" s="30" t="n">
        <f aca="false">IF($H49="Boss",INDEX(Butin!$E$28:$K$37,MATCH($B49,Éléments!$C$5:$C$14,1),5),IF($H49="Dragon",INDEX(Butin!$E$41:$K$50,MATCH($B49,Éléments!$C$5:$C$14,1),5),INDEX(Butin!$E$15:$K$24,MATCH($B49,Éléments!$C$5:$C$14,1),5)))</f>
        <v>0.1</v>
      </c>
      <c r="AS49" s="30" t="n">
        <f aca="false">IF($H49="Boss",INDEX(Butin!$E$28:$K$37,MATCH($B49,Éléments!$C$5:$C$14,1),6),IF($H49="Dragon",INDEX(Butin!$E$41:$K$50,MATCH($B49,Éléments!$C$5:$C$14,1),6),INDEX(Butin!$E$15:$K$24,MATCH($B49,Éléments!$C$5:$C$14,1),6)))</f>
        <v>0.025</v>
      </c>
      <c r="AT49" s="30" t="n">
        <f aca="false">IF($H49="Boss",INDEX(Butin!$E$28:$K$37,MATCH($B49,Éléments!$C$5:$C$14,1),7),IF($H49="Dragon",INDEX(Butin!$E$41:$K$50,MATCH($B49,Éléments!$C$5:$C$14,1),7),INDEX(Butin!$E$15:$K$24,MATCH($B49,Éléments!$C$5:$C$14,1),7)))</f>
        <v>0.045</v>
      </c>
      <c r="AU49" s="38" t="str">
        <f aca="false">IF(AT49=0,"—",INDEX(Butin!$D$54:$D$63,MATCH($B49,Éléments!$C$5:$C$14,1))&amp;" · "&amp;INDEX(Butin!$F$54:$F$63,MATCH($B49,Éléments!$C$5:$C$14,1))&amp;" · "&amp;INDEX(Butin!$H$54:$H$63,MATCH($B49,Éléments!$C$5:$C$14,1)))</f>
        <v>Anneau du Briseur de Remparts · Anneau de l'Alchimiste Fou · Ceinture de l'Alchimiste Chasseur</v>
      </c>
      <c r="AV49" s="20" t="s">
        <v>264</v>
      </c>
      <c r="AW49" s="39" t="str">
        <f aca="false">B49&amp;IF(G49="Oui","|B","|N")</f>
        <v>50|B</v>
      </c>
      <c r="AX49" s="40" t="n">
        <f aca="false">(Paramètres!$B$5+(1-Paramètres!$B$5)*((K49-Paramètres!$B$7)/(Paramètres!$B$8-Paramètres!$B$7))^Paramètres!$B$6)</f>
        <v>0.458504333336152</v>
      </c>
      <c r="AY49" s="39" t="n">
        <f aca="false">MATCH(I49,Rôles!$A$5:$A$13,0)</f>
        <v>2</v>
      </c>
      <c r="AZ49" s="39" t="n">
        <f aca="false">MATCH(H49,Rôles!$A$18:$A$22,0)</f>
        <v>4</v>
      </c>
    </row>
    <row r="50" customFormat="false" ht="15.75" hidden="false" customHeight="true" outlineLevel="0" collapsed="false">
      <c r="A50" s="20" t="s">
        <v>265</v>
      </c>
      <c r="B50" s="21" t="n">
        <v>50</v>
      </c>
      <c r="C50" s="22" t="str">
        <f aca="false" t="array" ref="C50:C50">INDEX(Zones!$B$6:$B$35,MATCH(B50,Zones!$A$6:$A$35,0))</f>
        <v>Marais des morts</v>
      </c>
      <c r="D50" s="23" t="str">
        <f aca="false" t="array" ref="D50:D50">INDEX(Éléments!$B$5:$B$14,MATCH(B50,Éléments!$C$5:$C$14,1))</f>
        <v>Marais</v>
      </c>
      <c r="E50" s="44" t="str">
        <f aca="false" t="array" ref="E50:E50">INDEX(Éléments!$A$5:$A$14,MATCH(B50,Éléments!$C$5:$C$14,1))</f>
        <v>Acide</v>
      </c>
      <c r="F50" s="25" t="s">
        <v>266</v>
      </c>
      <c r="G50" s="23" t="str">
        <f aca="false">IF(OR(H50="Boss",H50="Dragon"),"Oui","Non")</f>
        <v>Non</v>
      </c>
      <c r="H50" s="26" t="s">
        <v>138</v>
      </c>
      <c r="I50" s="26" t="s">
        <v>149</v>
      </c>
      <c r="J50" s="26" t="s">
        <v>140</v>
      </c>
      <c r="K50" s="27" t="n">
        <f aca="false">IF($F$3="",B50,$F$3)</f>
        <v>50</v>
      </c>
      <c r="L50" s="28" t="n">
        <f aca="false" t="array" ref="L50:L50">ROUND(Paramètres!$B$16*(Paramètres!$B$5+(1-Paramètres!$B$5)*((K50-Paramètres!$B$7)/(Paramètres!$B$8-Paramètres!$B$7))^Paramètres!$B$6)*INDEX(Rôles!$B$18:$B$22,AZ50)*INDEX(Rôles!$B$5:$B$13,AY50),0)</f>
        <v>1083</v>
      </c>
      <c r="M50" s="29" t="n">
        <f aca="false" t="array" ref="M50:M50">ROUND(IF(J50="Physique",1,IF(J50="Mixte",Paramètres!$B$32,0))*Paramètres!$B$12*(Paramètres!$B$5+(1-Paramètres!$B$5)*((K50-Paramètres!$B$7)/(Paramètres!$B$8-Paramètres!$B$7))^Paramètres!$B$6)*INDEX(Rôles!$C$18:$C$22,AZ50)*INDEX(Rôles!$C$5:$C$13,AY50)/(Paramètres!$B$35*(1-Paramètres!$B$36)),0)</f>
        <v>149</v>
      </c>
      <c r="N50" s="29" t="n">
        <f aca="false" t="array" ref="N50:N50">ROUND(IF(J50="Magique",1,IF(J50="Mixte",Paramètres!$B$32,0))*Paramètres!$B$12*(Paramètres!$B$5+(1-Paramètres!$B$5)*((K50-Paramètres!$B$7)/(Paramètres!$B$8-Paramètres!$B$7))^Paramètres!$B$6)*INDEX(Rôles!$C$18:$C$22,AZ50)*INDEX(Rôles!$C$5:$C$13,AY50)/(Paramètres!$B$35*(1-Paramètres!$B$36)),0)</f>
        <v>0</v>
      </c>
      <c r="O50" s="29" t="n">
        <f aca="false" t="array" ref="O50:O50">ROUND(Paramètres!$B$18*(Paramètres!$B$5+(1-Paramètres!$B$5)*((K50-Paramètres!$B$7)/(Paramètres!$B$8-Paramètres!$B$7))^Paramètres!$B$6)*INDEX(Rôles!$D$5:$D$13,AY50)*INDEX(Rôles!$D$18:$D$22,AZ50),0)</f>
        <v>248</v>
      </c>
      <c r="P50" s="29" t="n">
        <f aca="false" t="array" ref="P50:P50">ROUND(Paramètres!$B$19*(Paramètres!$B$5+(1-Paramètres!$B$5)*((K50-Paramètres!$B$7)/(Paramètres!$B$8-Paramètres!$B$7))^Paramètres!$B$6)*INDEX(Rôles!$E$5:$E$13,AY50)*INDEX(Rôles!$D$18:$D$22,AZ50),0)</f>
        <v>275</v>
      </c>
      <c r="Q50" s="29" t="n">
        <f aca="false" t="array" ref="Q50:Q50">ROUND(Paramètres!$B$20*(Paramètres!$B$5+(1-Paramètres!$B$5)*((K50-Paramètres!$B$7)/(Paramètres!$B$8-Paramètres!$B$7))^Paramètres!$B$6)*INDEX(Rôles!$F$5:$F$13,AY50),0)</f>
        <v>33</v>
      </c>
      <c r="R50" s="29" t="n">
        <f aca="false">ROUND(Paramètres!$B$64*$AX50*INDEX(Rôles!$N$5:$N$13,$AY50)*INDEX(Rôles!$I$18:$I$22,$AZ50),0)</f>
        <v>32</v>
      </c>
      <c r="S50" s="30" t="n">
        <f aca="false" t="array" ref="S50:S50">MIN(1,ROUND(Paramètres!$B$21*INDEX(Rôles!$G$5:$G$13,AY50),3))</f>
        <v>0.765</v>
      </c>
      <c r="T50" s="30" t="n">
        <f aca="false" t="array" ref="T50:T50">MIN(Paramètres!$B$28,ROUND(Paramètres!$B$22*INDEX(Rôles!$H$5:$H$13,AY50),3))</f>
        <v>0.03</v>
      </c>
      <c r="U50" s="30" t="n">
        <f aca="false" t="array" ref="U50:U50">ROUND(Paramètres!$B$23*INDEX(Rôles!$I$5:$I$13,AY50),3)</f>
        <v>0.5</v>
      </c>
      <c r="V50" s="30" t="n">
        <f aca="false" t="array" ref="V50:V50">MIN(Paramètres!$B$29,ROUND(Paramètres!$B$24*INDEX(Rôles!$J$5:$J$13,AY50),3))</f>
        <v>0.04</v>
      </c>
      <c r="W50" s="30" t="n">
        <f aca="false" t="array" ref="W50:W50">MIN(Paramètres!$B$27,ROUND((Paramètres!$B$25+(Paramètres!$B$26-Paramètres!$B$25)*(K50-Paramètres!$B$7)/(Paramètres!$B$8-Paramètres!$B$7))*INDEX(Rôles!$K$5:$K$13,AY50)+INDEX(Rôles!$G$18:$G$22,AZ50),3))</f>
        <v>0.208</v>
      </c>
      <c r="X50" s="30" t="n">
        <f aca="false">ROUND(1-(1-P50/(P50+(Paramètres!$B$19*(Paramètres!$B$5+(1-Paramètres!$B$5)*((K50-Paramètres!$B$7)/(Paramètres!$B$8-Paramètres!$B$7))^Paramètres!$B$6)*(1-Paramètres!$B$30)/Paramètres!$B$30)))*(1-O50/(O50+(Paramètres!$B$18*(Paramètres!$B$5+(1-Paramètres!$B$5)*((K50-Paramètres!$B$7)/(Paramètres!$B$8-Paramètres!$B$7))^Paramètres!$B$6)*(1-Paramètres!$B$31)/Paramètres!$B$31))),3)</f>
        <v>0.4</v>
      </c>
      <c r="Y50" s="30" t="n">
        <f aca="false">ROUND(O50/(O50+(Paramètres!$B$18*(Paramètres!$B$5+(1-Paramètres!$B$5)*((K50-Paramètres!$B$7)/(Paramètres!$B$8-Paramètres!$B$7))^Paramètres!$B$6)*(1-Paramètres!$B$31)/Paramètres!$B$31)),3)</f>
        <v>0.175</v>
      </c>
      <c r="Z50" s="31" t="n">
        <f aca="false" t="array" ref="Z50:Z50">IF(E50="Neutre",0,MIN(1,INDEX(Rôles!$L$5:$L$13,AY50)+INDEX(Rôles!$F$18:$F$22,AZ50)))</f>
        <v>0.4</v>
      </c>
      <c r="AA50" s="32" t="n">
        <f aca="false" t="array" ref="AA50:AA50">ROUND(INDEX(Rôles!$C$18:$C$22,AZ50)*INDEX(Rôles!$C$5:$C$13,AY50),4)</f>
        <v>0.0143</v>
      </c>
      <c r="AB50" s="33" t="n">
        <f aca="false" t="array" ref="AB50:AB50">ROUND(INDEX(Rôles!$B$18:$B$22,AZ50)*INDEX(Rôles!$B$5:$B$13,AY50),2)</f>
        <v>3</v>
      </c>
      <c r="AC50" s="33" t="n">
        <f aca="false" t="array" ref="AC50:AC50">INDEX(Rôles!$E$18:$E$22,AZ50)</f>
        <v>1</v>
      </c>
      <c r="AD50" s="23" t="str">
        <f aca="false" t="array" ref="AD50:AD50">INDEX(Éléments!$F$5:$F$14,MATCH(E50,Éléments!$A$5:$A$14,0))</f>
        <v>—</v>
      </c>
      <c r="AE50" s="23" t="str">
        <f aca="false" t="array" ref="AE50:AE50">INDEX(Éléments!$G$5:$G$14,MATCH(E50,Éléments!$A$5:$A$14,0))</f>
        <v>Terre, Lumière</v>
      </c>
      <c r="AF50" s="34" t="s">
        <v>252</v>
      </c>
      <c r="AG50" s="35" t="n">
        <v>0.25</v>
      </c>
      <c r="AH50" s="34" t="s">
        <v>251</v>
      </c>
      <c r="AI50" s="35" t="n">
        <v>0.15</v>
      </c>
      <c r="AJ50" s="29" t="n">
        <f aca="false" t="array" ref="AJ50:AJ50">ROUND(ROUND(Paramètres!$B$49*K50^Paramètres!$B$50,0)*INDEX(Rôles!$E$18:$E$22,AZ50),0)</f>
        <v>798</v>
      </c>
      <c r="AK50" s="29" t="n">
        <f aca="false" t="array" ref="AK50:AK50">ROUND(ROUND(Paramètres!$B$53*K50^Paramètres!$B$54,0)*INDEX(Rôles!$E$18:$E$22,AZ50),0)</f>
        <v>590</v>
      </c>
      <c r="AL50" s="36" t="n">
        <f aca="false">INDEX(Butin!$B$7:$B$11,AZ50)</f>
        <v>0.05</v>
      </c>
      <c r="AM50" s="37" t="n">
        <f aca="false">INDEX(Butin!$E$7:$E$11,AZ50)</f>
        <v>0.05</v>
      </c>
      <c r="AN50" s="30" t="n">
        <f aca="false">IF($H50="Boss",INDEX(Butin!$E$28:$K$37,MATCH($B50,Éléments!$C$5:$C$14,1),1),IF($H50="Dragon",INDEX(Butin!$E$41:$K$50,MATCH($B50,Éléments!$C$5:$C$14,1),1),INDEX(Butin!$E$15:$K$24,MATCH($B50,Éléments!$C$5:$C$14,1),1)))</f>
        <v>0.34</v>
      </c>
      <c r="AO50" s="30" t="n">
        <f aca="false">IF($H50="Boss",INDEX(Butin!$E$28:$K$37,MATCH($B50,Éléments!$C$5:$C$14,1),2),IF($H50="Dragon",INDEX(Butin!$E$41:$K$50,MATCH($B50,Éléments!$C$5:$C$14,1),2),INDEX(Butin!$E$15:$K$24,MATCH($B50,Éléments!$C$5:$C$14,1),2)))</f>
        <v>0.32</v>
      </c>
      <c r="AP50" s="30" t="n">
        <f aca="false">IF($H50="Boss",INDEX(Butin!$E$28:$K$37,MATCH($B50,Éléments!$C$5:$C$14,1),3),IF($H50="Dragon",INDEX(Butin!$E$41:$K$50,MATCH($B50,Éléments!$C$5:$C$14,1),3),INDEX(Butin!$E$15:$K$24,MATCH($B50,Éléments!$C$5:$C$14,1),3)))</f>
        <v>0.22</v>
      </c>
      <c r="AQ50" s="30" t="n">
        <f aca="false">IF($H50="Boss",INDEX(Butin!$E$28:$K$37,MATCH($B50,Éléments!$C$5:$C$14,1),4),IF($H50="Dragon",INDEX(Butin!$E$41:$K$50,MATCH($B50,Éléments!$C$5:$C$14,1),4),INDEX(Butin!$E$15:$K$24,MATCH($B50,Éléments!$C$5:$C$14,1),4)))</f>
        <v>0.094</v>
      </c>
      <c r="AR50" s="30" t="n">
        <f aca="false">IF($H50="Boss",INDEX(Butin!$E$28:$K$37,MATCH($B50,Éléments!$C$5:$C$14,1),5),IF($H50="Dragon",INDEX(Butin!$E$41:$K$50,MATCH($B50,Éléments!$C$5:$C$14,1),5),INDEX(Butin!$E$15:$K$24,MATCH($B50,Éléments!$C$5:$C$14,1),5)))</f>
        <v>0.025</v>
      </c>
      <c r="AS50" s="30" t="n">
        <f aca="false">IF($H50="Boss",INDEX(Butin!$E$28:$K$37,MATCH($B50,Éléments!$C$5:$C$14,1),6),IF($H50="Dragon",INDEX(Butin!$E$41:$K$50,MATCH($B50,Éléments!$C$5:$C$14,1),6),INDEX(Butin!$E$15:$K$24,MATCH($B50,Éléments!$C$5:$C$14,1),6)))</f>
        <v>0</v>
      </c>
      <c r="AT50" s="30" t="n">
        <f aca="false">IF($H50="Boss",INDEX(Butin!$E$28:$K$37,MATCH($B50,Éléments!$C$5:$C$14,1),7),IF($H50="Dragon",INDEX(Butin!$E$41:$K$50,MATCH($B50,Éléments!$C$5:$C$14,1),7),INDEX(Butin!$E$15:$K$24,MATCH($B50,Éléments!$C$5:$C$14,1),7)))</f>
        <v>0.001</v>
      </c>
      <c r="AU50" s="38" t="str">
        <f aca="false">IF(AT50=0,"—",INDEX(Butin!$D$54:$D$63,MATCH($B50,Éléments!$C$5:$C$14,1))&amp;" · "&amp;INDEX(Butin!$F$54:$F$63,MATCH($B50,Éléments!$C$5:$C$14,1))&amp;" · "&amp;INDEX(Butin!$H$54:$H$63,MATCH($B50,Éléments!$C$5:$C$14,1)))</f>
        <v>Anneau du Briseur de Remparts · Anneau de l'Alchimiste Fou · Ceinture de l'Alchimiste Chasseur</v>
      </c>
      <c r="AV50" s="20" t="s">
        <v>266</v>
      </c>
      <c r="AW50" s="39" t="str">
        <f aca="false">B50&amp;IF(G50="Oui","|B","|N")</f>
        <v>50|N</v>
      </c>
      <c r="AX50" s="40" t="n">
        <f aca="false">(Paramètres!$B$5+(1-Paramètres!$B$5)*((K50-Paramètres!$B$7)/(Paramètres!$B$8-Paramètres!$B$7))^Paramètres!$B$6)</f>
        <v>0.458504333336152</v>
      </c>
      <c r="AY50" s="39" t="n">
        <f aca="false">MATCH(I50,Rôles!$A$5:$A$13,0)</f>
        <v>2</v>
      </c>
      <c r="AZ50" s="39" t="n">
        <f aca="false">MATCH(H50,Rôles!$A$18:$A$22,0)</f>
        <v>2</v>
      </c>
    </row>
    <row r="51" customFormat="false" ht="15.75" hidden="false" customHeight="true" outlineLevel="0" collapsed="false">
      <c r="A51" s="20" t="s">
        <v>267</v>
      </c>
      <c r="B51" s="21" t="n">
        <v>50</v>
      </c>
      <c r="C51" s="22" t="str">
        <f aca="false" t="array" ref="C51:C51">INDEX(Zones!$B$6:$B$35,MATCH(B51,Zones!$A$6:$A$35,0))</f>
        <v>Marais des morts</v>
      </c>
      <c r="D51" s="23" t="str">
        <f aca="false" t="array" ref="D51:D51">INDEX(Éléments!$B$5:$B$14,MATCH(B51,Éléments!$C$5:$C$14,1))</f>
        <v>Marais</v>
      </c>
      <c r="E51" s="44" t="str">
        <f aca="false" t="array" ref="E51:E51">INDEX(Éléments!$A$5:$A$14,MATCH(B51,Éléments!$C$5:$C$14,1))</f>
        <v>Acide</v>
      </c>
      <c r="F51" s="25" t="s">
        <v>268</v>
      </c>
      <c r="G51" s="23" t="str">
        <f aca="false">IF(OR(H51="Boss",H51="Dragon"),"Oui","Non")</f>
        <v>Non</v>
      </c>
      <c r="H51" s="26" t="s">
        <v>138</v>
      </c>
      <c r="I51" s="26" t="s">
        <v>145</v>
      </c>
      <c r="J51" s="26" t="s">
        <v>140</v>
      </c>
      <c r="K51" s="27" t="n">
        <f aca="false">IF($F$3="",B51,$F$3)</f>
        <v>50</v>
      </c>
      <c r="L51" s="28" t="n">
        <f aca="false" t="array" ref="L51:L51">ROUND(Paramètres!$B$16*(Paramètres!$B$5+(1-Paramètres!$B$5)*((K51-Paramètres!$B$7)/(Paramètres!$B$8-Paramètres!$B$7))^Paramètres!$B$6)*INDEX(Rôles!$B$18:$B$22,AZ51)*INDEX(Rôles!$B$5:$B$13,AY51),0)</f>
        <v>542</v>
      </c>
      <c r="M51" s="29" t="n">
        <f aca="false" t="array" ref="M51:M51">ROUND(IF(J51="Physique",1,IF(J51="Mixte",Paramètres!$B$32,0))*Paramètres!$B$12*(Paramètres!$B$5+(1-Paramètres!$B$5)*((K51-Paramètres!$B$7)/(Paramètres!$B$8-Paramètres!$B$7))^Paramètres!$B$6)*INDEX(Rôles!$C$18:$C$22,AZ51)*INDEX(Rôles!$C$5:$C$13,AY51)/(Paramètres!$B$35*(1-Paramètres!$B$36)),0)</f>
        <v>189</v>
      </c>
      <c r="N51" s="29" t="n">
        <f aca="false" t="array" ref="N51:N51">ROUND(IF(J51="Magique",1,IF(J51="Mixte",Paramètres!$B$32,0))*Paramètres!$B$12*(Paramètres!$B$5+(1-Paramètres!$B$5)*((K51-Paramètres!$B$7)/(Paramètres!$B$8-Paramètres!$B$7))^Paramètres!$B$6)*INDEX(Rôles!$C$18:$C$22,AZ51)*INDEX(Rôles!$C$5:$C$13,AY51)/(Paramètres!$B$35*(1-Paramètres!$B$36)),0)</f>
        <v>0</v>
      </c>
      <c r="O51" s="29" t="n">
        <f aca="false" t="array" ref="O51:O51">ROUND(Paramètres!$B$18*(Paramètres!$B$5+(1-Paramètres!$B$5)*((K51-Paramètres!$B$7)/(Paramètres!$B$8-Paramètres!$B$7))^Paramètres!$B$6)*INDEX(Rôles!$D$5:$D$13,AY51)*INDEX(Rôles!$D$18:$D$22,AZ51),0)</f>
        <v>124</v>
      </c>
      <c r="P51" s="29" t="n">
        <f aca="false" t="array" ref="P51:P51">ROUND(Paramètres!$B$19*(Paramètres!$B$5+(1-Paramètres!$B$5)*((K51-Paramètres!$B$7)/(Paramètres!$B$8-Paramètres!$B$7))^Paramètres!$B$6)*INDEX(Rôles!$E$5:$E$13,AY51)*INDEX(Rôles!$D$18:$D$22,AZ51),0)</f>
        <v>92</v>
      </c>
      <c r="Q51" s="29" t="n">
        <f aca="false" t="array" ref="Q51:Q51">ROUND(Paramètres!$B$20*(Paramètres!$B$5+(1-Paramètres!$B$5)*((K51-Paramètres!$B$7)/(Paramètres!$B$8-Paramètres!$B$7))^Paramètres!$B$6)*INDEX(Rôles!$F$5:$F$13,AY51),0)</f>
        <v>88</v>
      </c>
      <c r="R51" s="29" t="n">
        <f aca="false">ROUND(Paramètres!$B$64*$AX51*INDEX(Rôles!$N$5:$N$13,$AY51)*INDEX(Rôles!$I$18:$I$22,$AZ51),0)</f>
        <v>69</v>
      </c>
      <c r="S51" s="30" t="n">
        <f aca="false" t="array" ref="S51:S51">MIN(1,ROUND(Paramètres!$B$21*INDEX(Rôles!$G$5:$G$13,AY51),3))</f>
        <v>1</v>
      </c>
      <c r="T51" s="30" t="n">
        <f aca="false" t="array" ref="T51:T51">MIN(Paramètres!$B$28,ROUND(Paramètres!$B$22*INDEX(Rôles!$H$5:$H$13,AY51),3))</f>
        <v>0.08</v>
      </c>
      <c r="U51" s="30" t="n">
        <f aca="false" t="array" ref="U51:U51">ROUND(Paramètres!$B$23*INDEX(Rôles!$I$5:$I$13,AY51),3)</f>
        <v>0.7</v>
      </c>
      <c r="V51" s="30" t="n">
        <f aca="false" t="array" ref="V51:V51">MIN(Paramètres!$B$29,ROUND(Paramètres!$B$24*INDEX(Rôles!$J$5:$J$13,AY51),3))</f>
        <v>0.06</v>
      </c>
      <c r="W51" s="30" t="n">
        <f aca="false" t="array" ref="W51:W51">MIN(Paramètres!$B$27,ROUND((Paramètres!$B$25+(Paramètres!$B$26-Paramètres!$B$25)*(K51-Paramètres!$B$7)/(Paramètres!$B$8-Paramètres!$B$7))*INDEX(Rôles!$K$5:$K$13,AY51)+INDEX(Rôles!$G$18:$G$22,AZ51),3))</f>
        <v>0.139</v>
      </c>
      <c r="X51" s="30" t="n">
        <f aca="false">ROUND(1-(1-P51/(P51+(Paramètres!$B$19*(Paramètres!$B$5+(1-Paramètres!$B$5)*((K51-Paramètres!$B$7)/(Paramètres!$B$8-Paramètres!$B$7))^Paramètres!$B$6)*(1-Paramètres!$B$30)/Paramètres!$B$30)))*(1-O51/(O51+(Paramètres!$B$18*(Paramètres!$B$5+(1-Paramètres!$B$5)*((K51-Paramètres!$B$7)/(Paramètres!$B$8-Paramètres!$B$7))^Paramètres!$B$6)*(1-Paramètres!$B$31)/Paramètres!$B$31))),3)</f>
        <v>0.197</v>
      </c>
      <c r="Y51" s="30" t="n">
        <f aca="false">ROUND(O51/(O51+(Paramètres!$B$18*(Paramètres!$B$5+(1-Paramètres!$B$5)*((K51-Paramètres!$B$7)/(Paramètres!$B$8-Paramètres!$B$7))^Paramètres!$B$6)*(1-Paramètres!$B$31)/Paramètres!$B$31)),3)</f>
        <v>0.096</v>
      </c>
      <c r="Z51" s="31" t="n">
        <f aca="false" t="array" ref="Z51:Z51">IF(E51="Neutre",0,MIN(1,INDEX(Rôles!$L$5:$L$13,AY51)+INDEX(Rôles!$F$18:$F$22,AZ51)))</f>
        <v>0.5</v>
      </c>
      <c r="AA51" s="32" t="n">
        <f aca="false" t="array" ref="AA51:AA51">ROUND(INDEX(Rôles!$C$18:$C$22,AZ51)*INDEX(Rôles!$C$5:$C$13,AY51),4)</f>
        <v>0.018</v>
      </c>
      <c r="AB51" s="33" t="n">
        <f aca="false" t="array" ref="AB51:AB51">ROUND(INDEX(Rôles!$B$18:$B$22,AZ51)*INDEX(Rôles!$B$5:$B$13,AY51),2)</f>
        <v>1.5</v>
      </c>
      <c r="AC51" s="33" t="n">
        <f aca="false" t="array" ref="AC51:AC51">INDEX(Rôles!$E$18:$E$22,AZ51)</f>
        <v>1</v>
      </c>
      <c r="AD51" s="23" t="str">
        <f aca="false" t="array" ref="AD51:AD51">INDEX(Éléments!$F$5:$F$14,MATCH(E51,Éléments!$A$5:$A$14,0))</f>
        <v>—</v>
      </c>
      <c r="AE51" s="23" t="str">
        <f aca="false" t="array" ref="AE51:AE51">INDEX(Éléments!$G$5:$G$14,MATCH(E51,Éléments!$A$5:$A$14,0))</f>
        <v>Terre, Lumière</v>
      </c>
      <c r="AF51" s="34" t="s">
        <v>252</v>
      </c>
      <c r="AG51" s="35" t="n">
        <v>0.3</v>
      </c>
      <c r="AH51" s="34" t="s">
        <v>141</v>
      </c>
      <c r="AI51" s="35" t="n">
        <v>0.2</v>
      </c>
      <c r="AJ51" s="29" t="n">
        <f aca="false" t="array" ref="AJ51:AJ51">ROUND(ROUND(Paramètres!$B$49*K51^Paramètres!$B$50,0)*INDEX(Rôles!$E$18:$E$22,AZ51),0)</f>
        <v>798</v>
      </c>
      <c r="AK51" s="29" t="n">
        <f aca="false" t="array" ref="AK51:AK51">ROUND(ROUND(Paramètres!$B$53*K51^Paramètres!$B$54,0)*INDEX(Rôles!$E$18:$E$22,AZ51),0)</f>
        <v>590</v>
      </c>
      <c r="AL51" s="36" t="n">
        <f aca="false">INDEX(Butin!$B$7:$B$11,AZ51)</f>
        <v>0.05</v>
      </c>
      <c r="AM51" s="37" t="n">
        <f aca="false">INDEX(Butin!$E$7:$E$11,AZ51)</f>
        <v>0.05</v>
      </c>
      <c r="AN51" s="30" t="n">
        <f aca="false">IF($H51="Boss",INDEX(Butin!$E$28:$K$37,MATCH($B51,Éléments!$C$5:$C$14,1),1),IF($H51="Dragon",INDEX(Butin!$E$41:$K$50,MATCH($B51,Éléments!$C$5:$C$14,1),1),INDEX(Butin!$E$15:$K$24,MATCH($B51,Éléments!$C$5:$C$14,1),1)))</f>
        <v>0.34</v>
      </c>
      <c r="AO51" s="30" t="n">
        <f aca="false">IF($H51="Boss",INDEX(Butin!$E$28:$K$37,MATCH($B51,Éléments!$C$5:$C$14,1),2),IF($H51="Dragon",INDEX(Butin!$E$41:$K$50,MATCH($B51,Éléments!$C$5:$C$14,1),2),INDEX(Butin!$E$15:$K$24,MATCH($B51,Éléments!$C$5:$C$14,1),2)))</f>
        <v>0.32</v>
      </c>
      <c r="AP51" s="30" t="n">
        <f aca="false">IF($H51="Boss",INDEX(Butin!$E$28:$K$37,MATCH($B51,Éléments!$C$5:$C$14,1),3),IF($H51="Dragon",INDEX(Butin!$E$41:$K$50,MATCH($B51,Éléments!$C$5:$C$14,1),3),INDEX(Butin!$E$15:$K$24,MATCH($B51,Éléments!$C$5:$C$14,1),3)))</f>
        <v>0.22</v>
      </c>
      <c r="AQ51" s="30" t="n">
        <f aca="false">IF($H51="Boss",INDEX(Butin!$E$28:$K$37,MATCH($B51,Éléments!$C$5:$C$14,1),4),IF($H51="Dragon",INDEX(Butin!$E$41:$K$50,MATCH($B51,Éléments!$C$5:$C$14,1),4),INDEX(Butin!$E$15:$K$24,MATCH($B51,Éléments!$C$5:$C$14,1),4)))</f>
        <v>0.094</v>
      </c>
      <c r="AR51" s="30" t="n">
        <f aca="false">IF($H51="Boss",INDEX(Butin!$E$28:$K$37,MATCH($B51,Éléments!$C$5:$C$14,1),5),IF($H51="Dragon",INDEX(Butin!$E$41:$K$50,MATCH($B51,Éléments!$C$5:$C$14,1),5),INDEX(Butin!$E$15:$K$24,MATCH($B51,Éléments!$C$5:$C$14,1),5)))</f>
        <v>0.025</v>
      </c>
      <c r="AS51" s="30" t="n">
        <f aca="false">IF($H51="Boss",INDEX(Butin!$E$28:$K$37,MATCH($B51,Éléments!$C$5:$C$14,1),6),IF($H51="Dragon",INDEX(Butin!$E$41:$K$50,MATCH($B51,Éléments!$C$5:$C$14,1),6),INDEX(Butin!$E$15:$K$24,MATCH($B51,Éléments!$C$5:$C$14,1),6)))</f>
        <v>0</v>
      </c>
      <c r="AT51" s="30" t="n">
        <f aca="false">IF($H51="Boss",INDEX(Butin!$E$28:$K$37,MATCH($B51,Éléments!$C$5:$C$14,1),7),IF($H51="Dragon",INDEX(Butin!$E$41:$K$50,MATCH($B51,Éléments!$C$5:$C$14,1),7),INDEX(Butin!$E$15:$K$24,MATCH($B51,Éléments!$C$5:$C$14,1),7)))</f>
        <v>0.001</v>
      </c>
      <c r="AU51" s="38" t="str">
        <f aca="false">IF(AT51=0,"—",INDEX(Butin!$D$54:$D$63,MATCH($B51,Éléments!$C$5:$C$14,1))&amp;" · "&amp;INDEX(Butin!$F$54:$F$63,MATCH($B51,Éléments!$C$5:$C$14,1))&amp;" · "&amp;INDEX(Butin!$H$54:$H$63,MATCH($B51,Éléments!$C$5:$C$14,1)))</f>
        <v>Anneau du Briseur de Remparts · Anneau de l'Alchimiste Fou · Ceinture de l'Alchimiste Chasseur</v>
      </c>
      <c r="AV51" s="20" t="s">
        <v>268</v>
      </c>
      <c r="AW51" s="39" t="str">
        <f aca="false">B51&amp;IF(G51="Oui","|B","|N")</f>
        <v>50|N</v>
      </c>
      <c r="AX51" s="40" t="n">
        <f aca="false">(Paramètres!$B$5+(1-Paramètres!$B$5)*((K51-Paramètres!$B$7)/(Paramètres!$B$8-Paramètres!$B$7))^Paramètres!$B$6)</f>
        <v>0.458504333336152</v>
      </c>
      <c r="AY51" s="39" t="n">
        <f aca="false">MATCH(I51,Rôles!$A$5:$A$13,0)</f>
        <v>7</v>
      </c>
      <c r="AZ51" s="39" t="n">
        <f aca="false">MATCH(H51,Rôles!$A$18:$A$22,0)</f>
        <v>2</v>
      </c>
    </row>
    <row r="52" customFormat="false" ht="15.75" hidden="false" customHeight="true" outlineLevel="0" collapsed="false">
      <c r="A52" s="20" t="s">
        <v>269</v>
      </c>
      <c r="B52" s="21" t="n">
        <v>50</v>
      </c>
      <c r="C52" s="22" t="str">
        <f aca="false" t="array" ref="C52:C52">INDEX(Zones!$B$6:$B$35,MATCH(B52,Zones!$A$6:$A$35,0))</f>
        <v>Marais des morts</v>
      </c>
      <c r="D52" s="23" t="str">
        <f aca="false" t="array" ref="D52:D52">INDEX(Éléments!$B$5:$B$14,MATCH(B52,Éléments!$C$5:$C$14,1))</f>
        <v>Marais</v>
      </c>
      <c r="E52" s="44" t="str">
        <f aca="false" t="array" ref="E52:E52">INDEX(Éléments!$A$5:$A$14,MATCH(B52,Éléments!$C$5:$C$14,1))</f>
        <v>Acide</v>
      </c>
      <c r="F52" s="25" t="s">
        <v>270</v>
      </c>
      <c r="G52" s="23" t="str">
        <f aca="false">IF(OR(H52="Boss",H52="Dragon"),"Oui","Non")</f>
        <v>Non</v>
      </c>
      <c r="H52" s="26" t="s">
        <v>148</v>
      </c>
      <c r="I52" s="26" t="s">
        <v>149</v>
      </c>
      <c r="J52" s="26" t="s">
        <v>140</v>
      </c>
      <c r="K52" s="27" t="n">
        <f aca="false">IF($F$3="",B52,$F$3)</f>
        <v>50</v>
      </c>
      <c r="L52" s="28" t="n">
        <f aca="false" t="array" ref="L52:L52">ROUND(Paramètres!$B$16*(Paramètres!$B$5+(1-Paramètres!$B$5)*((K52-Paramètres!$B$7)/(Paramètres!$B$8-Paramètres!$B$7))^Paramètres!$B$6)*INDEX(Rôles!$B$18:$B$22,AZ52)*INDEX(Rôles!$B$5:$B$13,AY52),0)</f>
        <v>1517</v>
      </c>
      <c r="M52" s="29" t="n">
        <f aca="false" t="array" ref="M52:M52">ROUND(IF(J52="Physique",1,IF(J52="Mixte",Paramètres!$B$32,0))*Paramètres!$B$12*(Paramètres!$B$5+(1-Paramètres!$B$5)*((K52-Paramètres!$B$7)/(Paramètres!$B$8-Paramètres!$B$7))^Paramètres!$B$6)*INDEX(Rôles!$C$18:$C$22,AZ52)*INDEX(Rôles!$C$5:$C$13,AY52)/(Paramètres!$B$35*(1-Paramètres!$B$36)),0)</f>
        <v>189</v>
      </c>
      <c r="N52" s="29" t="n">
        <f aca="false" t="array" ref="N52:N52">ROUND(IF(J52="Magique",1,IF(J52="Mixte",Paramètres!$B$32,0))*Paramètres!$B$12*(Paramètres!$B$5+(1-Paramètres!$B$5)*((K52-Paramètres!$B$7)/(Paramètres!$B$8-Paramètres!$B$7))^Paramètres!$B$6)*INDEX(Rôles!$C$18:$C$22,AZ52)*INDEX(Rôles!$C$5:$C$13,AY52)/(Paramètres!$B$35*(1-Paramètres!$B$36)),0)</f>
        <v>0</v>
      </c>
      <c r="O52" s="29" t="n">
        <f aca="false" t="array" ref="O52:O52">ROUND(Paramètres!$B$18*(Paramètres!$B$5+(1-Paramètres!$B$5)*((K52-Paramètres!$B$7)/(Paramètres!$B$8-Paramètres!$B$7))^Paramètres!$B$6)*INDEX(Rôles!$D$5:$D$13,AY52)*INDEX(Rôles!$D$18:$D$22,AZ52),0)</f>
        <v>285</v>
      </c>
      <c r="P52" s="29" t="n">
        <f aca="false" t="array" ref="P52:P52">ROUND(Paramètres!$B$19*(Paramètres!$B$5+(1-Paramètres!$B$5)*((K52-Paramètres!$B$7)/(Paramètres!$B$8-Paramètres!$B$7))^Paramètres!$B$6)*INDEX(Rôles!$E$5:$E$13,AY52)*INDEX(Rôles!$D$18:$D$22,AZ52),0)</f>
        <v>316</v>
      </c>
      <c r="Q52" s="29" t="n">
        <f aca="false" t="array" ref="Q52:Q52">ROUND(Paramètres!$B$20*(Paramètres!$B$5+(1-Paramètres!$B$5)*((K52-Paramètres!$B$7)/(Paramètres!$B$8-Paramètres!$B$7))^Paramètres!$B$6)*INDEX(Rôles!$F$5:$F$13,AY52),0)</f>
        <v>33</v>
      </c>
      <c r="R52" s="29" t="n">
        <f aca="false">ROUND(Paramètres!$B$64*$AX52*INDEX(Rôles!$N$5:$N$13,$AY52)*INDEX(Rôles!$I$18:$I$22,$AZ52),0)</f>
        <v>34</v>
      </c>
      <c r="S52" s="30" t="n">
        <f aca="false" t="array" ref="S52:S52">MIN(1,ROUND(Paramètres!$B$21*INDEX(Rôles!$G$5:$G$13,AY52),3))</f>
        <v>0.765</v>
      </c>
      <c r="T52" s="30" t="n">
        <f aca="false" t="array" ref="T52:T52">MIN(Paramètres!$B$28,ROUND(Paramètres!$B$22*INDEX(Rôles!$H$5:$H$13,AY52),3))</f>
        <v>0.03</v>
      </c>
      <c r="U52" s="30" t="n">
        <f aca="false" t="array" ref="U52:U52">ROUND(Paramètres!$B$23*INDEX(Rôles!$I$5:$I$13,AY52),3)</f>
        <v>0.5</v>
      </c>
      <c r="V52" s="30" t="n">
        <f aca="false" t="array" ref="V52:V52">MIN(Paramètres!$B$29,ROUND(Paramètres!$B$24*INDEX(Rôles!$J$5:$J$13,AY52),3))</f>
        <v>0.04</v>
      </c>
      <c r="W52" s="30" t="n">
        <f aca="false" t="array" ref="W52:W52">MIN(Paramètres!$B$27,ROUND((Paramètres!$B$25+(Paramètres!$B$26-Paramètres!$B$25)*(K52-Paramètres!$B$7)/(Paramètres!$B$8-Paramètres!$B$7))*INDEX(Rôles!$K$5:$K$13,AY52)+INDEX(Rôles!$G$18:$G$22,AZ52),3))</f>
        <v>0.208</v>
      </c>
      <c r="X52" s="30" t="n">
        <f aca="false">ROUND(1-(1-P52/(P52+(Paramètres!$B$19*(Paramètres!$B$5+(1-Paramètres!$B$5)*((K52-Paramètres!$B$7)/(Paramètres!$B$8-Paramètres!$B$7))^Paramètres!$B$6)*(1-Paramètres!$B$30)/Paramètres!$B$30)))*(1-O52/(O52+(Paramètres!$B$18*(Paramètres!$B$5+(1-Paramètres!$B$5)*((K52-Paramètres!$B$7)/(Paramètres!$B$8-Paramètres!$B$7))^Paramètres!$B$6)*(1-Paramètres!$B$31)/Paramètres!$B$31))),3)</f>
        <v>0.438</v>
      </c>
      <c r="Y52" s="30" t="n">
        <f aca="false">ROUND(O52/(O52+(Paramètres!$B$18*(Paramètres!$B$5+(1-Paramètres!$B$5)*((K52-Paramètres!$B$7)/(Paramètres!$B$8-Paramètres!$B$7))^Paramètres!$B$6)*(1-Paramètres!$B$31)/Paramètres!$B$31)),3)</f>
        <v>0.196</v>
      </c>
      <c r="Z52" s="31" t="n">
        <f aca="false" t="array" ref="Z52:Z52">IF(E52="Neutre",0,MIN(1,INDEX(Rôles!$L$5:$L$13,AY52)+INDEX(Rôles!$F$18:$F$22,AZ52)))</f>
        <v>0.4</v>
      </c>
      <c r="AA52" s="32" t="n">
        <f aca="false" t="array" ref="AA52:AA52">ROUND(INDEX(Rôles!$C$18:$C$22,AZ52)*INDEX(Rôles!$C$5:$C$13,AY52),4)</f>
        <v>0.0181</v>
      </c>
      <c r="AB52" s="33" t="n">
        <f aca="false" t="array" ref="AB52:AB52">ROUND(INDEX(Rôles!$B$18:$B$22,AZ52)*INDEX(Rôles!$B$5:$B$13,AY52),2)</f>
        <v>4.2</v>
      </c>
      <c r="AC52" s="33" t="n">
        <f aca="false" t="array" ref="AC52:AC52">INDEX(Rôles!$E$18:$E$22,AZ52)</f>
        <v>1.4</v>
      </c>
      <c r="AD52" s="23" t="str">
        <f aca="false" t="array" ref="AD52:AD52">INDEX(Éléments!$F$5:$F$14,MATCH(E52,Éléments!$A$5:$A$14,0))</f>
        <v>—</v>
      </c>
      <c r="AE52" s="23" t="str">
        <f aca="false" t="array" ref="AE52:AE52">INDEX(Éléments!$G$5:$G$14,MATCH(E52,Éléments!$A$5:$A$14,0))</f>
        <v>Terre, Lumière</v>
      </c>
      <c r="AF52" s="34" t="s">
        <v>252</v>
      </c>
      <c r="AG52" s="35" t="n">
        <v>0.3</v>
      </c>
      <c r="AH52" s="34" t="s">
        <v>251</v>
      </c>
      <c r="AI52" s="35" t="n">
        <v>0.2</v>
      </c>
      <c r="AJ52" s="29" t="n">
        <f aca="false" t="array" ref="AJ52:AJ52">ROUND(ROUND(Paramètres!$B$49*K52^Paramètres!$B$50,0)*INDEX(Rôles!$E$18:$E$22,AZ52),0)</f>
        <v>1117</v>
      </c>
      <c r="AK52" s="29" t="n">
        <f aca="false" t="array" ref="AK52:AK52">ROUND(ROUND(Paramètres!$B$53*K52^Paramètres!$B$54,0)*INDEX(Rôles!$E$18:$E$22,AZ52),0)</f>
        <v>826</v>
      </c>
      <c r="AL52" s="36" t="n">
        <f aca="false">INDEX(Butin!$B$7:$B$11,AZ52)</f>
        <v>0.08</v>
      </c>
      <c r="AM52" s="37" t="n">
        <f aca="false">INDEX(Butin!$E$7:$E$11,AZ52)</f>
        <v>0.08</v>
      </c>
      <c r="AN52" s="30" t="n">
        <f aca="false">IF($H52="Boss",INDEX(Butin!$E$28:$K$37,MATCH($B52,Éléments!$C$5:$C$14,1),1),IF($H52="Dragon",INDEX(Butin!$E$41:$K$50,MATCH($B52,Éléments!$C$5:$C$14,1),1),INDEX(Butin!$E$15:$K$24,MATCH($B52,Éléments!$C$5:$C$14,1),1)))</f>
        <v>0.34</v>
      </c>
      <c r="AO52" s="30" t="n">
        <f aca="false">IF($H52="Boss",INDEX(Butin!$E$28:$K$37,MATCH($B52,Éléments!$C$5:$C$14,1),2),IF($H52="Dragon",INDEX(Butin!$E$41:$K$50,MATCH($B52,Éléments!$C$5:$C$14,1),2),INDEX(Butin!$E$15:$K$24,MATCH($B52,Éléments!$C$5:$C$14,1),2)))</f>
        <v>0.32</v>
      </c>
      <c r="AP52" s="30" t="n">
        <f aca="false">IF($H52="Boss",INDEX(Butin!$E$28:$K$37,MATCH($B52,Éléments!$C$5:$C$14,1),3),IF($H52="Dragon",INDEX(Butin!$E$41:$K$50,MATCH($B52,Éléments!$C$5:$C$14,1),3),INDEX(Butin!$E$15:$K$24,MATCH($B52,Éléments!$C$5:$C$14,1),3)))</f>
        <v>0.22</v>
      </c>
      <c r="AQ52" s="30" t="n">
        <f aca="false">IF($H52="Boss",INDEX(Butin!$E$28:$K$37,MATCH($B52,Éléments!$C$5:$C$14,1),4),IF($H52="Dragon",INDEX(Butin!$E$41:$K$50,MATCH($B52,Éléments!$C$5:$C$14,1),4),INDEX(Butin!$E$15:$K$24,MATCH($B52,Éléments!$C$5:$C$14,1),4)))</f>
        <v>0.094</v>
      </c>
      <c r="AR52" s="30" t="n">
        <f aca="false">IF($H52="Boss",INDEX(Butin!$E$28:$K$37,MATCH($B52,Éléments!$C$5:$C$14,1),5),IF($H52="Dragon",INDEX(Butin!$E$41:$K$50,MATCH($B52,Éléments!$C$5:$C$14,1),5),INDEX(Butin!$E$15:$K$24,MATCH($B52,Éléments!$C$5:$C$14,1),5)))</f>
        <v>0.025</v>
      </c>
      <c r="AS52" s="30" t="n">
        <f aca="false">IF($H52="Boss",INDEX(Butin!$E$28:$K$37,MATCH($B52,Éléments!$C$5:$C$14,1),6),IF($H52="Dragon",INDEX(Butin!$E$41:$K$50,MATCH($B52,Éléments!$C$5:$C$14,1),6),INDEX(Butin!$E$15:$K$24,MATCH($B52,Éléments!$C$5:$C$14,1),6)))</f>
        <v>0</v>
      </c>
      <c r="AT52" s="30" t="n">
        <f aca="false">IF($H52="Boss",INDEX(Butin!$E$28:$K$37,MATCH($B52,Éléments!$C$5:$C$14,1),7),IF($H52="Dragon",INDEX(Butin!$E$41:$K$50,MATCH($B52,Éléments!$C$5:$C$14,1),7),INDEX(Butin!$E$15:$K$24,MATCH($B52,Éléments!$C$5:$C$14,1),7)))</f>
        <v>0.001</v>
      </c>
      <c r="AU52" s="38" t="str">
        <f aca="false">IF(AT52=0,"—",INDEX(Butin!$D$54:$D$63,MATCH($B52,Éléments!$C$5:$C$14,1))&amp;" · "&amp;INDEX(Butin!$F$54:$F$63,MATCH($B52,Éléments!$C$5:$C$14,1))&amp;" · "&amp;INDEX(Butin!$H$54:$H$63,MATCH($B52,Éléments!$C$5:$C$14,1)))</f>
        <v>Anneau du Briseur de Remparts · Anneau de l'Alchimiste Fou · Ceinture de l'Alchimiste Chasseur</v>
      </c>
      <c r="AV52" s="20" t="s">
        <v>270</v>
      </c>
      <c r="AW52" s="39" t="str">
        <f aca="false">B52&amp;IF(G52="Oui","|B","|N")</f>
        <v>50|N</v>
      </c>
      <c r="AX52" s="40" t="n">
        <f aca="false">(Paramètres!$B$5+(1-Paramètres!$B$5)*((K52-Paramètres!$B$7)/(Paramètres!$B$8-Paramètres!$B$7))^Paramètres!$B$6)</f>
        <v>0.458504333336152</v>
      </c>
      <c r="AY52" s="39" t="n">
        <f aca="false">MATCH(I52,Rôles!$A$5:$A$13,0)</f>
        <v>2</v>
      </c>
      <c r="AZ52" s="39" t="n">
        <f aca="false">MATCH(H52,Rôles!$A$18:$A$22,0)</f>
        <v>3</v>
      </c>
    </row>
    <row r="53" customFormat="false" ht="15.75" hidden="false" customHeight="true" outlineLevel="0" collapsed="false">
      <c r="A53" s="20" t="s">
        <v>271</v>
      </c>
      <c r="B53" s="21" t="n">
        <v>55</v>
      </c>
      <c r="C53" s="22" t="str">
        <f aca="false" t="array" ref="C53:C53">INDEX(Zones!$B$6:$B$35,MATCH(B53,Zones!$A$6:$A$35,0))</f>
        <v>Océan profond</v>
      </c>
      <c r="D53" s="23" t="str">
        <f aca="false" t="array" ref="D53:D53">INDEX(Éléments!$B$5:$B$14,MATCH(B53,Éléments!$C$5:$C$14,1))</f>
        <v>Océan / Île</v>
      </c>
      <c r="E53" s="45" t="str">
        <f aca="false" t="array" ref="E53:E53">INDEX(Éléments!$A$5:$A$14,MATCH(B53,Éléments!$C$5:$C$14,1))</f>
        <v>Eau</v>
      </c>
      <c r="F53" s="25" t="s">
        <v>272</v>
      </c>
      <c r="G53" s="23" t="str">
        <f aca="false">IF(OR(H53="Boss",H53="Dragon"),"Oui","Non")</f>
        <v>Oui</v>
      </c>
      <c r="H53" s="26" t="s">
        <v>152</v>
      </c>
      <c r="I53" s="26" t="s">
        <v>149</v>
      </c>
      <c r="J53" s="26" t="s">
        <v>140</v>
      </c>
      <c r="K53" s="27" t="n">
        <f aca="false">IF($F$3="",B53,$F$3)</f>
        <v>55</v>
      </c>
      <c r="L53" s="28" t="n">
        <f aca="false" t="array" ref="L53:L53">ROUND(Paramètres!$B$16*(Paramètres!$B$5+(1-Paramètres!$B$5)*((K53-Paramètres!$B$7)/(Paramètres!$B$8-Paramètres!$B$7))^Paramètres!$B$6)*INDEX(Rôles!$B$18:$B$22,AZ53)*INDEX(Rôles!$B$5:$B$13,AY53),0)</f>
        <v>7215</v>
      </c>
      <c r="M53" s="29" t="n">
        <f aca="false" t="array" ref="M53:M53">ROUND(IF(J53="Physique",1,IF(J53="Mixte",Paramètres!$B$32,0))*Paramètres!$B$12*(Paramètres!$B$5+(1-Paramètres!$B$5)*((K53-Paramètres!$B$7)/(Paramètres!$B$8-Paramètres!$B$7))^Paramètres!$B$6)*INDEX(Rôles!$C$18:$C$22,AZ53)*INDEX(Rôles!$C$5:$C$13,AY53)/(Paramètres!$B$35*(1-Paramètres!$B$36)),0)</f>
        <v>332</v>
      </c>
      <c r="N53" s="29" t="n">
        <f aca="false" t="array" ref="N53:N53">ROUND(IF(J53="Magique",1,IF(J53="Mixte",Paramètres!$B$32,0))*Paramètres!$B$12*(Paramètres!$B$5+(1-Paramètres!$B$5)*((K53-Paramètres!$B$7)/(Paramètres!$B$8-Paramètres!$B$7))^Paramètres!$B$6)*INDEX(Rôles!$C$18:$C$22,AZ53)*INDEX(Rôles!$C$5:$C$13,AY53)/(Paramètres!$B$35*(1-Paramètres!$B$36)),0)</f>
        <v>0</v>
      </c>
      <c r="O53" s="29" t="n">
        <f aca="false" t="array" ref="O53:O53">ROUND(Paramètres!$B$18*(Paramètres!$B$5+(1-Paramètres!$B$5)*((K53-Paramètres!$B$7)/(Paramètres!$B$8-Paramètres!$B$7))^Paramètres!$B$6)*INDEX(Rôles!$D$5:$D$13,AY53)*INDEX(Rôles!$D$18:$D$22,AZ53),0)</f>
        <v>357</v>
      </c>
      <c r="P53" s="29" t="n">
        <f aca="false" t="array" ref="P53:P53">ROUND(Paramètres!$B$19*(Paramètres!$B$5+(1-Paramètres!$B$5)*((K53-Paramètres!$B$7)/(Paramètres!$B$8-Paramètres!$B$7))^Paramètres!$B$6)*INDEX(Rôles!$E$5:$E$13,AY53)*INDEX(Rôles!$D$18:$D$22,AZ53),0)</f>
        <v>397</v>
      </c>
      <c r="Q53" s="29" t="n">
        <f aca="false" t="array" ref="Q53:Q53">ROUND(Paramètres!$B$20*(Paramètres!$B$5+(1-Paramètres!$B$5)*((K53-Paramètres!$B$7)/(Paramètres!$B$8-Paramètres!$B$7))^Paramètres!$B$6)*INDEX(Rôles!$F$5:$F$13,AY53),0)</f>
        <v>37</v>
      </c>
      <c r="R53" s="29" t="n">
        <f aca="false">ROUND(Paramètres!$B$64*$AX53*INDEX(Rôles!$N$5:$N$13,$AY53)*INDEX(Rôles!$I$18:$I$22,$AZ53),0)</f>
        <v>41</v>
      </c>
      <c r="S53" s="30" t="n">
        <f aca="false" t="array" ref="S53:S53">MIN(1,ROUND(Paramètres!$B$21*INDEX(Rôles!$G$5:$G$13,AY53),3))</f>
        <v>0.765</v>
      </c>
      <c r="T53" s="30" t="n">
        <f aca="false" t="array" ref="T53:T53">MIN(Paramètres!$B$28,ROUND(Paramètres!$B$22*INDEX(Rôles!$H$5:$H$13,AY53),3))</f>
        <v>0.03</v>
      </c>
      <c r="U53" s="30" t="n">
        <f aca="false" t="array" ref="U53:U53">ROUND(Paramètres!$B$23*INDEX(Rôles!$I$5:$I$13,AY53),3)</f>
        <v>0.5</v>
      </c>
      <c r="V53" s="30" t="n">
        <f aca="false" t="array" ref="V53:V53">MIN(Paramètres!$B$29,ROUND(Paramètres!$B$24*INDEX(Rôles!$J$5:$J$13,AY53),3))</f>
        <v>0.04</v>
      </c>
      <c r="W53" s="30" t="n">
        <f aca="false" t="array" ref="W53:W53">MIN(Paramètres!$B$27,ROUND((Paramètres!$B$25+(Paramètres!$B$26-Paramètres!$B$25)*(K53-Paramètres!$B$7)/(Paramètres!$B$8-Paramètres!$B$7))*INDEX(Rôles!$K$5:$K$13,AY53)+INDEX(Rôles!$G$18:$G$22,AZ53),3))</f>
        <v>0.424</v>
      </c>
      <c r="X53" s="30" t="n">
        <f aca="false">ROUND(1-(1-P53/(P53+(Paramètres!$B$19*(Paramètres!$B$5+(1-Paramètres!$B$5)*((K53-Paramètres!$B$7)/(Paramètres!$B$8-Paramètres!$B$7))^Paramètres!$B$6)*(1-Paramètres!$B$30)/Paramètres!$B$30)))*(1-O53/(O53+(Paramètres!$B$18*(Paramètres!$B$5+(1-Paramètres!$B$5)*((K53-Paramètres!$B$7)/(Paramètres!$B$8-Paramètres!$B$7))^Paramètres!$B$6)*(1-Paramètres!$B$31)/Paramètres!$B$31))),3)</f>
        <v>0.473</v>
      </c>
      <c r="Y53" s="30" t="n">
        <f aca="false">ROUND(O53/(O53+(Paramètres!$B$18*(Paramètres!$B$5+(1-Paramètres!$B$5)*((K53-Paramètres!$B$7)/(Paramètres!$B$8-Paramètres!$B$7))^Paramètres!$B$6)*(1-Paramètres!$B$31)/Paramètres!$B$31)),3)</f>
        <v>0.216</v>
      </c>
      <c r="Z53" s="31" t="n">
        <f aca="false" t="array" ref="Z53:Z53">IF(E53="Neutre",0,MIN(1,INDEX(Rôles!$L$5:$L$13,AY53)+INDEX(Rôles!$F$18:$F$22,AZ53)))</f>
        <v>0.6</v>
      </c>
      <c r="AA53" s="32" t="n">
        <f aca="false" t="array" ref="AA53:AA53">ROUND(INDEX(Rôles!$C$18:$C$22,AZ53)*INDEX(Rôles!$C$5:$C$13,AY53),4)</f>
        <v>0.0285</v>
      </c>
      <c r="AB53" s="33" t="n">
        <f aca="false" t="array" ref="AB53:AB53">ROUND(INDEX(Rôles!$B$18:$B$22,AZ53)*INDEX(Rôles!$B$5:$B$13,AY53),2)</f>
        <v>18</v>
      </c>
      <c r="AC53" s="33" t="n">
        <f aca="false" t="array" ref="AC53:AC53">INDEX(Rôles!$E$18:$E$22,AZ53)</f>
        <v>8</v>
      </c>
      <c r="AD53" s="23" t="str">
        <f aca="false" t="array" ref="AD53:AD53">INDEX(Éléments!$F$5:$F$14,MATCH(E53,Éléments!$A$5:$A$14,0))</f>
        <v>Électricité</v>
      </c>
      <c r="AE53" s="23" t="str">
        <f aca="false" t="array" ref="AE53:AE53">INDEX(Éléments!$G$5:$G$14,MATCH(E53,Éléments!$A$5:$A$14,0))</f>
        <v>Feu</v>
      </c>
      <c r="AF53" s="34" t="s">
        <v>273</v>
      </c>
      <c r="AG53" s="35" t="n">
        <v>0.35</v>
      </c>
      <c r="AH53" s="34" t="s">
        <v>142</v>
      </c>
      <c r="AI53" s="35" t="n">
        <v>0.3</v>
      </c>
      <c r="AJ53" s="29" t="n">
        <f aca="false" t="array" ref="AJ53:AJ53">ROUND(ROUND(Paramètres!$B$49*K53^Paramètres!$B$50,0)*INDEX(Rôles!$E$18:$E$22,AZ53),0)</f>
        <v>7192</v>
      </c>
      <c r="AK53" s="29" t="n">
        <f aca="false" t="array" ref="AK53:AK53">ROUND(ROUND(Paramètres!$B$53*K53^Paramètres!$B$54,0)*INDEX(Rôles!$E$18:$E$22,AZ53),0)</f>
        <v>5368</v>
      </c>
      <c r="AL53" s="36" t="n">
        <f aca="false">INDEX(Butin!$B$7:$B$11,AZ53)</f>
        <v>1</v>
      </c>
      <c r="AM53" s="37" t="n">
        <f aca="false">INDEX(Butin!$E$7:$E$11,AZ53)</f>
        <v>1.4</v>
      </c>
      <c r="AN53" s="30" t="n">
        <f aca="false">IF($H53="Boss",INDEX(Butin!$E$28:$K$37,MATCH($B53,Éléments!$C$5:$C$14,1),1),IF($H53="Dragon",INDEX(Butin!$E$41:$K$50,MATCH($B53,Éléments!$C$5:$C$14,1),1),INDEX(Butin!$E$15:$K$24,MATCH($B53,Éléments!$C$5:$C$14,1),1)))</f>
        <v>0.05</v>
      </c>
      <c r="AO53" s="30" t="n">
        <f aca="false">IF($H53="Boss",INDEX(Butin!$E$28:$K$37,MATCH($B53,Éléments!$C$5:$C$14,1),2),IF($H53="Dragon",INDEX(Butin!$E$41:$K$50,MATCH($B53,Éléments!$C$5:$C$14,1),2),INDEX(Butin!$E$15:$K$24,MATCH($B53,Éléments!$C$5:$C$14,1),2)))</f>
        <v>0.17</v>
      </c>
      <c r="AP53" s="30" t="n">
        <f aca="false">IF($H53="Boss",INDEX(Butin!$E$28:$K$37,MATCH($B53,Éléments!$C$5:$C$14,1),3),IF($H53="Dragon",INDEX(Butin!$E$41:$K$50,MATCH($B53,Éléments!$C$5:$C$14,1),3),INDEX(Butin!$E$15:$K$24,MATCH($B53,Éléments!$C$5:$C$14,1),3)))</f>
        <v>0.29</v>
      </c>
      <c r="AQ53" s="30" t="n">
        <f aca="false">IF($H53="Boss",INDEX(Butin!$E$28:$K$37,MATCH($B53,Éléments!$C$5:$C$14,1),4),IF($H53="Dragon",INDEX(Butin!$E$41:$K$50,MATCH($B53,Éléments!$C$5:$C$14,1),4),INDEX(Butin!$E$15:$K$24,MATCH($B53,Éléments!$C$5:$C$14,1),4)))</f>
        <v>0.26</v>
      </c>
      <c r="AR53" s="30" t="n">
        <f aca="false">IF($H53="Boss",INDEX(Butin!$E$28:$K$37,MATCH($B53,Éléments!$C$5:$C$14,1),5),IF($H53="Dragon",INDEX(Butin!$E$41:$K$50,MATCH($B53,Éléments!$C$5:$C$14,1),5),INDEX(Butin!$E$15:$K$24,MATCH($B53,Éléments!$C$5:$C$14,1),5)))</f>
        <v>0.14</v>
      </c>
      <c r="AS53" s="30" t="n">
        <f aca="false">IF($H53="Boss",INDEX(Butin!$E$28:$K$37,MATCH($B53,Éléments!$C$5:$C$14,1),6),IF($H53="Dragon",INDEX(Butin!$E$41:$K$50,MATCH($B53,Éléments!$C$5:$C$14,1),6),INDEX(Butin!$E$15:$K$24,MATCH($B53,Éléments!$C$5:$C$14,1),6)))</f>
        <v>0.04</v>
      </c>
      <c r="AT53" s="30" t="n">
        <f aca="false">IF($H53="Boss",INDEX(Butin!$E$28:$K$37,MATCH($B53,Éléments!$C$5:$C$14,1),7),IF($H53="Dragon",INDEX(Butin!$E$41:$K$50,MATCH($B53,Éléments!$C$5:$C$14,1),7),INDEX(Butin!$E$15:$K$24,MATCH($B53,Éléments!$C$5:$C$14,1),7)))</f>
        <v>0.05</v>
      </c>
      <c r="AU53" s="38" t="str">
        <f aca="false">IF(AT53=0,"—",INDEX(Butin!$D$54:$D$63,MATCH($B53,Éléments!$C$5:$C$14,1))&amp;" · "&amp;INDEX(Butin!$F$54:$F$63,MATCH($B53,Éléments!$C$5:$C$14,1))&amp;" · "&amp;INDEX(Butin!$H$54:$H$63,MATCH($B53,Éléments!$C$5:$C$14,1)))</f>
        <v>Chevalière du Gardien des Marées · Bottes du Voyageur des Eaux · Veste du Brouillard Mouvant</v>
      </c>
      <c r="AV53" s="20" t="s">
        <v>272</v>
      </c>
      <c r="AW53" s="39" t="str">
        <f aca="false">B53&amp;IF(G53="Oui","|B","|N")</f>
        <v>55|B</v>
      </c>
      <c r="AX53" s="40" t="n">
        <f aca="false">(Paramètres!$B$5+(1-Paramètres!$B$5)*((K53-Paramètres!$B$7)/(Paramètres!$B$8-Paramètres!$B$7))^Paramètres!$B$6)</f>
        <v>0.509022404451374</v>
      </c>
      <c r="AY53" s="39" t="n">
        <f aca="false">MATCH(I53,Rôles!$A$5:$A$13,0)</f>
        <v>2</v>
      </c>
      <c r="AZ53" s="39" t="n">
        <f aca="false">MATCH(H53,Rôles!$A$18:$A$22,0)</f>
        <v>4</v>
      </c>
    </row>
    <row r="54" customFormat="false" ht="15.75" hidden="false" customHeight="true" outlineLevel="0" collapsed="false">
      <c r="A54" s="20" t="s">
        <v>274</v>
      </c>
      <c r="B54" s="21" t="n">
        <v>55</v>
      </c>
      <c r="C54" s="22" t="str">
        <f aca="false" t="array" ref="C54:C54">INDEX(Zones!$B$6:$B$35,MATCH(B54,Zones!$A$6:$A$35,0))</f>
        <v>Océan profond</v>
      </c>
      <c r="D54" s="23" t="str">
        <f aca="false" t="array" ref="D54:D54">INDEX(Éléments!$B$5:$B$14,MATCH(B54,Éléments!$C$5:$C$14,1))</f>
        <v>Océan / Île</v>
      </c>
      <c r="E54" s="45" t="str">
        <f aca="false" t="array" ref="E54:E54">INDEX(Éléments!$A$5:$A$14,MATCH(B54,Éléments!$C$5:$C$14,1))</f>
        <v>Eau</v>
      </c>
      <c r="F54" s="25" t="s">
        <v>275</v>
      </c>
      <c r="G54" s="23" t="str">
        <f aca="false">IF(OR(H54="Boss",H54="Dragon"),"Oui","Non")</f>
        <v>Non</v>
      </c>
      <c r="H54" s="26" t="s">
        <v>138</v>
      </c>
      <c r="I54" s="26" t="s">
        <v>195</v>
      </c>
      <c r="J54" s="26" t="s">
        <v>173</v>
      </c>
      <c r="K54" s="27" t="n">
        <f aca="false">IF($F$3="",B54,$F$3)</f>
        <v>55</v>
      </c>
      <c r="L54" s="28" t="n">
        <f aca="false" t="array" ref="L54:L54">ROUND(Paramètres!$B$16*(Paramètres!$B$5+(1-Paramètres!$B$5)*((K54-Paramètres!$B$7)/(Paramètres!$B$8-Paramètres!$B$7))^Paramètres!$B$6)*INDEX(Rôles!$B$18:$B$22,AZ54)*INDEX(Rôles!$B$5:$B$13,AY54),0)</f>
        <v>561</v>
      </c>
      <c r="M54" s="29" t="n">
        <f aca="false" t="array" ref="M54:M54">ROUND(IF(J54="Physique",1,IF(J54="Mixte",Paramètres!$B$32,0))*Paramètres!$B$12*(Paramètres!$B$5+(1-Paramètres!$B$5)*((K54-Paramètres!$B$7)/(Paramètres!$B$8-Paramètres!$B$7))^Paramètres!$B$6)*INDEX(Rôles!$C$18:$C$22,AZ54)*INDEX(Rôles!$C$5:$C$13,AY54)/(Paramètres!$B$35*(1-Paramètres!$B$36)),0)</f>
        <v>0</v>
      </c>
      <c r="N54" s="29" t="n">
        <f aca="false" t="array" ref="N54:N54">ROUND(IF(J54="Magique",1,IF(J54="Mixte",Paramètres!$B$32,0))*Paramètres!$B$12*(Paramètres!$B$5+(1-Paramètres!$B$5)*((K54-Paramètres!$B$7)/(Paramètres!$B$8-Paramètres!$B$7))^Paramètres!$B$6)*INDEX(Rôles!$C$18:$C$22,AZ54)*INDEX(Rôles!$C$5:$C$13,AY54)/(Paramètres!$B$35*(1-Paramètres!$B$36)),0)</f>
        <v>218</v>
      </c>
      <c r="O54" s="29" t="n">
        <f aca="false" t="array" ref="O54:O54">ROUND(Paramètres!$B$18*(Paramètres!$B$5+(1-Paramètres!$B$5)*((K54-Paramètres!$B$7)/(Paramètres!$B$8-Paramètres!$B$7))^Paramètres!$B$6)*INDEX(Rôles!$D$5:$D$13,AY54)*INDEX(Rôles!$D$18:$D$22,AZ54),0)</f>
        <v>252</v>
      </c>
      <c r="P54" s="29" t="n">
        <f aca="false" t="array" ref="P54:P54">ROUND(Paramètres!$B$19*(Paramètres!$B$5+(1-Paramètres!$B$5)*((K54-Paramètres!$B$7)/(Paramètres!$B$8-Paramètres!$B$7))^Paramètres!$B$6)*INDEX(Rôles!$E$5:$E$13,AY54)*INDEX(Rôles!$D$18:$D$22,AZ54),0)</f>
        <v>81</v>
      </c>
      <c r="Q54" s="29" t="n">
        <f aca="false" t="array" ref="Q54:Q54">ROUND(Paramètres!$B$20*(Paramètres!$B$5+(1-Paramètres!$B$5)*((K54-Paramètres!$B$7)/(Paramètres!$B$8-Paramètres!$B$7))^Paramètres!$B$6)*INDEX(Rôles!$F$5:$F$13,AY54),0)</f>
        <v>55</v>
      </c>
      <c r="R54" s="29" t="n">
        <f aca="false">ROUND(Paramètres!$B$64*$AX54*INDEX(Rôles!$N$5:$N$13,$AY54)*INDEX(Rôles!$I$18:$I$22,$AZ54),0)</f>
        <v>46</v>
      </c>
      <c r="S54" s="30" t="n">
        <f aca="false" t="array" ref="S54:S54">MIN(1,ROUND(Paramètres!$B$21*INDEX(Rôles!$G$5:$G$13,AY54),3))</f>
        <v>0.9</v>
      </c>
      <c r="T54" s="30" t="n">
        <f aca="false" t="array" ref="T54:T54">MIN(Paramètres!$B$28,ROUND(Paramètres!$B$22*INDEX(Rôles!$H$5:$H$13,AY54),3))</f>
        <v>0.05</v>
      </c>
      <c r="U54" s="30" t="n">
        <f aca="false" t="array" ref="U54:U54">ROUND(Paramètres!$B$23*INDEX(Rôles!$I$5:$I$13,AY54),3)</f>
        <v>0.5</v>
      </c>
      <c r="V54" s="30" t="n">
        <f aca="false" t="array" ref="V54:V54">MIN(Paramètres!$B$29,ROUND(Paramètres!$B$24*INDEX(Rôles!$J$5:$J$13,AY54),3))</f>
        <v>0.065</v>
      </c>
      <c r="W54" s="30" t="n">
        <f aca="false" t="array" ref="W54:W54">MIN(Paramètres!$B$27,ROUND((Paramètres!$B$25+(Paramètres!$B$26-Paramètres!$B$25)*(K54-Paramètres!$B$7)/(Paramètres!$B$8-Paramètres!$B$7))*INDEX(Rôles!$K$5:$K$13,AY54)+INDEX(Rôles!$G$18:$G$22,AZ54),3))</f>
        <v>0.224</v>
      </c>
      <c r="X54" s="30" t="n">
        <f aca="false">ROUND(1-(1-P54/(P54+(Paramètres!$B$19*(Paramètres!$B$5+(1-Paramètres!$B$5)*((K54-Paramètres!$B$7)/(Paramètres!$B$8-Paramètres!$B$7))^Paramètres!$B$6)*(1-Paramètres!$B$30)/Paramètres!$B$30)))*(1-O54/(O54+(Paramètres!$B$18*(Paramètres!$B$5+(1-Paramètres!$B$5)*((K54-Paramètres!$B$7)/(Paramètres!$B$8-Paramètres!$B$7))^Paramètres!$B$6)*(1-Paramètres!$B$31)/Paramètres!$B$31))),3)</f>
        <v>0.238</v>
      </c>
      <c r="Y54" s="30" t="n">
        <f aca="false">ROUND(O54/(O54+(Paramètres!$B$18*(Paramètres!$B$5+(1-Paramètres!$B$5)*((K54-Paramètres!$B$7)/(Paramètres!$B$8-Paramètres!$B$7))^Paramètres!$B$6)*(1-Paramètres!$B$31)/Paramètres!$B$31)),3)</f>
        <v>0.163</v>
      </c>
      <c r="Z54" s="31" t="n">
        <f aca="false" t="array" ref="Z54:Z54">IF(E54="Neutre",0,MIN(1,INDEX(Rôles!$L$5:$L$13,AY54)+INDEX(Rôles!$F$18:$F$22,AZ54)))</f>
        <v>1</v>
      </c>
      <c r="AA54" s="32" t="n">
        <f aca="false" t="array" ref="AA54:AA54">ROUND(INDEX(Rôles!$C$18:$C$22,AZ54)*INDEX(Rôles!$C$5:$C$13,AY54),4)</f>
        <v>0.0188</v>
      </c>
      <c r="AB54" s="33" t="n">
        <f aca="false" t="array" ref="AB54:AB54">ROUND(INDEX(Rôles!$B$18:$B$22,AZ54)*INDEX(Rôles!$B$5:$B$13,AY54),2)</f>
        <v>1.4</v>
      </c>
      <c r="AC54" s="33" t="n">
        <f aca="false" t="array" ref="AC54:AC54">INDEX(Rôles!$E$18:$E$22,AZ54)</f>
        <v>1</v>
      </c>
      <c r="AD54" s="23" t="str">
        <f aca="false" t="array" ref="AD54:AD54">INDEX(Éléments!$F$5:$F$14,MATCH(E54,Éléments!$A$5:$A$14,0))</f>
        <v>Électricité</v>
      </c>
      <c r="AE54" s="23" t="str">
        <f aca="false" t="array" ref="AE54:AE54">INDEX(Éléments!$G$5:$G$14,MATCH(E54,Éléments!$A$5:$A$14,0))</f>
        <v>Feu</v>
      </c>
      <c r="AF54" s="34" t="s">
        <v>273</v>
      </c>
      <c r="AG54" s="35" t="n">
        <v>0.3</v>
      </c>
      <c r="AH54" s="34" t="s">
        <v>227</v>
      </c>
      <c r="AI54" s="35" t="n">
        <v>0.2</v>
      </c>
      <c r="AJ54" s="29" t="n">
        <f aca="false" t="array" ref="AJ54:AJ54">ROUND(ROUND(Paramètres!$B$49*K54^Paramètres!$B$50,0)*INDEX(Rôles!$E$18:$E$22,AZ54),0)</f>
        <v>899</v>
      </c>
      <c r="AK54" s="29" t="n">
        <f aca="false" t="array" ref="AK54:AK54">ROUND(ROUND(Paramètres!$B$53*K54^Paramètres!$B$54,0)*INDEX(Rôles!$E$18:$E$22,AZ54),0)</f>
        <v>671</v>
      </c>
      <c r="AL54" s="36" t="n">
        <f aca="false">INDEX(Butin!$B$7:$B$11,AZ54)</f>
        <v>0.05</v>
      </c>
      <c r="AM54" s="37" t="n">
        <f aca="false">INDEX(Butin!$E$7:$E$11,AZ54)</f>
        <v>0.05</v>
      </c>
      <c r="AN54" s="30" t="n">
        <f aca="false">IF($H54="Boss",INDEX(Butin!$E$28:$K$37,MATCH($B54,Éléments!$C$5:$C$14,1),1),IF($H54="Dragon",INDEX(Butin!$E$41:$K$50,MATCH($B54,Éléments!$C$5:$C$14,1),1),INDEX(Butin!$E$15:$K$24,MATCH($B54,Éléments!$C$5:$C$14,1),1)))</f>
        <v>0.27</v>
      </c>
      <c r="AO54" s="30" t="n">
        <f aca="false">IF($H54="Boss",INDEX(Butin!$E$28:$K$37,MATCH($B54,Éléments!$C$5:$C$14,1),2),IF($H54="Dragon",INDEX(Butin!$E$41:$K$50,MATCH($B54,Éléments!$C$5:$C$14,1),2),INDEX(Butin!$E$15:$K$24,MATCH($B54,Éléments!$C$5:$C$14,1),2)))</f>
        <v>0.3</v>
      </c>
      <c r="AP54" s="30" t="n">
        <f aca="false">IF($H54="Boss",INDEX(Butin!$E$28:$K$37,MATCH($B54,Éléments!$C$5:$C$14,1),3),IF($H54="Dragon",INDEX(Butin!$E$41:$K$50,MATCH($B54,Éléments!$C$5:$C$14,1),3),INDEX(Butin!$E$15:$K$24,MATCH($B54,Éléments!$C$5:$C$14,1),3)))</f>
        <v>0.25</v>
      </c>
      <c r="AQ54" s="30" t="n">
        <f aca="false">IF($H54="Boss",INDEX(Butin!$E$28:$K$37,MATCH($B54,Éléments!$C$5:$C$14,1),4),IF($H54="Dragon",INDEX(Butin!$E$41:$K$50,MATCH($B54,Éléments!$C$5:$C$14,1),4),INDEX(Butin!$E$15:$K$24,MATCH($B54,Éléments!$C$5:$C$14,1),4)))</f>
        <v>0.128</v>
      </c>
      <c r="AR54" s="30" t="n">
        <f aca="false">IF($H54="Boss",INDEX(Butin!$E$28:$K$37,MATCH($B54,Éléments!$C$5:$C$14,1),5),IF($H54="Dragon",INDEX(Butin!$E$41:$K$50,MATCH($B54,Éléments!$C$5:$C$14,1),5),INDEX(Butin!$E$15:$K$24,MATCH($B54,Éléments!$C$5:$C$14,1),5)))</f>
        <v>0.045</v>
      </c>
      <c r="AS54" s="30" t="n">
        <f aca="false">IF($H54="Boss",INDEX(Butin!$E$28:$K$37,MATCH($B54,Éléments!$C$5:$C$14,1),6),IF($H54="Dragon",INDEX(Butin!$E$41:$K$50,MATCH($B54,Éléments!$C$5:$C$14,1),6),INDEX(Butin!$E$15:$K$24,MATCH($B54,Éléments!$C$5:$C$14,1),6)))</f>
        <v>0.005</v>
      </c>
      <c r="AT54" s="30" t="n">
        <f aca="false">IF($H54="Boss",INDEX(Butin!$E$28:$K$37,MATCH($B54,Éléments!$C$5:$C$14,1),7),IF($H54="Dragon",INDEX(Butin!$E$41:$K$50,MATCH($B54,Éléments!$C$5:$C$14,1),7),INDEX(Butin!$E$15:$K$24,MATCH($B54,Éléments!$C$5:$C$14,1),7)))</f>
        <v>0.002</v>
      </c>
      <c r="AU54" s="38" t="str">
        <f aca="false">IF(AT54=0,"—",INDEX(Butin!$D$54:$D$63,MATCH($B54,Éléments!$C$5:$C$14,1))&amp;" · "&amp;INDEX(Butin!$F$54:$F$63,MATCH($B54,Éléments!$C$5:$C$14,1))&amp;" · "&amp;INDEX(Butin!$H$54:$H$63,MATCH($B54,Éléments!$C$5:$C$14,1)))</f>
        <v>Chevalière du Gardien des Marées · Bottes du Voyageur des Eaux · Veste du Brouillard Mouvant</v>
      </c>
      <c r="AV54" s="20" t="s">
        <v>276</v>
      </c>
      <c r="AW54" s="39" t="str">
        <f aca="false">B54&amp;IF(G54="Oui","|B","|N")</f>
        <v>55|N</v>
      </c>
      <c r="AX54" s="40" t="n">
        <f aca="false">(Paramètres!$B$5+(1-Paramètres!$B$5)*((K54-Paramètres!$B$7)/(Paramètres!$B$8-Paramètres!$B$7))^Paramètres!$B$6)</f>
        <v>0.509022404451374</v>
      </c>
      <c r="AY54" s="39" t="n">
        <f aca="false">MATCH(I54,Rôles!$A$5:$A$13,0)</f>
        <v>5</v>
      </c>
      <c r="AZ54" s="39" t="n">
        <f aca="false">MATCH(H54,Rôles!$A$18:$A$22,0)</f>
        <v>2</v>
      </c>
    </row>
    <row r="55" customFormat="false" ht="15.75" hidden="false" customHeight="true" outlineLevel="0" collapsed="false">
      <c r="A55" s="20" t="s">
        <v>277</v>
      </c>
      <c r="B55" s="21" t="n">
        <v>55</v>
      </c>
      <c r="C55" s="22" t="str">
        <f aca="false" t="array" ref="C55:C55">INDEX(Zones!$B$6:$B$35,MATCH(B55,Zones!$A$6:$A$35,0))</f>
        <v>Océan profond</v>
      </c>
      <c r="D55" s="23" t="str">
        <f aca="false" t="array" ref="D55:D55">INDEX(Éléments!$B$5:$B$14,MATCH(B55,Éléments!$C$5:$C$14,1))</f>
        <v>Océan / Île</v>
      </c>
      <c r="E55" s="45" t="str">
        <f aca="false" t="array" ref="E55:E55">INDEX(Éléments!$A$5:$A$14,MATCH(B55,Éléments!$C$5:$C$14,1))</f>
        <v>Eau</v>
      </c>
      <c r="F55" s="25" t="s">
        <v>278</v>
      </c>
      <c r="G55" s="23" t="str">
        <f aca="false">IF(OR(H55="Boss",H55="Dragon"),"Oui","Non")</f>
        <v>Non</v>
      </c>
      <c r="H55" s="26" t="s">
        <v>148</v>
      </c>
      <c r="I55" s="26" t="s">
        <v>149</v>
      </c>
      <c r="J55" s="26" t="s">
        <v>140</v>
      </c>
      <c r="K55" s="27" t="n">
        <f aca="false">IF($F$3="",B55,$F$3)</f>
        <v>55</v>
      </c>
      <c r="L55" s="28" t="n">
        <f aca="false" t="array" ref="L55:L55">ROUND(Paramètres!$B$16*(Paramètres!$B$5+(1-Paramètres!$B$5)*((K55-Paramètres!$B$7)/(Paramètres!$B$8-Paramètres!$B$7))^Paramètres!$B$6)*INDEX(Rôles!$B$18:$B$22,AZ55)*INDEX(Rôles!$B$5:$B$13,AY55),0)</f>
        <v>1684</v>
      </c>
      <c r="M55" s="29" t="n">
        <f aca="false" t="array" ref="M55:M55">ROUND(IF(J55="Physique",1,IF(J55="Mixte",Paramètres!$B$32,0))*Paramètres!$B$12*(Paramètres!$B$5+(1-Paramètres!$B$5)*((K55-Paramètres!$B$7)/(Paramètres!$B$8-Paramètres!$B$7))^Paramètres!$B$6)*INDEX(Rôles!$C$18:$C$22,AZ55)*INDEX(Rôles!$C$5:$C$13,AY55)/(Paramètres!$B$35*(1-Paramètres!$B$36)),0)</f>
        <v>210</v>
      </c>
      <c r="N55" s="29" t="n">
        <f aca="false" t="array" ref="N55:N55">ROUND(IF(J55="Magique",1,IF(J55="Mixte",Paramètres!$B$32,0))*Paramètres!$B$12*(Paramètres!$B$5+(1-Paramètres!$B$5)*((K55-Paramètres!$B$7)/(Paramètres!$B$8-Paramètres!$B$7))^Paramètres!$B$6)*INDEX(Rôles!$C$18:$C$22,AZ55)*INDEX(Rôles!$C$5:$C$13,AY55)/(Paramètres!$B$35*(1-Paramètres!$B$36)),0)</f>
        <v>0</v>
      </c>
      <c r="O55" s="29" t="n">
        <f aca="false" t="array" ref="O55:O55">ROUND(Paramètres!$B$18*(Paramètres!$B$5+(1-Paramètres!$B$5)*((K55-Paramètres!$B$7)/(Paramètres!$B$8-Paramètres!$B$7))^Paramètres!$B$6)*INDEX(Rôles!$D$5:$D$13,AY55)*INDEX(Rôles!$D$18:$D$22,AZ55),0)</f>
        <v>316</v>
      </c>
      <c r="P55" s="29" t="n">
        <f aca="false" t="array" ref="P55:P55">ROUND(Paramètres!$B$19*(Paramètres!$B$5+(1-Paramètres!$B$5)*((K55-Paramètres!$B$7)/(Paramètres!$B$8-Paramètres!$B$7))^Paramètres!$B$6)*INDEX(Rôles!$E$5:$E$13,AY55)*INDEX(Rôles!$D$18:$D$22,AZ55),0)</f>
        <v>351</v>
      </c>
      <c r="Q55" s="29" t="n">
        <f aca="false" t="array" ref="Q55:Q55">ROUND(Paramètres!$B$20*(Paramètres!$B$5+(1-Paramètres!$B$5)*((K55-Paramètres!$B$7)/(Paramètres!$B$8-Paramètres!$B$7))^Paramètres!$B$6)*INDEX(Rôles!$F$5:$F$13,AY55),0)</f>
        <v>37</v>
      </c>
      <c r="R55" s="29" t="n">
        <f aca="false">ROUND(Paramètres!$B$64*$AX55*INDEX(Rôles!$N$5:$N$13,$AY55)*INDEX(Rôles!$I$18:$I$22,$AZ55),0)</f>
        <v>37</v>
      </c>
      <c r="S55" s="30" t="n">
        <f aca="false" t="array" ref="S55:S55">MIN(1,ROUND(Paramètres!$B$21*INDEX(Rôles!$G$5:$G$13,AY55),3))</f>
        <v>0.765</v>
      </c>
      <c r="T55" s="30" t="n">
        <f aca="false" t="array" ref="T55:T55">MIN(Paramètres!$B$28,ROUND(Paramètres!$B$22*INDEX(Rôles!$H$5:$H$13,AY55),3))</f>
        <v>0.03</v>
      </c>
      <c r="U55" s="30" t="n">
        <f aca="false" t="array" ref="U55:U55">ROUND(Paramètres!$B$23*INDEX(Rôles!$I$5:$I$13,AY55),3)</f>
        <v>0.5</v>
      </c>
      <c r="V55" s="30" t="n">
        <f aca="false" t="array" ref="V55:V55">MIN(Paramètres!$B$29,ROUND(Paramètres!$B$24*INDEX(Rôles!$J$5:$J$13,AY55),3))</f>
        <v>0.04</v>
      </c>
      <c r="W55" s="30" t="n">
        <f aca="false" t="array" ref="W55:W55">MIN(Paramètres!$B$27,ROUND((Paramètres!$B$25+(Paramètres!$B$26-Paramètres!$B$25)*(K55-Paramètres!$B$7)/(Paramètres!$B$8-Paramètres!$B$7))*INDEX(Rôles!$K$5:$K$13,AY55)+INDEX(Rôles!$G$18:$G$22,AZ55),3))</f>
        <v>0.224</v>
      </c>
      <c r="X55" s="30" t="n">
        <f aca="false">ROUND(1-(1-P55/(P55+(Paramètres!$B$19*(Paramètres!$B$5+(1-Paramètres!$B$5)*((K55-Paramètres!$B$7)/(Paramètres!$B$8-Paramètres!$B$7))^Paramètres!$B$6)*(1-Paramètres!$B$30)/Paramètres!$B$30)))*(1-O55/(O55+(Paramètres!$B$18*(Paramètres!$B$5+(1-Paramètres!$B$5)*((K55-Paramètres!$B$7)/(Paramètres!$B$8-Paramètres!$B$7))^Paramètres!$B$6)*(1-Paramètres!$B$31)/Paramètres!$B$31))),3)</f>
        <v>0.438</v>
      </c>
      <c r="Y55" s="30" t="n">
        <f aca="false">ROUND(O55/(O55+(Paramètres!$B$18*(Paramètres!$B$5+(1-Paramètres!$B$5)*((K55-Paramètres!$B$7)/(Paramètres!$B$8-Paramètres!$B$7))^Paramètres!$B$6)*(1-Paramètres!$B$31)/Paramètres!$B$31)),3)</f>
        <v>0.196</v>
      </c>
      <c r="Z55" s="31" t="n">
        <f aca="false" t="array" ref="Z55:Z55">IF(E55="Neutre",0,MIN(1,INDEX(Rôles!$L$5:$L$13,AY55)+INDEX(Rôles!$F$18:$F$22,AZ55)))</f>
        <v>0.4</v>
      </c>
      <c r="AA55" s="32" t="n">
        <f aca="false" t="array" ref="AA55:AA55">ROUND(INDEX(Rôles!$C$18:$C$22,AZ55)*INDEX(Rôles!$C$5:$C$13,AY55),4)</f>
        <v>0.0181</v>
      </c>
      <c r="AB55" s="33" t="n">
        <f aca="false" t="array" ref="AB55:AB55">ROUND(INDEX(Rôles!$B$18:$B$22,AZ55)*INDEX(Rôles!$B$5:$B$13,AY55),2)</f>
        <v>4.2</v>
      </c>
      <c r="AC55" s="33" t="n">
        <f aca="false" t="array" ref="AC55:AC55">INDEX(Rôles!$E$18:$E$22,AZ55)</f>
        <v>1.4</v>
      </c>
      <c r="AD55" s="23" t="str">
        <f aca="false" t="array" ref="AD55:AD55">INDEX(Éléments!$F$5:$F$14,MATCH(E55,Éléments!$A$5:$A$14,0))</f>
        <v>Électricité</v>
      </c>
      <c r="AE55" s="23" t="str">
        <f aca="false" t="array" ref="AE55:AE55">INDEX(Éléments!$G$5:$G$14,MATCH(E55,Éléments!$A$5:$A$14,0))</f>
        <v>Feu</v>
      </c>
      <c r="AF55" s="34" t="s">
        <v>141</v>
      </c>
      <c r="AG55" s="35" t="n">
        <v>0.25</v>
      </c>
      <c r="AH55" s="34" t="s">
        <v>273</v>
      </c>
      <c r="AI55" s="35" t="n">
        <v>0.2</v>
      </c>
      <c r="AJ55" s="29" t="n">
        <f aca="false" t="array" ref="AJ55:AJ55">ROUND(ROUND(Paramètres!$B$49*K55^Paramètres!$B$50,0)*INDEX(Rôles!$E$18:$E$22,AZ55),0)</f>
        <v>1259</v>
      </c>
      <c r="AK55" s="29" t="n">
        <f aca="false" t="array" ref="AK55:AK55">ROUND(ROUND(Paramètres!$B$53*K55^Paramètres!$B$54,0)*INDEX(Rôles!$E$18:$E$22,AZ55),0)</f>
        <v>939</v>
      </c>
      <c r="AL55" s="36" t="n">
        <f aca="false">INDEX(Butin!$B$7:$B$11,AZ55)</f>
        <v>0.08</v>
      </c>
      <c r="AM55" s="37" t="n">
        <f aca="false">INDEX(Butin!$E$7:$E$11,AZ55)</f>
        <v>0.08</v>
      </c>
      <c r="AN55" s="30" t="n">
        <f aca="false">IF($H55="Boss",INDEX(Butin!$E$28:$K$37,MATCH($B55,Éléments!$C$5:$C$14,1),1),IF($H55="Dragon",INDEX(Butin!$E$41:$K$50,MATCH($B55,Éléments!$C$5:$C$14,1),1),INDEX(Butin!$E$15:$K$24,MATCH($B55,Éléments!$C$5:$C$14,1),1)))</f>
        <v>0.27</v>
      </c>
      <c r="AO55" s="30" t="n">
        <f aca="false">IF($H55="Boss",INDEX(Butin!$E$28:$K$37,MATCH($B55,Éléments!$C$5:$C$14,1),2),IF($H55="Dragon",INDEX(Butin!$E$41:$K$50,MATCH($B55,Éléments!$C$5:$C$14,1),2),INDEX(Butin!$E$15:$K$24,MATCH($B55,Éléments!$C$5:$C$14,1),2)))</f>
        <v>0.3</v>
      </c>
      <c r="AP55" s="30" t="n">
        <f aca="false">IF($H55="Boss",INDEX(Butin!$E$28:$K$37,MATCH($B55,Éléments!$C$5:$C$14,1),3),IF($H55="Dragon",INDEX(Butin!$E$41:$K$50,MATCH($B55,Éléments!$C$5:$C$14,1),3),INDEX(Butin!$E$15:$K$24,MATCH($B55,Éléments!$C$5:$C$14,1),3)))</f>
        <v>0.25</v>
      </c>
      <c r="AQ55" s="30" t="n">
        <f aca="false">IF($H55="Boss",INDEX(Butin!$E$28:$K$37,MATCH($B55,Éléments!$C$5:$C$14,1),4),IF($H55="Dragon",INDEX(Butin!$E$41:$K$50,MATCH($B55,Éléments!$C$5:$C$14,1),4),INDEX(Butin!$E$15:$K$24,MATCH($B55,Éléments!$C$5:$C$14,1),4)))</f>
        <v>0.128</v>
      </c>
      <c r="AR55" s="30" t="n">
        <f aca="false">IF($H55="Boss",INDEX(Butin!$E$28:$K$37,MATCH($B55,Éléments!$C$5:$C$14,1),5),IF($H55="Dragon",INDEX(Butin!$E$41:$K$50,MATCH($B55,Éléments!$C$5:$C$14,1),5),INDEX(Butin!$E$15:$K$24,MATCH($B55,Éléments!$C$5:$C$14,1),5)))</f>
        <v>0.045</v>
      </c>
      <c r="AS55" s="30" t="n">
        <f aca="false">IF($H55="Boss",INDEX(Butin!$E$28:$K$37,MATCH($B55,Éléments!$C$5:$C$14,1),6),IF($H55="Dragon",INDEX(Butin!$E$41:$K$50,MATCH($B55,Éléments!$C$5:$C$14,1),6),INDEX(Butin!$E$15:$K$24,MATCH($B55,Éléments!$C$5:$C$14,1),6)))</f>
        <v>0.005</v>
      </c>
      <c r="AT55" s="30" t="n">
        <f aca="false">IF($H55="Boss",INDEX(Butin!$E$28:$K$37,MATCH($B55,Éléments!$C$5:$C$14,1),7),IF($H55="Dragon",INDEX(Butin!$E$41:$K$50,MATCH($B55,Éléments!$C$5:$C$14,1),7),INDEX(Butin!$E$15:$K$24,MATCH($B55,Éléments!$C$5:$C$14,1),7)))</f>
        <v>0.002</v>
      </c>
      <c r="AU55" s="38" t="str">
        <f aca="false">IF(AT55=0,"—",INDEX(Butin!$D$54:$D$63,MATCH($B55,Éléments!$C$5:$C$14,1))&amp;" · "&amp;INDEX(Butin!$F$54:$F$63,MATCH($B55,Éléments!$C$5:$C$14,1))&amp;" · "&amp;INDEX(Butin!$H$54:$H$63,MATCH($B55,Éléments!$C$5:$C$14,1)))</f>
        <v>Chevalière du Gardien des Marées · Bottes du Voyageur des Eaux · Veste du Brouillard Mouvant</v>
      </c>
      <c r="AV55" s="20" t="s">
        <v>279</v>
      </c>
      <c r="AW55" s="39" t="str">
        <f aca="false">B55&amp;IF(G55="Oui","|B","|N")</f>
        <v>55|N</v>
      </c>
      <c r="AX55" s="40" t="n">
        <f aca="false">(Paramètres!$B$5+(1-Paramètres!$B$5)*((K55-Paramètres!$B$7)/(Paramètres!$B$8-Paramètres!$B$7))^Paramètres!$B$6)</f>
        <v>0.509022404451374</v>
      </c>
      <c r="AY55" s="39" t="n">
        <f aca="false">MATCH(I55,Rôles!$A$5:$A$13,0)</f>
        <v>2</v>
      </c>
      <c r="AZ55" s="39" t="n">
        <f aca="false">MATCH(H55,Rôles!$A$18:$A$22,0)</f>
        <v>3</v>
      </c>
    </row>
    <row r="56" customFormat="false" ht="15.75" hidden="false" customHeight="true" outlineLevel="0" collapsed="false">
      <c r="A56" s="20" t="s">
        <v>280</v>
      </c>
      <c r="B56" s="21" t="n">
        <v>55</v>
      </c>
      <c r="C56" s="22" t="str">
        <f aca="false" t="array" ref="C56:C56">INDEX(Zones!$B$6:$B$35,MATCH(B56,Zones!$A$6:$A$35,0))</f>
        <v>Océan profond</v>
      </c>
      <c r="D56" s="23" t="str">
        <f aca="false" t="array" ref="D56:D56">INDEX(Éléments!$B$5:$B$14,MATCH(B56,Éléments!$C$5:$C$14,1))</f>
        <v>Océan / Île</v>
      </c>
      <c r="E56" s="45" t="str">
        <f aca="false" t="array" ref="E56:E56">INDEX(Éléments!$A$5:$A$14,MATCH(B56,Éléments!$C$5:$C$14,1))</f>
        <v>Eau</v>
      </c>
      <c r="F56" s="25" t="s">
        <v>281</v>
      </c>
      <c r="G56" s="23" t="str">
        <f aca="false">IF(OR(H56="Boss",H56="Dragon"),"Oui","Non")</f>
        <v>Non</v>
      </c>
      <c r="H56" s="26" t="s">
        <v>138</v>
      </c>
      <c r="I56" s="26" t="s">
        <v>145</v>
      </c>
      <c r="J56" s="26" t="s">
        <v>140</v>
      </c>
      <c r="K56" s="27" t="n">
        <f aca="false">IF($F$3="",B56,$F$3)</f>
        <v>55</v>
      </c>
      <c r="L56" s="28" t="n">
        <f aca="false" t="array" ref="L56:L56">ROUND(Paramètres!$B$16*(Paramètres!$B$5+(1-Paramètres!$B$5)*((K56-Paramètres!$B$7)/(Paramètres!$B$8-Paramètres!$B$7))^Paramètres!$B$6)*INDEX(Rôles!$B$18:$B$22,AZ56)*INDEX(Rôles!$B$5:$B$13,AY56),0)</f>
        <v>601</v>
      </c>
      <c r="M56" s="29" t="n">
        <f aca="false" t="array" ref="M56:M56">ROUND(IF(J56="Physique",1,IF(J56="Mixte",Paramètres!$B$32,0))*Paramètres!$B$12*(Paramètres!$B$5+(1-Paramètres!$B$5)*((K56-Paramètres!$B$7)/(Paramètres!$B$8-Paramètres!$B$7))^Paramètres!$B$6)*INDEX(Rôles!$C$18:$C$22,AZ56)*INDEX(Rôles!$C$5:$C$13,AY56)/(Paramètres!$B$35*(1-Paramètres!$B$36)),0)</f>
        <v>209</v>
      </c>
      <c r="N56" s="29" t="n">
        <f aca="false" t="array" ref="N56:N56">ROUND(IF(J56="Magique",1,IF(J56="Mixte",Paramètres!$B$32,0))*Paramètres!$B$12*(Paramètres!$B$5+(1-Paramètres!$B$5)*((K56-Paramètres!$B$7)/(Paramètres!$B$8-Paramètres!$B$7))^Paramètres!$B$6)*INDEX(Rôles!$C$18:$C$22,AZ56)*INDEX(Rôles!$C$5:$C$13,AY56)/(Paramètres!$B$35*(1-Paramètres!$B$36)),0)</f>
        <v>0</v>
      </c>
      <c r="O56" s="29" t="n">
        <f aca="false" t="array" ref="O56:O56">ROUND(Paramètres!$B$18*(Paramètres!$B$5+(1-Paramètres!$B$5)*((K56-Paramètres!$B$7)/(Paramètres!$B$8-Paramètres!$B$7))^Paramètres!$B$6)*INDEX(Rôles!$D$5:$D$13,AY56)*INDEX(Rôles!$D$18:$D$22,AZ56),0)</f>
        <v>137</v>
      </c>
      <c r="P56" s="29" t="n">
        <f aca="false" t="array" ref="P56:P56">ROUND(Paramètres!$B$19*(Paramètres!$B$5+(1-Paramètres!$B$5)*((K56-Paramètres!$B$7)/(Paramètres!$B$8-Paramètres!$B$7))^Paramètres!$B$6)*INDEX(Rôles!$E$5:$E$13,AY56)*INDEX(Rôles!$D$18:$D$22,AZ56),0)</f>
        <v>102</v>
      </c>
      <c r="Q56" s="29" t="n">
        <f aca="false" t="array" ref="Q56:Q56">ROUND(Paramètres!$B$20*(Paramètres!$B$5+(1-Paramètres!$B$5)*((K56-Paramètres!$B$7)/(Paramètres!$B$8-Paramètres!$B$7))^Paramètres!$B$6)*INDEX(Rôles!$F$5:$F$13,AY56),0)</f>
        <v>98</v>
      </c>
      <c r="R56" s="29" t="n">
        <f aca="false">ROUND(Paramètres!$B$64*$AX56*INDEX(Rôles!$N$5:$N$13,$AY56)*INDEX(Rôles!$I$18:$I$22,$AZ56),0)</f>
        <v>76</v>
      </c>
      <c r="S56" s="30" t="n">
        <f aca="false" t="array" ref="S56:S56">MIN(1,ROUND(Paramètres!$B$21*INDEX(Rôles!$G$5:$G$13,AY56),3))</f>
        <v>1</v>
      </c>
      <c r="T56" s="30" t="n">
        <f aca="false" t="array" ref="T56:T56">MIN(Paramètres!$B$28,ROUND(Paramètres!$B$22*INDEX(Rôles!$H$5:$H$13,AY56),3))</f>
        <v>0.08</v>
      </c>
      <c r="U56" s="30" t="n">
        <f aca="false" t="array" ref="U56:U56">ROUND(Paramètres!$B$23*INDEX(Rôles!$I$5:$I$13,AY56),3)</f>
        <v>0.7</v>
      </c>
      <c r="V56" s="30" t="n">
        <f aca="false" t="array" ref="V56:V56">MIN(Paramètres!$B$29,ROUND(Paramètres!$B$24*INDEX(Rôles!$J$5:$J$13,AY56),3))</f>
        <v>0.06</v>
      </c>
      <c r="W56" s="30" t="n">
        <f aca="false" t="array" ref="W56:W56">MIN(Paramètres!$B$27,ROUND((Paramètres!$B$25+(Paramètres!$B$26-Paramètres!$B$25)*(K56-Paramètres!$B$7)/(Paramètres!$B$8-Paramètres!$B$7))*INDEX(Rôles!$K$5:$K$13,AY56)+INDEX(Rôles!$G$18:$G$22,AZ56),3))</f>
        <v>0.149</v>
      </c>
      <c r="X56" s="30" t="n">
        <f aca="false">ROUND(1-(1-P56/(P56+(Paramètres!$B$19*(Paramètres!$B$5+(1-Paramètres!$B$5)*((K56-Paramètres!$B$7)/(Paramètres!$B$8-Paramètres!$B$7))^Paramètres!$B$6)*(1-Paramètres!$B$30)/Paramètres!$B$30)))*(1-O56/(O56+(Paramètres!$B$18*(Paramètres!$B$5+(1-Paramètres!$B$5)*((K56-Paramètres!$B$7)/(Paramètres!$B$8-Paramètres!$B$7))^Paramètres!$B$6)*(1-Paramètres!$B$31)/Paramètres!$B$31))),3)</f>
        <v>0.196</v>
      </c>
      <c r="Y56" s="30" t="n">
        <f aca="false">ROUND(O56/(O56+(Paramètres!$B$18*(Paramètres!$B$5+(1-Paramètres!$B$5)*((K56-Paramètres!$B$7)/(Paramètres!$B$8-Paramètres!$B$7))^Paramètres!$B$6)*(1-Paramètres!$B$31)/Paramètres!$B$31)),3)</f>
        <v>0.095</v>
      </c>
      <c r="Z56" s="31" t="n">
        <f aca="false" t="array" ref="Z56:Z56">IF(E56="Neutre",0,MIN(1,INDEX(Rôles!$L$5:$L$13,AY56)+INDEX(Rôles!$F$18:$F$22,AZ56)))</f>
        <v>0.5</v>
      </c>
      <c r="AA56" s="32" t="n">
        <f aca="false" t="array" ref="AA56:AA56">ROUND(INDEX(Rôles!$C$18:$C$22,AZ56)*INDEX(Rôles!$C$5:$C$13,AY56),4)</f>
        <v>0.018</v>
      </c>
      <c r="AB56" s="33" t="n">
        <f aca="false" t="array" ref="AB56:AB56">ROUND(INDEX(Rôles!$B$18:$B$22,AZ56)*INDEX(Rôles!$B$5:$B$13,AY56),2)</f>
        <v>1.5</v>
      </c>
      <c r="AC56" s="33" t="n">
        <f aca="false" t="array" ref="AC56:AC56">INDEX(Rôles!$E$18:$E$22,AZ56)</f>
        <v>1</v>
      </c>
      <c r="AD56" s="23" t="str">
        <f aca="false" t="array" ref="AD56:AD56">INDEX(Éléments!$F$5:$F$14,MATCH(E56,Éléments!$A$5:$A$14,0))</f>
        <v>Électricité</v>
      </c>
      <c r="AE56" s="23" t="str">
        <f aca="false" t="array" ref="AE56:AE56">INDEX(Éléments!$G$5:$G$14,MATCH(E56,Éléments!$A$5:$A$14,0))</f>
        <v>Feu</v>
      </c>
      <c r="AF56" s="34" t="s">
        <v>141</v>
      </c>
      <c r="AG56" s="35" t="n">
        <v>0.35</v>
      </c>
      <c r="AH56" s="34" t="s">
        <v>273</v>
      </c>
      <c r="AI56" s="35" t="n">
        <v>0.15</v>
      </c>
      <c r="AJ56" s="29" t="n">
        <f aca="false" t="array" ref="AJ56:AJ56">ROUND(ROUND(Paramètres!$B$49*K56^Paramètres!$B$50,0)*INDEX(Rôles!$E$18:$E$22,AZ56),0)</f>
        <v>899</v>
      </c>
      <c r="AK56" s="29" t="n">
        <f aca="false" t="array" ref="AK56:AK56">ROUND(ROUND(Paramètres!$B$53*K56^Paramètres!$B$54,0)*INDEX(Rôles!$E$18:$E$22,AZ56),0)</f>
        <v>671</v>
      </c>
      <c r="AL56" s="36" t="n">
        <f aca="false">INDEX(Butin!$B$7:$B$11,AZ56)</f>
        <v>0.05</v>
      </c>
      <c r="AM56" s="37" t="n">
        <f aca="false">INDEX(Butin!$E$7:$E$11,AZ56)</f>
        <v>0.05</v>
      </c>
      <c r="AN56" s="30" t="n">
        <f aca="false">IF($H56="Boss",INDEX(Butin!$E$28:$K$37,MATCH($B56,Éléments!$C$5:$C$14,1),1),IF($H56="Dragon",INDEX(Butin!$E$41:$K$50,MATCH($B56,Éléments!$C$5:$C$14,1),1),INDEX(Butin!$E$15:$K$24,MATCH($B56,Éléments!$C$5:$C$14,1),1)))</f>
        <v>0.27</v>
      </c>
      <c r="AO56" s="30" t="n">
        <f aca="false">IF($H56="Boss",INDEX(Butin!$E$28:$K$37,MATCH($B56,Éléments!$C$5:$C$14,1),2),IF($H56="Dragon",INDEX(Butin!$E$41:$K$50,MATCH($B56,Éléments!$C$5:$C$14,1),2),INDEX(Butin!$E$15:$K$24,MATCH($B56,Éléments!$C$5:$C$14,1),2)))</f>
        <v>0.3</v>
      </c>
      <c r="AP56" s="30" t="n">
        <f aca="false">IF($H56="Boss",INDEX(Butin!$E$28:$K$37,MATCH($B56,Éléments!$C$5:$C$14,1),3),IF($H56="Dragon",INDEX(Butin!$E$41:$K$50,MATCH($B56,Éléments!$C$5:$C$14,1),3),INDEX(Butin!$E$15:$K$24,MATCH($B56,Éléments!$C$5:$C$14,1),3)))</f>
        <v>0.25</v>
      </c>
      <c r="AQ56" s="30" t="n">
        <f aca="false">IF($H56="Boss",INDEX(Butin!$E$28:$K$37,MATCH($B56,Éléments!$C$5:$C$14,1),4),IF($H56="Dragon",INDEX(Butin!$E$41:$K$50,MATCH($B56,Éléments!$C$5:$C$14,1),4),INDEX(Butin!$E$15:$K$24,MATCH($B56,Éléments!$C$5:$C$14,1),4)))</f>
        <v>0.128</v>
      </c>
      <c r="AR56" s="30" t="n">
        <f aca="false">IF($H56="Boss",INDEX(Butin!$E$28:$K$37,MATCH($B56,Éléments!$C$5:$C$14,1),5),IF($H56="Dragon",INDEX(Butin!$E$41:$K$50,MATCH($B56,Éléments!$C$5:$C$14,1),5),INDEX(Butin!$E$15:$K$24,MATCH($B56,Éléments!$C$5:$C$14,1),5)))</f>
        <v>0.045</v>
      </c>
      <c r="AS56" s="30" t="n">
        <f aca="false">IF($H56="Boss",INDEX(Butin!$E$28:$K$37,MATCH($B56,Éléments!$C$5:$C$14,1),6),IF($H56="Dragon",INDEX(Butin!$E$41:$K$50,MATCH($B56,Éléments!$C$5:$C$14,1),6),INDEX(Butin!$E$15:$K$24,MATCH($B56,Éléments!$C$5:$C$14,1),6)))</f>
        <v>0.005</v>
      </c>
      <c r="AT56" s="30" t="n">
        <f aca="false">IF($H56="Boss",INDEX(Butin!$E$28:$K$37,MATCH($B56,Éléments!$C$5:$C$14,1),7),IF($H56="Dragon",INDEX(Butin!$E$41:$K$50,MATCH($B56,Éléments!$C$5:$C$14,1),7),INDEX(Butin!$E$15:$K$24,MATCH($B56,Éléments!$C$5:$C$14,1),7)))</f>
        <v>0.002</v>
      </c>
      <c r="AU56" s="38" t="str">
        <f aca="false">IF(AT56=0,"—",INDEX(Butin!$D$54:$D$63,MATCH($B56,Éléments!$C$5:$C$14,1))&amp;" · "&amp;INDEX(Butin!$F$54:$F$63,MATCH($B56,Éléments!$C$5:$C$14,1))&amp;" · "&amp;INDEX(Butin!$H$54:$H$63,MATCH($B56,Éléments!$C$5:$C$14,1)))</f>
        <v>Chevalière du Gardien des Marées · Bottes du Voyageur des Eaux · Veste du Brouillard Mouvant</v>
      </c>
      <c r="AV56" s="20" t="s">
        <v>282</v>
      </c>
      <c r="AW56" s="39" t="str">
        <f aca="false">B56&amp;IF(G56="Oui","|B","|N")</f>
        <v>55|N</v>
      </c>
      <c r="AX56" s="40" t="n">
        <f aca="false">(Paramètres!$B$5+(1-Paramètres!$B$5)*((K56-Paramètres!$B$7)/(Paramètres!$B$8-Paramètres!$B$7))^Paramètres!$B$6)</f>
        <v>0.509022404451374</v>
      </c>
      <c r="AY56" s="39" t="n">
        <f aca="false">MATCH(I56,Rôles!$A$5:$A$13,0)</f>
        <v>7</v>
      </c>
      <c r="AZ56" s="39" t="n">
        <f aca="false">MATCH(H56,Rôles!$A$18:$A$22,0)</f>
        <v>2</v>
      </c>
    </row>
    <row r="57" customFormat="false" ht="15.75" hidden="false" customHeight="true" outlineLevel="0" collapsed="false">
      <c r="A57" s="20" t="s">
        <v>283</v>
      </c>
      <c r="B57" s="21" t="n">
        <v>59</v>
      </c>
      <c r="C57" s="22" t="str">
        <f aca="false" t="array" ref="C57:C57">INDEX(Zones!$B$6:$B$35,MATCH(B57,Zones!$A$6:$A$35,0))</f>
        <v>Tannière du dragon (59)</v>
      </c>
      <c r="D57" s="23" t="str">
        <f aca="false" t="array" ref="D57:D57">INDEX(Éléments!$B$5:$B$14,MATCH(B57,Éléments!$C$5:$C$14,1))</f>
        <v>Océan / Île</v>
      </c>
      <c r="E57" s="45" t="str">
        <f aca="false" t="array" ref="E57:E57">INDEX(Éléments!$A$5:$A$14,MATCH(B57,Éléments!$C$5:$C$14,1))</f>
        <v>Eau</v>
      </c>
      <c r="F57" s="25" t="s">
        <v>284</v>
      </c>
      <c r="G57" s="23" t="str">
        <f aca="false">IF(OR(H57="Boss",H57="Dragon"),"Oui","Non")</f>
        <v>Oui</v>
      </c>
      <c r="H57" s="26" t="s">
        <v>156</v>
      </c>
      <c r="I57" s="26" t="s">
        <v>156</v>
      </c>
      <c r="J57" s="26" t="s">
        <v>157</v>
      </c>
      <c r="K57" s="27" t="n">
        <f aca="false">IF($F$3="",B57,$F$3)</f>
        <v>59</v>
      </c>
      <c r="L57" s="28" t="n">
        <f aca="false" t="array" ref="L57:L57">ROUND(Paramètres!$B$16*(Paramètres!$B$5+(1-Paramètres!$B$5)*((K57-Paramètres!$B$7)/(Paramètres!$B$8-Paramètres!$B$7))^Paramètres!$B$6)*INDEX(Rôles!$B$18:$B$22,AZ57)*INDEX(Rôles!$B$5:$B$13,AY57),0)</f>
        <v>8664</v>
      </c>
      <c r="M57" s="29" t="n">
        <f aca="false" t="array" ref="M57:M57">ROUND(IF(J57="Physique",1,IF(J57="Mixte",Paramètres!$B$32,0))*Paramètres!$B$12*(Paramètres!$B$5+(1-Paramètres!$B$5)*((K57-Paramètres!$B$7)/(Paramètres!$B$8-Paramètres!$B$7))^Paramètres!$B$6)*INDEX(Rôles!$C$18:$C$22,AZ57)*INDEX(Rôles!$C$5:$C$13,AY57)/(Paramètres!$B$35*(1-Paramètres!$B$36)),0)</f>
        <v>283</v>
      </c>
      <c r="N57" s="29" t="n">
        <f aca="false" t="array" ref="N57:N57">ROUND(IF(J57="Magique",1,IF(J57="Mixte",Paramètres!$B$32,0))*Paramètres!$B$12*(Paramètres!$B$5+(1-Paramètres!$B$5)*((K57-Paramètres!$B$7)/(Paramètres!$B$8-Paramètres!$B$7))^Paramètres!$B$6)*INDEX(Rôles!$C$18:$C$22,AZ57)*INDEX(Rôles!$C$5:$C$13,AY57)/(Paramètres!$B$35*(1-Paramètres!$B$36)),0)</f>
        <v>283</v>
      </c>
      <c r="O57" s="29" t="n">
        <f aca="false" t="array" ref="O57:O57">ROUND(Paramètres!$B$18*(Paramètres!$B$5+(1-Paramètres!$B$5)*((K57-Paramètres!$B$7)/(Paramètres!$B$8-Paramètres!$B$7))^Paramètres!$B$6)*INDEX(Rôles!$D$5:$D$13,AY57)*INDEX(Rôles!$D$18:$D$22,AZ57),0)</f>
        <v>418</v>
      </c>
      <c r="P57" s="29" t="n">
        <f aca="false" t="array" ref="P57:P57">ROUND(Paramètres!$B$19*(Paramètres!$B$5+(1-Paramètres!$B$5)*((K57-Paramètres!$B$7)/(Paramètres!$B$8-Paramètres!$B$7))^Paramètres!$B$6)*INDEX(Rôles!$E$5:$E$13,AY57)*INDEX(Rôles!$D$18:$D$22,AZ57),0)</f>
        <v>400</v>
      </c>
      <c r="Q57" s="29" t="n">
        <f aca="false" t="array" ref="Q57:Q57">ROUND(Paramètres!$B$20*(Paramètres!$B$5+(1-Paramètres!$B$5)*((K57-Paramètres!$B$7)/(Paramètres!$B$8-Paramètres!$B$7))^Paramètres!$B$6)*INDEX(Rôles!$F$5:$F$13,AY57),0)</f>
        <v>53</v>
      </c>
      <c r="R57" s="29" t="n">
        <f aca="false">ROUND(Paramètres!$B$64*$AX57*INDEX(Rôles!$N$5:$N$13,$AY57)*INDEX(Rôles!$I$18:$I$22,$AZ57),0)</f>
        <v>44</v>
      </c>
      <c r="S57" s="30" t="n">
        <f aca="false" t="array" ref="S57:S57">MIN(1,ROUND(Paramètres!$B$21*INDEX(Rôles!$G$5:$G$13,AY57),3))</f>
        <v>0.9</v>
      </c>
      <c r="T57" s="30" t="n">
        <f aca="false" t="array" ref="T57:T57">MIN(Paramètres!$B$28,ROUND(Paramètres!$B$22*INDEX(Rôles!$H$5:$H$13,AY57),3))</f>
        <v>0.05</v>
      </c>
      <c r="U57" s="30" t="n">
        <f aca="false" t="array" ref="U57:U57">ROUND(Paramètres!$B$23*INDEX(Rôles!$I$5:$I$13,AY57),3)</f>
        <v>0.5</v>
      </c>
      <c r="V57" s="30" t="n">
        <f aca="false" t="array" ref="V57:V57">MIN(Paramètres!$B$29,ROUND(Paramètres!$B$24*INDEX(Rôles!$J$5:$J$13,AY57),3))</f>
        <v>0.05</v>
      </c>
      <c r="W57" s="30" t="n">
        <f aca="false" t="array" ref="W57:W57">MIN(Paramètres!$B$27,ROUND((Paramètres!$B$25+(Paramètres!$B$26-Paramètres!$B$25)*(K57-Paramètres!$B$7)/(Paramètres!$B$8-Paramètres!$B$7))*INDEX(Rôles!$K$5:$K$13,AY57)+INDEX(Rôles!$G$18:$G$22,AZ57),3))</f>
        <v>0.455</v>
      </c>
      <c r="X57" s="30" t="n">
        <f aca="false">ROUND(1-(1-P57/(P57+(Paramètres!$B$19*(Paramètres!$B$5+(1-Paramètres!$B$5)*((K57-Paramètres!$B$7)/(Paramètres!$B$8-Paramètres!$B$7))^Paramètres!$B$6)*(1-Paramètres!$B$30)/Paramètres!$B$30)))*(1-O57/(O57+(Paramètres!$B$18*(Paramètres!$B$5+(1-Paramètres!$B$5)*((K57-Paramètres!$B$7)/(Paramètres!$B$8-Paramètres!$B$7))^Paramètres!$B$6)*(1-Paramètres!$B$31)/Paramètres!$B$31))),3)</f>
        <v>0.47</v>
      </c>
      <c r="Y57" s="30" t="n">
        <f aca="false">ROUND(O57/(O57+(Paramètres!$B$18*(Paramètres!$B$5+(1-Paramètres!$B$5)*((K57-Paramètres!$B$7)/(Paramètres!$B$8-Paramètres!$B$7))^Paramètres!$B$6)*(1-Paramètres!$B$31)/Paramètres!$B$31)),3)</f>
        <v>0.23</v>
      </c>
      <c r="Z57" s="31" t="n">
        <f aca="false" t="array" ref="Z57:Z57">IF(E57="Neutre",0,MIN(1,INDEX(Rôles!$L$5:$L$13,AY57)+INDEX(Rôles!$F$18:$F$22,AZ57)))</f>
        <v>1</v>
      </c>
      <c r="AA57" s="32" t="n">
        <f aca="false" t="array" ref="AA57:AA57">ROUND(INDEX(Rôles!$C$18:$C$22,AZ57)*INDEX(Rôles!$C$5:$C$13,AY57),4)</f>
        <v>0.03</v>
      </c>
      <c r="AB57" s="33" t="n">
        <f aca="false" t="array" ref="AB57:AB57">ROUND(INDEX(Rôles!$B$18:$B$22,AZ57)*INDEX(Rôles!$B$5:$B$13,AY57),2)</f>
        <v>20</v>
      </c>
      <c r="AC57" s="33" t="n">
        <f aca="false" t="array" ref="AC57:AC57">INDEX(Rôles!$E$18:$E$22,AZ57)</f>
        <v>12</v>
      </c>
      <c r="AD57" s="23" t="str">
        <f aca="false" t="array" ref="AD57:AD57">INDEX(Éléments!$F$5:$F$14,MATCH(E57,Éléments!$A$5:$A$14,0))</f>
        <v>Électricité</v>
      </c>
      <c r="AE57" s="23" t="str">
        <f aca="false" t="array" ref="AE57:AE57">INDEX(Éléments!$G$5:$G$14,MATCH(E57,Éléments!$A$5:$A$14,0))</f>
        <v>Feu</v>
      </c>
      <c r="AF57" s="34" t="s">
        <v>273</v>
      </c>
      <c r="AG57" s="35" t="n">
        <v>0.4</v>
      </c>
      <c r="AH57" s="34" t="s">
        <v>142</v>
      </c>
      <c r="AI57" s="35" t="n">
        <v>0.2</v>
      </c>
      <c r="AJ57" s="29" t="n">
        <f aca="false" t="array" ref="AJ57:AJ57">ROUND(ROUND(Paramètres!$B$49*K57^Paramètres!$B$50,0)*INDEX(Rôles!$E$18:$E$22,AZ57),0)</f>
        <v>11772</v>
      </c>
      <c r="AK57" s="29" t="n">
        <f aca="false" t="array" ref="AK57:AK57">ROUND(ROUND(Paramètres!$B$53*K57^Paramètres!$B$54,0)*INDEX(Rôles!$E$18:$E$22,AZ57),0)</f>
        <v>8856</v>
      </c>
      <c r="AL57" s="36" t="n">
        <f aca="false">INDEX(Butin!$B$7:$B$11,AZ57)</f>
        <v>1</v>
      </c>
      <c r="AM57" s="37" t="n">
        <f aca="false">INDEX(Butin!$E$7:$E$11,AZ57)</f>
        <v>2.5</v>
      </c>
      <c r="AN57" s="30" t="n">
        <f aca="false">IF($H57="Boss",INDEX(Butin!$E$28:$K$37,MATCH($B57,Éléments!$C$5:$C$14,1),1),IF($H57="Dragon",INDEX(Butin!$E$41:$K$50,MATCH($B57,Éléments!$C$5:$C$14,1),1),INDEX(Butin!$E$15:$K$24,MATCH($B57,Éléments!$C$5:$C$14,1),1)))</f>
        <v>0.02</v>
      </c>
      <c r="AO57" s="30" t="n">
        <f aca="false">IF($H57="Boss",INDEX(Butin!$E$28:$K$37,MATCH($B57,Éléments!$C$5:$C$14,1),2),IF($H57="Dragon",INDEX(Butin!$E$41:$K$50,MATCH($B57,Éléments!$C$5:$C$14,1),2),INDEX(Butin!$E$15:$K$24,MATCH($B57,Éléments!$C$5:$C$14,1),2)))</f>
        <v>0.13</v>
      </c>
      <c r="AP57" s="30" t="n">
        <f aca="false">IF($H57="Boss",INDEX(Butin!$E$28:$K$37,MATCH($B57,Éléments!$C$5:$C$14,1),3),IF($H57="Dragon",INDEX(Butin!$E$41:$K$50,MATCH($B57,Éléments!$C$5:$C$14,1),3),INDEX(Butin!$E$15:$K$24,MATCH($B57,Éléments!$C$5:$C$14,1),3)))</f>
        <v>0.26</v>
      </c>
      <c r="AQ57" s="30" t="n">
        <f aca="false">IF($H57="Boss",INDEX(Butin!$E$28:$K$37,MATCH($B57,Éléments!$C$5:$C$14,1),4),IF($H57="Dragon",INDEX(Butin!$E$41:$K$50,MATCH($B57,Éléments!$C$5:$C$14,1),4),INDEX(Butin!$E$15:$K$24,MATCH($B57,Éléments!$C$5:$C$14,1),4)))</f>
        <v>0.3</v>
      </c>
      <c r="AR57" s="30" t="n">
        <f aca="false">IF($H57="Boss",INDEX(Butin!$E$28:$K$37,MATCH($B57,Éléments!$C$5:$C$14,1),5),IF($H57="Dragon",INDEX(Butin!$E$41:$K$50,MATCH($B57,Éléments!$C$5:$C$14,1),5),INDEX(Butin!$E$15:$K$24,MATCH($B57,Éléments!$C$5:$C$14,1),5)))</f>
        <v>0.17</v>
      </c>
      <c r="AS57" s="30" t="n">
        <f aca="false">IF($H57="Boss",INDEX(Butin!$E$28:$K$37,MATCH($B57,Éléments!$C$5:$C$14,1),6),IF($H57="Dragon",INDEX(Butin!$E$41:$K$50,MATCH($B57,Éléments!$C$5:$C$14,1),6),INDEX(Butin!$E$15:$K$24,MATCH($B57,Éléments!$C$5:$C$14,1),6)))</f>
        <v>0.05</v>
      </c>
      <c r="AT57" s="30" t="n">
        <f aca="false">IF($H57="Boss",INDEX(Butin!$E$28:$K$37,MATCH($B57,Éléments!$C$5:$C$14,1),7),IF($H57="Dragon",INDEX(Butin!$E$41:$K$50,MATCH($B57,Éléments!$C$5:$C$14,1),7),INDEX(Butin!$E$15:$K$24,MATCH($B57,Éléments!$C$5:$C$14,1),7)))</f>
        <v>0.07</v>
      </c>
      <c r="AU57" s="38" t="str">
        <f aca="false">IF(AT57=0,"—",INDEX(Butin!$D$54:$D$63,MATCH($B57,Éléments!$C$5:$C$14,1))&amp;" · "&amp;INDEX(Butin!$F$54:$F$63,MATCH($B57,Éléments!$C$5:$C$14,1))&amp;" · "&amp;INDEX(Butin!$H$54:$H$63,MATCH($B57,Éléments!$C$5:$C$14,1)))</f>
        <v>Chevalière du Gardien des Marées · Bottes du Voyageur des Eaux · Veste du Brouillard Mouvant</v>
      </c>
      <c r="AV57" s="20" t="s">
        <v>284</v>
      </c>
      <c r="AW57" s="39" t="str">
        <f aca="false">B57&amp;IF(G57="Oui","|B","|N")</f>
        <v>59|B</v>
      </c>
      <c r="AX57" s="40" t="n">
        <f aca="false">(Paramètres!$B$5+(1-Paramètres!$B$5)*((K57-Paramètres!$B$7)/(Paramètres!$B$8-Paramètres!$B$7))^Paramètres!$B$6)</f>
        <v>0.550120853936616</v>
      </c>
      <c r="AY57" s="39" t="n">
        <f aca="false">MATCH(I57,Rôles!$A$5:$A$13,0)</f>
        <v>9</v>
      </c>
      <c r="AZ57" s="39" t="n">
        <f aca="false">MATCH(H57,Rôles!$A$18:$A$22,0)</f>
        <v>5</v>
      </c>
    </row>
    <row r="58" customFormat="false" ht="15.75" hidden="false" customHeight="true" outlineLevel="0" collapsed="false">
      <c r="A58" s="20" t="s">
        <v>285</v>
      </c>
      <c r="B58" s="21" t="n">
        <v>60</v>
      </c>
      <c r="C58" s="22" t="str">
        <f aca="false" t="array" ref="C58:C58">INDEX(Zones!$B$6:$B$35,MATCH(B58,Zones!$A$6:$A$35,0))</f>
        <v>Palais des Atlantes</v>
      </c>
      <c r="D58" s="23" t="str">
        <f aca="false" t="array" ref="D58:D58">INDEX(Éléments!$B$5:$B$14,MATCH(B58,Éléments!$C$5:$C$14,1))</f>
        <v>Océan / Île</v>
      </c>
      <c r="E58" s="45" t="str">
        <f aca="false" t="array" ref="E58:E58">INDEX(Éléments!$A$5:$A$14,MATCH(B58,Éléments!$C$5:$C$14,1))</f>
        <v>Eau</v>
      </c>
      <c r="F58" s="25" t="s">
        <v>286</v>
      </c>
      <c r="G58" s="23" t="str">
        <f aca="false">IF(OR(H58="Boss",H58="Dragon"),"Oui","Non")</f>
        <v>Oui</v>
      </c>
      <c r="H58" s="26" t="s">
        <v>152</v>
      </c>
      <c r="I58" s="26" t="s">
        <v>160</v>
      </c>
      <c r="J58" s="26" t="s">
        <v>157</v>
      </c>
      <c r="K58" s="27" t="n">
        <f aca="false">IF($F$3="",B58,$F$3)</f>
        <v>60</v>
      </c>
      <c r="L58" s="28" t="n">
        <f aca="false" t="array" ref="L58:L58">ROUND(Paramètres!$B$16*(Paramètres!$B$5+(1-Paramètres!$B$5)*((K58-Paramètres!$B$7)/(Paramètres!$B$8-Paramètres!$B$7))^Paramètres!$B$6)*INDEX(Rôles!$B$18:$B$22,AZ58)*INDEX(Rôles!$B$5:$B$13,AY58),0)</f>
        <v>6091</v>
      </c>
      <c r="M58" s="29" t="n">
        <f aca="false" t="array" ref="M58:M58">ROUND(IF(J58="Physique",1,IF(J58="Mixte",Paramètres!$B$32,0))*Paramètres!$B$12*(Paramètres!$B$5+(1-Paramètres!$B$5)*((K58-Paramètres!$B$7)/(Paramètres!$B$8-Paramètres!$B$7))^Paramètres!$B$6)*INDEX(Rôles!$C$18:$C$22,AZ58)*INDEX(Rôles!$C$5:$C$13,AY58)/(Paramètres!$B$35*(1-Paramètres!$B$36)),0)</f>
        <v>288</v>
      </c>
      <c r="N58" s="29" t="n">
        <f aca="false" t="array" ref="N58:N58">ROUND(IF(J58="Magique",1,IF(J58="Mixte",Paramètres!$B$32,0))*Paramètres!$B$12*(Paramètres!$B$5+(1-Paramètres!$B$5)*((K58-Paramètres!$B$7)/(Paramètres!$B$8-Paramètres!$B$7))^Paramètres!$B$6)*INDEX(Rôles!$C$18:$C$22,AZ58)*INDEX(Rôles!$C$5:$C$13,AY58)/(Paramètres!$B$35*(1-Paramètres!$B$36)),0)</f>
        <v>288</v>
      </c>
      <c r="O58" s="29" t="n">
        <f aca="false" t="array" ref="O58:O58">ROUND(Paramètres!$B$18*(Paramètres!$B$5+(1-Paramètres!$B$5)*((K58-Paramètres!$B$7)/(Paramètres!$B$8-Paramètres!$B$7))^Paramètres!$B$6)*INDEX(Rôles!$D$5:$D$13,AY58)*INDEX(Rôles!$D$18:$D$22,AZ58),0)</f>
        <v>328</v>
      </c>
      <c r="P58" s="29" t="n">
        <f aca="false" t="array" ref="P58:P58">ROUND(Paramètres!$B$19*(Paramètres!$B$5+(1-Paramètres!$B$5)*((K58-Paramètres!$B$7)/(Paramètres!$B$8-Paramètres!$B$7))^Paramètres!$B$6)*INDEX(Rôles!$E$5:$E$13,AY58)*INDEX(Rôles!$D$18:$D$22,AZ58),0)</f>
        <v>350</v>
      </c>
      <c r="Q58" s="29" t="n">
        <f aca="false" t="array" ref="Q58:Q58">ROUND(Paramètres!$B$20*(Paramètres!$B$5+(1-Paramètres!$B$5)*((K58-Paramètres!$B$7)/(Paramètres!$B$8-Paramètres!$B$7))^Paramètres!$B$6)*INDEX(Rôles!$F$5:$F$13,AY58),0)</f>
        <v>61</v>
      </c>
      <c r="R58" s="29" t="n">
        <f aca="false">ROUND(Paramètres!$B$64*$AX58*INDEX(Rôles!$N$5:$N$13,$AY58)*INDEX(Rôles!$I$18:$I$22,$AZ58),0)</f>
        <v>61</v>
      </c>
      <c r="S58" s="30" t="n">
        <f aca="false" t="array" ref="S58:S58">MIN(1,ROUND(Paramètres!$B$21*INDEX(Rôles!$G$5:$G$13,AY58),3))</f>
        <v>0.9</v>
      </c>
      <c r="T58" s="30" t="n">
        <f aca="false" t="array" ref="T58:T58">MIN(Paramètres!$B$28,ROUND(Paramètres!$B$22*INDEX(Rôles!$H$5:$H$13,AY58),3))</f>
        <v>0.05</v>
      </c>
      <c r="U58" s="30" t="n">
        <f aca="false" t="array" ref="U58:U58">ROUND(Paramètres!$B$23*INDEX(Rôles!$I$5:$I$13,AY58),3)</f>
        <v>0.5</v>
      </c>
      <c r="V58" s="30" t="n">
        <f aca="false" t="array" ref="V58:V58">MIN(Paramètres!$B$29,ROUND(Paramètres!$B$24*INDEX(Rôles!$J$5:$J$13,AY58),3))</f>
        <v>0.05</v>
      </c>
      <c r="W58" s="30" t="n">
        <f aca="false" t="array" ref="W58:W58">MIN(Paramètres!$B$27,ROUND((Paramètres!$B$25+(Paramètres!$B$26-Paramètres!$B$25)*(K58-Paramètres!$B$7)/(Paramètres!$B$8-Paramètres!$B$7))*INDEX(Rôles!$K$5:$K$13,AY58)+INDEX(Rôles!$G$18:$G$22,AZ58),3))</f>
        <v>0.399</v>
      </c>
      <c r="X58" s="30" t="n">
        <f aca="false">ROUND(1-(1-P58/(P58+(Paramètres!$B$19*(Paramètres!$B$5+(1-Paramètres!$B$5)*((K58-Paramètres!$B$7)/(Paramètres!$B$8-Paramètres!$B$7))^Paramètres!$B$6)*(1-Paramètres!$B$30)/Paramètres!$B$30)))*(1-O58/(O58+(Paramètres!$B$18*(Paramètres!$B$5+(1-Paramètres!$B$5)*((K58-Paramètres!$B$7)/(Paramètres!$B$8-Paramètres!$B$7))^Paramètres!$B$6)*(1-Paramètres!$B$31)/Paramètres!$B$31))),3)</f>
        <v>0.415</v>
      </c>
      <c r="Y58" s="30" t="n">
        <f aca="false">ROUND(O58/(O58+(Paramètres!$B$18*(Paramètres!$B$5+(1-Paramètres!$B$5)*((K58-Paramètres!$B$7)/(Paramètres!$B$8-Paramètres!$B$7))^Paramètres!$B$6)*(1-Paramètres!$B$31)/Paramètres!$B$31)),3)</f>
        <v>0.187</v>
      </c>
      <c r="Z58" s="31" t="n">
        <f aca="false" t="array" ref="Z58:Z58">IF(E58="Neutre",0,MIN(1,INDEX(Rôles!$L$5:$L$13,AY58)+INDEX(Rôles!$F$18:$F$22,AZ58)))</f>
        <v>0.7</v>
      </c>
      <c r="AA58" s="32" t="n">
        <f aca="false" t="array" ref="AA58:AA58">ROUND(INDEX(Rôles!$C$18:$C$22,AZ58)*INDEX(Rôles!$C$5:$C$13,AY58),4)</f>
        <v>0.03</v>
      </c>
      <c r="AB58" s="33" t="n">
        <f aca="false" t="array" ref="AB58:AB58">ROUND(INDEX(Rôles!$B$18:$B$22,AZ58)*INDEX(Rôles!$B$5:$B$13,AY58),2)</f>
        <v>13.8</v>
      </c>
      <c r="AC58" s="33" t="n">
        <f aca="false" t="array" ref="AC58:AC58">INDEX(Rôles!$E$18:$E$22,AZ58)</f>
        <v>8</v>
      </c>
      <c r="AD58" s="23" t="str">
        <f aca="false" t="array" ref="AD58:AD58">INDEX(Éléments!$F$5:$F$14,MATCH(E58,Éléments!$A$5:$A$14,0))</f>
        <v>Électricité</v>
      </c>
      <c r="AE58" s="23" t="str">
        <f aca="false" t="array" ref="AE58:AE58">INDEX(Éléments!$G$5:$G$14,MATCH(E58,Éléments!$A$5:$A$14,0))</f>
        <v>Feu</v>
      </c>
      <c r="AF58" s="34" t="s">
        <v>273</v>
      </c>
      <c r="AG58" s="35" t="n">
        <v>0.35</v>
      </c>
      <c r="AH58" s="34" t="s">
        <v>161</v>
      </c>
      <c r="AI58" s="35" t="n">
        <v>0.3</v>
      </c>
      <c r="AJ58" s="29" t="n">
        <f aca="false" t="array" ref="AJ58:AJ58">ROUND(ROUND(Paramètres!$B$49*K58^Paramètres!$B$50,0)*INDEX(Rôles!$E$18:$E$22,AZ58),0)</f>
        <v>8016</v>
      </c>
      <c r="AK58" s="29" t="n">
        <f aca="false" t="array" ref="AK58:AK58">ROUND(ROUND(Paramètres!$B$53*K58^Paramètres!$B$54,0)*INDEX(Rôles!$E$18:$E$22,AZ58),0)</f>
        <v>6032</v>
      </c>
      <c r="AL58" s="36" t="n">
        <f aca="false">INDEX(Butin!$B$7:$B$11,AZ58)</f>
        <v>1</v>
      </c>
      <c r="AM58" s="37" t="n">
        <f aca="false">INDEX(Butin!$E$7:$E$11,AZ58)</f>
        <v>1.4</v>
      </c>
      <c r="AN58" s="30" t="n">
        <f aca="false">IF($H58="Boss",INDEX(Butin!$E$28:$K$37,MATCH($B58,Éléments!$C$5:$C$14,1),1),IF($H58="Dragon",INDEX(Butin!$E$41:$K$50,MATCH($B58,Éléments!$C$5:$C$14,1),1),INDEX(Butin!$E$15:$K$24,MATCH($B58,Éléments!$C$5:$C$14,1),1)))</f>
        <v>0.05</v>
      </c>
      <c r="AO58" s="30" t="n">
        <f aca="false">IF($H58="Boss",INDEX(Butin!$E$28:$K$37,MATCH($B58,Éléments!$C$5:$C$14,1),2),IF($H58="Dragon",INDEX(Butin!$E$41:$K$50,MATCH($B58,Éléments!$C$5:$C$14,1),2),INDEX(Butin!$E$15:$K$24,MATCH($B58,Éléments!$C$5:$C$14,1),2)))</f>
        <v>0.17</v>
      </c>
      <c r="AP58" s="30" t="n">
        <f aca="false">IF($H58="Boss",INDEX(Butin!$E$28:$K$37,MATCH($B58,Éléments!$C$5:$C$14,1),3),IF($H58="Dragon",INDEX(Butin!$E$41:$K$50,MATCH($B58,Éléments!$C$5:$C$14,1),3),INDEX(Butin!$E$15:$K$24,MATCH($B58,Éléments!$C$5:$C$14,1),3)))</f>
        <v>0.29</v>
      </c>
      <c r="AQ58" s="30" t="n">
        <f aca="false">IF($H58="Boss",INDEX(Butin!$E$28:$K$37,MATCH($B58,Éléments!$C$5:$C$14,1),4),IF($H58="Dragon",INDEX(Butin!$E$41:$K$50,MATCH($B58,Éléments!$C$5:$C$14,1),4),INDEX(Butin!$E$15:$K$24,MATCH($B58,Éléments!$C$5:$C$14,1),4)))</f>
        <v>0.26</v>
      </c>
      <c r="AR58" s="30" t="n">
        <f aca="false">IF($H58="Boss",INDEX(Butin!$E$28:$K$37,MATCH($B58,Éléments!$C$5:$C$14,1),5),IF($H58="Dragon",INDEX(Butin!$E$41:$K$50,MATCH($B58,Éléments!$C$5:$C$14,1),5),INDEX(Butin!$E$15:$K$24,MATCH($B58,Éléments!$C$5:$C$14,1),5)))</f>
        <v>0.14</v>
      </c>
      <c r="AS58" s="30" t="n">
        <f aca="false">IF($H58="Boss",INDEX(Butin!$E$28:$K$37,MATCH($B58,Éléments!$C$5:$C$14,1),6),IF($H58="Dragon",INDEX(Butin!$E$41:$K$50,MATCH($B58,Éléments!$C$5:$C$14,1),6),INDEX(Butin!$E$15:$K$24,MATCH($B58,Éléments!$C$5:$C$14,1),6)))</f>
        <v>0.04</v>
      </c>
      <c r="AT58" s="30" t="n">
        <f aca="false">IF($H58="Boss",INDEX(Butin!$E$28:$K$37,MATCH($B58,Éléments!$C$5:$C$14,1),7),IF($H58="Dragon",INDEX(Butin!$E$41:$K$50,MATCH($B58,Éléments!$C$5:$C$14,1),7),INDEX(Butin!$E$15:$K$24,MATCH($B58,Éléments!$C$5:$C$14,1),7)))</f>
        <v>0.05</v>
      </c>
      <c r="AU58" s="38" t="str">
        <f aca="false">IF(AT58=0,"—",INDEX(Butin!$D$54:$D$63,MATCH($B58,Éléments!$C$5:$C$14,1))&amp;" · "&amp;INDEX(Butin!$F$54:$F$63,MATCH($B58,Éléments!$C$5:$C$14,1))&amp;" · "&amp;INDEX(Butin!$H$54:$H$63,MATCH($B58,Éléments!$C$5:$C$14,1)))</f>
        <v>Chevalière du Gardien des Marées · Bottes du Voyageur des Eaux · Veste du Brouillard Mouvant</v>
      </c>
      <c r="AV58" s="20" t="s">
        <v>286</v>
      </c>
      <c r="AW58" s="39" t="str">
        <f aca="false">B58&amp;IF(G58="Oui","|B","|N")</f>
        <v>60|B</v>
      </c>
      <c r="AX58" s="40" t="n">
        <f aca="false">(Paramètres!$B$5+(1-Paramètres!$B$5)*((K58-Paramètres!$B$7)/(Paramètres!$B$8-Paramètres!$B$7))^Paramètres!$B$6)</f>
        <v>0.560485940776121</v>
      </c>
      <c r="AY58" s="39" t="n">
        <f aca="false">MATCH(I58,Rôles!$A$5:$A$13,0)</f>
        <v>3</v>
      </c>
      <c r="AZ58" s="39" t="n">
        <f aca="false">MATCH(H58,Rôles!$A$18:$A$22,0)</f>
        <v>4</v>
      </c>
    </row>
    <row r="59" customFormat="false" ht="15.75" hidden="false" customHeight="true" outlineLevel="0" collapsed="false">
      <c r="A59" s="20" t="s">
        <v>287</v>
      </c>
      <c r="B59" s="21" t="n">
        <v>60</v>
      </c>
      <c r="C59" s="22" t="str">
        <f aca="false" t="array" ref="C59:C59">INDEX(Zones!$B$6:$B$35,MATCH(B59,Zones!$A$6:$A$35,0))</f>
        <v>Palais des Atlantes</v>
      </c>
      <c r="D59" s="23" t="str">
        <f aca="false" t="array" ref="D59:D59">INDEX(Éléments!$B$5:$B$14,MATCH(B59,Éléments!$C$5:$C$14,1))</f>
        <v>Océan / Île</v>
      </c>
      <c r="E59" s="45" t="str">
        <f aca="false" t="array" ref="E59:E59">INDEX(Éléments!$A$5:$A$14,MATCH(B59,Éléments!$C$5:$C$14,1))</f>
        <v>Eau</v>
      </c>
      <c r="F59" s="25" t="s">
        <v>288</v>
      </c>
      <c r="G59" s="23" t="str">
        <f aca="false">IF(OR(H59="Boss",H59="Dragon"),"Oui","Non")</f>
        <v>Non</v>
      </c>
      <c r="H59" s="26" t="s">
        <v>138</v>
      </c>
      <c r="I59" s="26" t="s">
        <v>160</v>
      </c>
      <c r="J59" s="26" t="s">
        <v>140</v>
      </c>
      <c r="K59" s="27" t="n">
        <f aca="false">IF($F$3="",B59,$F$3)</f>
        <v>60</v>
      </c>
      <c r="L59" s="28" t="n">
        <f aca="false" t="array" ref="L59:L59">ROUND(Paramètres!$B$16*(Paramètres!$B$5+(1-Paramètres!$B$5)*((K59-Paramètres!$B$7)/(Paramètres!$B$8-Paramètres!$B$7))^Paramètres!$B$6)*INDEX(Rôles!$B$18:$B$22,AZ59)*INDEX(Rôles!$B$5:$B$13,AY59),0)</f>
        <v>1015</v>
      </c>
      <c r="M59" s="29" t="n">
        <f aca="false" t="array" ref="M59:M59">ROUND(IF(J59="Physique",1,IF(J59="Mixte",Paramètres!$B$32,0))*Paramètres!$B$12*(Paramètres!$B$5+(1-Paramètres!$B$5)*((K59-Paramètres!$B$7)/(Paramètres!$B$8-Paramètres!$B$7))^Paramètres!$B$6)*INDEX(Rôles!$C$18:$C$22,AZ59)*INDEX(Rôles!$C$5:$C$13,AY59)/(Paramètres!$B$35*(1-Paramètres!$B$36)),0)</f>
        <v>192</v>
      </c>
      <c r="N59" s="29" t="n">
        <f aca="false" t="array" ref="N59:N59">ROUND(IF(J59="Magique",1,IF(J59="Mixte",Paramètres!$B$32,0))*Paramètres!$B$12*(Paramètres!$B$5+(1-Paramètres!$B$5)*((K59-Paramètres!$B$7)/(Paramètres!$B$8-Paramètres!$B$7))^Paramètres!$B$6)*INDEX(Rôles!$C$18:$C$22,AZ59)*INDEX(Rôles!$C$5:$C$13,AY59)/(Paramètres!$B$35*(1-Paramètres!$B$36)),0)</f>
        <v>0</v>
      </c>
      <c r="O59" s="29" t="n">
        <f aca="false" t="array" ref="O59:O59">ROUND(Paramètres!$B$18*(Paramètres!$B$5+(1-Paramètres!$B$5)*((K59-Paramètres!$B$7)/(Paramètres!$B$8-Paramètres!$B$7))^Paramètres!$B$6)*INDEX(Rôles!$D$5:$D$13,AY59)*INDEX(Rôles!$D$18:$D$22,AZ59),0)</f>
        <v>252</v>
      </c>
      <c r="P59" s="29" t="n">
        <f aca="false" t="array" ref="P59:P59">ROUND(Paramètres!$B$19*(Paramètres!$B$5+(1-Paramètres!$B$5)*((K59-Paramètres!$B$7)/(Paramètres!$B$8-Paramètres!$B$7))^Paramètres!$B$6)*INDEX(Rôles!$E$5:$E$13,AY59)*INDEX(Rôles!$D$18:$D$22,AZ59),0)</f>
        <v>269</v>
      </c>
      <c r="Q59" s="29" t="n">
        <f aca="false" t="array" ref="Q59:Q59">ROUND(Paramètres!$B$20*(Paramètres!$B$5+(1-Paramètres!$B$5)*((K59-Paramètres!$B$7)/(Paramètres!$B$8-Paramètres!$B$7))^Paramètres!$B$6)*INDEX(Rôles!$F$5:$F$13,AY59),0)</f>
        <v>61</v>
      </c>
      <c r="R59" s="29" t="n">
        <f aca="false">ROUND(Paramètres!$B$64*$AX59*INDEX(Rôles!$N$5:$N$13,$AY59)*INDEX(Rôles!$I$18:$I$22,$AZ59),0)</f>
        <v>53</v>
      </c>
      <c r="S59" s="30" t="n">
        <f aca="false" t="array" ref="S59:S59">MIN(1,ROUND(Paramètres!$B$21*INDEX(Rôles!$G$5:$G$13,AY59),3))</f>
        <v>0.9</v>
      </c>
      <c r="T59" s="30" t="n">
        <f aca="false" t="array" ref="T59:T59">MIN(Paramètres!$B$28,ROUND(Paramètres!$B$22*INDEX(Rôles!$H$5:$H$13,AY59),3))</f>
        <v>0.05</v>
      </c>
      <c r="U59" s="30" t="n">
        <f aca="false" t="array" ref="U59:U59">ROUND(Paramètres!$B$23*INDEX(Rôles!$I$5:$I$13,AY59),3)</f>
        <v>0.5</v>
      </c>
      <c r="V59" s="30" t="n">
        <f aca="false" t="array" ref="V59:V59">MIN(Paramètres!$B$29,ROUND(Paramètres!$B$24*INDEX(Rôles!$J$5:$J$13,AY59),3))</f>
        <v>0.05</v>
      </c>
      <c r="W59" s="30" t="n">
        <f aca="false" t="array" ref="W59:W59">MIN(Paramètres!$B$27,ROUND((Paramètres!$B$25+(Paramètres!$B$26-Paramètres!$B$25)*(K59-Paramètres!$B$7)/(Paramètres!$B$8-Paramètres!$B$7))*INDEX(Rôles!$K$5:$K$13,AY59)+INDEX(Rôles!$G$18:$G$22,AZ59),3))</f>
        <v>0.199</v>
      </c>
      <c r="X59" s="30" t="n">
        <f aca="false">ROUND(1-(1-P59/(P59+(Paramètres!$B$19*(Paramètres!$B$5+(1-Paramètres!$B$5)*((K59-Paramètres!$B$7)/(Paramètres!$B$8-Paramètres!$B$7))^Paramètres!$B$6)*(1-Paramètres!$B$30)/Paramètres!$B$30)))*(1-O59/(O59+(Paramètres!$B$18*(Paramètres!$B$5+(1-Paramètres!$B$5)*((K59-Paramètres!$B$7)/(Paramètres!$B$8-Paramètres!$B$7))^Paramètres!$B$6)*(1-Paramètres!$B$31)/Paramètres!$B$31))),3)</f>
        <v>0.346</v>
      </c>
      <c r="Y59" s="30" t="n">
        <f aca="false">ROUND(O59/(O59+(Paramètres!$B$18*(Paramètres!$B$5+(1-Paramètres!$B$5)*((K59-Paramètres!$B$7)/(Paramètres!$B$8-Paramètres!$B$7))^Paramètres!$B$6)*(1-Paramètres!$B$31)/Paramètres!$B$31)),3)</f>
        <v>0.15</v>
      </c>
      <c r="Z59" s="31" t="n">
        <f aca="false" t="array" ref="Z59:Z59">IF(E59="Neutre",0,MIN(1,INDEX(Rôles!$L$5:$L$13,AY59)+INDEX(Rôles!$F$18:$F$22,AZ59)))</f>
        <v>0.5</v>
      </c>
      <c r="AA59" s="32" t="n">
        <f aca="false" t="array" ref="AA59:AA59">ROUND(INDEX(Rôles!$C$18:$C$22,AZ59)*INDEX(Rôles!$C$5:$C$13,AY59),4)</f>
        <v>0.015</v>
      </c>
      <c r="AB59" s="33" t="n">
        <f aca="false" t="array" ref="AB59:AB59">ROUND(INDEX(Rôles!$B$18:$B$22,AZ59)*INDEX(Rôles!$B$5:$B$13,AY59),2)</f>
        <v>2.3</v>
      </c>
      <c r="AC59" s="33" t="n">
        <f aca="false" t="array" ref="AC59:AC59">INDEX(Rôles!$E$18:$E$22,AZ59)</f>
        <v>1</v>
      </c>
      <c r="AD59" s="23" t="str">
        <f aca="false" t="array" ref="AD59:AD59">INDEX(Éléments!$F$5:$F$14,MATCH(E59,Éléments!$A$5:$A$14,0))</f>
        <v>Électricité</v>
      </c>
      <c r="AE59" s="23" t="str">
        <f aca="false" t="array" ref="AE59:AE59">INDEX(Éléments!$G$5:$G$14,MATCH(E59,Éléments!$A$5:$A$14,0))</f>
        <v>Feu</v>
      </c>
      <c r="AF59" s="34" t="s">
        <v>273</v>
      </c>
      <c r="AG59" s="35" t="n">
        <v>0.25</v>
      </c>
      <c r="AH59" s="34" t="s">
        <v>141</v>
      </c>
      <c r="AI59" s="35" t="n">
        <v>0.15</v>
      </c>
      <c r="AJ59" s="29" t="n">
        <f aca="false" t="array" ref="AJ59:AJ59">ROUND(ROUND(Paramètres!$B$49*K59^Paramètres!$B$50,0)*INDEX(Rôles!$E$18:$E$22,AZ59),0)</f>
        <v>1002</v>
      </c>
      <c r="AK59" s="29" t="n">
        <f aca="false" t="array" ref="AK59:AK59">ROUND(ROUND(Paramètres!$B$53*K59^Paramètres!$B$54,0)*INDEX(Rôles!$E$18:$E$22,AZ59),0)</f>
        <v>754</v>
      </c>
      <c r="AL59" s="36" t="n">
        <f aca="false">INDEX(Butin!$B$7:$B$11,AZ59)</f>
        <v>0.05</v>
      </c>
      <c r="AM59" s="37" t="n">
        <f aca="false">INDEX(Butin!$E$7:$E$11,AZ59)</f>
        <v>0.05</v>
      </c>
      <c r="AN59" s="30" t="n">
        <f aca="false">IF($H59="Boss",INDEX(Butin!$E$28:$K$37,MATCH($B59,Éléments!$C$5:$C$14,1),1),IF($H59="Dragon",INDEX(Butin!$E$41:$K$50,MATCH($B59,Éléments!$C$5:$C$14,1),1),INDEX(Butin!$E$15:$K$24,MATCH($B59,Éléments!$C$5:$C$14,1),1)))</f>
        <v>0.27</v>
      </c>
      <c r="AO59" s="30" t="n">
        <f aca="false">IF($H59="Boss",INDEX(Butin!$E$28:$K$37,MATCH($B59,Éléments!$C$5:$C$14,1),2),IF($H59="Dragon",INDEX(Butin!$E$41:$K$50,MATCH($B59,Éléments!$C$5:$C$14,1),2),INDEX(Butin!$E$15:$K$24,MATCH($B59,Éléments!$C$5:$C$14,1),2)))</f>
        <v>0.3</v>
      </c>
      <c r="AP59" s="30" t="n">
        <f aca="false">IF($H59="Boss",INDEX(Butin!$E$28:$K$37,MATCH($B59,Éléments!$C$5:$C$14,1),3),IF($H59="Dragon",INDEX(Butin!$E$41:$K$50,MATCH($B59,Éléments!$C$5:$C$14,1),3),INDEX(Butin!$E$15:$K$24,MATCH($B59,Éléments!$C$5:$C$14,1),3)))</f>
        <v>0.25</v>
      </c>
      <c r="AQ59" s="30" t="n">
        <f aca="false">IF($H59="Boss",INDEX(Butin!$E$28:$K$37,MATCH($B59,Éléments!$C$5:$C$14,1),4),IF($H59="Dragon",INDEX(Butin!$E$41:$K$50,MATCH($B59,Éléments!$C$5:$C$14,1),4),INDEX(Butin!$E$15:$K$24,MATCH($B59,Éléments!$C$5:$C$14,1),4)))</f>
        <v>0.128</v>
      </c>
      <c r="AR59" s="30" t="n">
        <f aca="false">IF($H59="Boss",INDEX(Butin!$E$28:$K$37,MATCH($B59,Éléments!$C$5:$C$14,1),5),IF($H59="Dragon",INDEX(Butin!$E$41:$K$50,MATCH($B59,Éléments!$C$5:$C$14,1),5),INDEX(Butin!$E$15:$K$24,MATCH($B59,Éléments!$C$5:$C$14,1),5)))</f>
        <v>0.045</v>
      </c>
      <c r="AS59" s="30" t="n">
        <f aca="false">IF($H59="Boss",INDEX(Butin!$E$28:$K$37,MATCH($B59,Éléments!$C$5:$C$14,1),6),IF($H59="Dragon",INDEX(Butin!$E$41:$K$50,MATCH($B59,Éléments!$C$5:$C$14,1),6),INDEX(Butin!$E$15:$K$24,MATCH($B59,Éléments!$C$5:$C$14,1),6)))</f>
        <v>0.005</v>
      </c>
      <c r="AT59" s="30" t="n">
        <f aca="false">IF($H59="Boss",INDEX(Butin!$E$28:$K$37,MATCH($B59,Éléments!$C$5:$C$14,1),7),IF($H59="Dragon",INDEX(Butin!$E$41:$K$50,MATCH($B59,Éléments!$C$5:$C$14,1),7),INDEX(Butin!$E$15:$K$24,MATCH($B59,Éléments!$C$5:$C$14,1),7)))</f>
        <v>0.002</v>
      </c>
      <c r="AU59" s="38" t="str">
        <f aca="false">IF(AT59=0,"—",INDEX(Butin!$D$54:$D$63,MATCH($B59,Éléments!$C$5:$C$14,1))&amp;" · "&amp;INDEX(Butin!$F$54:$F$63,MATCH($B59,Éléments!$C$5:$C$14,1))&amp;" · "&amp;INDEX(Butin!$H$54:$H$63,MATCH($B59,Éléments!$C$5:$C$14,1)))</f>
        <v>Chevalière du Gardien des Marées · Bottes du Voyageur des Eaux · Veste du Brouillard Mouvant</v>
      </c>
      <c r="AV59" s="20" t="s">
        <v>288</v>
      </c>
      <c r="AW59" s="39" t="str">
        <f aca="false">B59&amp;IF(G59="Oui","|B","|N")</f>
        <v>60|N</v>
      </c>
      <c r="AX59" s="40" t="n">
        <f aca="false">(Paramètres!$B$5+(1-Paramètres!$B$5)*((K59-Paramètres!$B$7)/(Paramètres!$B$8-Paramètres!$B$7))^Paramètres!$B$6)</f>
        <v>0.560485940776121</v>
      </c>
      <c r="AY59" s="39" t="n">
        <f aca="false">MATCH(I59,Rôles!$A$5:$A$13,0)</f>
        <v>3</v>
      </c>
      <c r="AZ59" s="39" t="n">
        <f aca="false">MATCH(H59,Rôles!$A$18:$A$22,0)</f>
        <v>2</v>
      </c>
    </row>
    <row r="60" customFormat="false" ht="15.75" hidden="false" customHeight="true" outlineLevel="0" collapsed="false">
      <c r="A60" s="20" t="s">
        <v>289</v>
      </c>
      <c r="B60" s="21" t="n">
        <v>60</v>
      </c>
      <c r="C60" s="22" t="str">
        <f aca="false" t="array" ref="C60:C60">INDEX(Zones!$B$6:$B$35,MATCH(B60,Zones!$A$6:$A$35,0))</f>
        <v>Palais des Atlantes</v>
      </c>
      <c r="D60" s="23" t="str">
        <f aca="false" t="array" ref="D60:D60">INDEX(Éléments!$B$5:$B$14,MATCH(B60,Éléments!$C$5:$C$14,1))</f>
        <v>Océan / Île</v>
      </c>
      <c r="E60" s="45" t="str">
        <f aca="false" t="array" ref="E60:E60">INDEX(Éléments!$A$5:$A$14,MATCH(B60,Éléments!$C$5:$C$14,1))</f>
        <v>Eau</v>
      </c>
      <c r="F60" s="25" t="s">
        <v>290</v>
      </c>
      <c r="G60" s="23" t="str">
        <f aca="false">IF(OR(H60="Boss",H60="Dragon"),"Oui","Non")</f>
        <v>Non</v>
      </c>
      <c r="H60" s="26" t="s">
        <v>138</v>
      </c>
      <c r="I60" s="26" t="s">
        <v>177</v>
      </c>
      <c r="J60" s="26" t="s">
        <v>140</v>
      </c>
      <c r="K60" s="27" t="n">
        <f aca="false">IF($F$3="",B60,$F$3)</f>
        <v>60</v>
      </c>
      <c r="L60" s="28" t="n">
        <f aca="false" t="array" ref="L60:L60">ROUND(Paramètres!$B$16*(Paramètres!$B$5+(1-Paramètres!$B$5)*((K60-Paramètres!$B$7)/(Paramètres!$B$8-Paramètres!$B$7))^Paramètres!$B$6)*INDEX(Rôles!$B$18:$B$22,AZ60)*INDEX(Rôles!$B$5:$B$13,AY60),0)</f>
        <v>706</v>
      </c>
      <c r="M60" s="29" t="n">
        <f aca="false" t="array" ref="M60:M60">ROUND(IF(J60="Physique",1,IF(J60="Mixte",Paramètres!$B$32,0))*Paramètres!$B$12*(Paramètres!$B$5+(1-Paramètres!$B$5)*((K60-Paramètres!$B$7)/(Paramètres!$B$8-Paramètres!$B$7))^Paramètres!$B$6)*INDEX(Rôles!$C$18:$C$22,AZ60)*INDEX(Rôles!$C$5:$C$13,AY60)/(Paramètres!$B$35*(1-Paramètres!$B$36)),0)</f>
        <v>211</v>
      </c>
      <c r="N60" s="29" t="n">
        <f aca="false" t="array" ref="N60:N60">ROUND(IF(J60="Magique",1,IF(J60="Mixte",Paramètres!$B$32,0))*Paramètres!$B$12*(Paramètres!$B$5+(1-Paramètres!$B$5)*((K60-Paramètres!$B$7)/(Paramètres!$B$8-Paramètres!$B$7))^Paramètres!$B$6)*INDEX(Rôles!$C$18:$C$22,AZ60)*INDEX(Rôles!$C$5:$C$13,AY60)/(Paramètres!$B$35*(1-Paramètres!$B$36)),0)</f>
        <v>0</v>
      </c>
      <c r="O60" s="29" t="n">
        <f aca="false" t="array" ref="O60:O60">ROUND(Paramètres!$B$18*(Paramètres!$B$5+(1-Paramètres!$B$5)*((K60-Paramètres!$B$7)/(Paramètres!$B$8-Paramètres!$B$7))^Paramètres!$B$6)*INDEX(Rôles!$D$5:$D$13,AY60)*INDEX(Rôles!$D$18:$D$22,AZ60),0)</f>
        <v>177</v>
      </c>
      <c r="P60" s="29" t="n">
        <f aca="false" t="array" ref="P60:P60">ROUND(Paramètres!$B$19*(Paramètres!$B$5+(1-Paramètres!$B$5)*((K60-Paramètres!$B$7)/(Paramètres!$B$8-Paramètres!$B$7))^Paramètres!$B$6)*INDEX(Rôles!$E$5:$E$13,AY60)*INDEX(Rôles!$D$18:$D$22,AZ60),0)</f>
        <v>135</v>
      </c>
      <c r="Q60" s="29" t="n">
        <f aca="false" t="array" ref="Q60:Q60">ROUND(Paramètres!$B$20*(Paramètres!$B$5+(1-Paramètres!$B$5)*((K60-Paramètres!$B$7)/(Paramètres!$B$8-Paramètres!$B$7))^Paramètres!$B$6)*INDEX(Rôles!$F$5:$F$13,AY60),0)</f>
        <v>74</v>
      </c>
      <c r="R60" s="29" t="n">
        <f aca="false">ROUND(Paramètres!$B$64*$AX60*INDEX(Rôles!$N$5:$N$13,$AY60)*INDEX(Rôles!$I$18:$I$22,$AZ60),0)</f>
        <v>62</v>
      </c>
      <c r="S60" s="30" t="n">
        <f aca="false" t="array" ref="S60:S60">MIN(1,ROUND(Paramètres!$B$21*INDEX(Rôles!$G$5:$G$13,AY60),3))</f>
        <v>1</v>
      </c>
      <c r="T60" s="30" t="n">
        <f aca="false" t="array" ref="T60:T60">MIN(Paramètres!$B$28,ROUND(Paramètres!$B$22*INDEX(Rôles!$H$5:$H$13,AY60),3))</f>
        <v>0.075</v>
      </c>
      <c r="U60" s="30" t="n">
        <f aca="false" t="array" ref="U60:U60">ROUND(Paramètres!$B$23*INDEX(Rôles!$I$5:$I$13,AY60),3)</f>
        <v>0.65</v>
      </c>
      <c r="V60" s="30" t="n">
        <f aca="false" t="array" ref="V60:V60">MIN(Paramètres!$B$29,ROUND(Paramètres!$B$24*INDEX(Rôles!$J$5:$J$13,AY60),3))</f>
        <v>0.07</v>
      </c>
      <c r="W60" s="30" t="n">
        <f aca="false" t="array" ref="W60:W60">MIN(Paramètres!$B$27,ROUND((Paramètres!$B$25+(Paramètres!$B$26-Paramètres!$B$25)*(K60-Paramètres!$B$7)/(Paramètres!$B$8-Paramètres!$B$7))*INDEX(Rôles!$K$5:$K$13,AY60)+INDEX(Rôles!$G$18:$G$22,AZ60),3))</f>
        <v>0.159</v>
      </c>
      <c r="X60" s="30" t="n">
        <f aca="false">ROUND(1-(1-P60/(P60+(Paramètres!$B$19*(Paramètres!$B$5+(1-Paramètres!$B$5)*((K60-Paramètres!$B$7)/(Paramètres!$B$8-Paramètres!$B$7))^Paramètres!$B$6)*(1-Paramètres!$B$30)/Paramètres!$B$30)))*(1-O60/(O60+(Paramètres!$B$18*(Paramètres!$B$5+(1-Paramètres!$B$5)*((K60-Paramètres!$B$7)/(Paramètres!$B$8-Paramètres!$B$7))^Paramètres!$B$6)*(1-Paramètres!$B$31)/Paramètres!$B$31))),3)</f>
        <v>0.227</v>
      </c>
      <c r="Y60" s="30" t="n">
        <f aca="false">ROUND(O60/(O60+(Paramètres!$B$18*(Paramètres!$B$5+(1-Paramètres!$B$5)*((K60-Paramètres!$B$7)/(Paramètres!$B$8-Paramètres!$B$7))^Paramètres!$B$6)*(1-Paramètres!$B$31)/Paramètres!$B$31)),3)</f>
        <v>0.11</v>
      </c>
      <c r="Z60" s="31" t="n">
        <f aca="false" t="array" ref="Z60:Z60">IF(E60="Neutre",0,MIN(1,INDEX(Rôles!$L$5:$L$13,AY60)+INDEX(Rôles!$F$18:$F$22,AZ60)))</f>
        <v>0.6</v>
      </c>
      <c r="AA60" s="32" t="n">
        <f aca="false" t="array" ref="AA60:AA60">ROUND(INDEX(Rôles!$C$18:$C$22,AZ60)*INDEX(Rôles!$C$5:$C$13,AY60),4)</f>
        <v>0.0165</v>
      </c>
      <c r="AB60" s="33" t="n">
        <f aca="false" t="array" ref="AB60:AB60">ROUND(INDEX(Rôles!$B$18:$B$22,AZ60)*INDEX(Rôles!$B$5:$B$13,AY60),2)</f>
        <v>1.6</v>
      </c>
      <c r="AC60" s="33" t="n">
        <f aca="false" t="array" ref="AC60:AC60">INDEX(Rôles!$E$18:$E$22,AZ60)</f>
        <v>1</v>
      </c>
      <c r="AD60" s="23" t="str">
        <f aca="false" t="array" ref="AD60:AD60">INDEX(Éléments!$F$5:$F$14,MATCH(E60,Éléments!$A$5:$A$14,0))</f>
        <v>Électricité</v>
      </c>
      <c r="AE60" s="23" t="str">
        <f aca="false" t="array" ref="AE60:AE60">INDEX(Éléments!$G$5:$G$14,MATCH(E60,Éléments!$A$5:$A$14,0))</f>
        <v>Feu</v>
      </c>
      <c r="AF60" s="34" t="s">
        <v>141</v>
      </c>
      <c r="AG60" s="35" t="n">
        <v>0.25</v>
      </c>
      <c r="AH60" s="34" t="s">
        <v>273</v>
      </c>
      <c r="AI60" s="35" t="n">
        <v>0.2</v>
      </c>
      <c r="AJ60" s="29" t="n">
        <f aca="false" t="array" ref="AJ60:AJ60">ROUND(ROUND(Paramètres!$B$49*K60^Paramètres!$B$50,0)*INDEX(Rôles!$E$18:$E$22,AZ60),0)</f>
        <v>1002</v>
      </c>
      <c r="AK60" s="29" t="n">
        <f aca="false" t="array" ref="AK60:AK60">ROUND(ROUND(Paramètres!$B$53*K60^Paramètres!$B$54,0)*INDEX(Rôles!$E$18:$E$22,AZ60),0)</f>
        <v>754</v>
      </c>
      <c r="AL60" s="36" t="n">
        <f aca="false">INDEX(Butin!$B$7:$B$11,AZ60)</f>
        <v>0.05</v>
      </c>
      <c r="AM60" s="37" t="n">
        <f aca="false">INDEX(Butin!$E$7:$E$11,AZ60)</f>
        <v>0.05</v>
      </c>
      <c r="AN60" s="30" t="n">
        <f aca="false">IF($H60="Boss",INDEX(Butin!$E$28:$K$37,MATCH($B60,Éléments!$C$5:$C$14,1),1),IF($H60="Dragon",INDEX(Butin!$E$41:$K$50,MATCH($B60,Éléments!$C$5:$C$14,1),1),INDEX(Butin!$E$15:$K$24,MATCH($B60,Éléments!$C$5:$C$14,1),1)))</f>
        <v>0.27</v>
      </c>
      <c r="AO60" s="30" t="n">
        <f aca="false">IF($H60="Boss",INDEX(Butin!$E$28:$K$37,MATCH($B60,Éléments!$C$5:$C$14,1),2),IF($H60="Dragon",INDEX(Butin!$E$41:$K$50,MATCH($B60,Éléments!$C$5:$C$14,1),2),INDEX(Butin!$E$15:$K$24,MATCH($B60,Éléments!$C$5:$C$14,1),2)))</f>
        <v>0.3</v>
      </c>
      <c r="AP60" s="30" t="n">
        <f aca="false">IF($H60="Boss",INDEX(Butin!$E$28:$K$37,MATCH($B60,Éléments!$C$5:$C$14,1),3),IF($H60="Dragon",INDEX(Butin!$E$41:$K$50,MATCH($B60,Éléments!$C$5:$C$14,1),3),INDEX(Butin!$E$15:$K$24,MATCH($B60,Éléments!$C$5:$C$14,1),3)))</f>
        <v>0.25</v>
      </c>
      <c r="AQ60" s="30" t="n">
        <f aca="false">IF($H60="Boss",INDEX(Butin!$E$28:$K$37,MATCH($B60,Éléments!$C$5:$C$14,1),4),IF($H60="Dragon",INDEX(Butin!$E$41:$K$50,MATCH($B60,Éléments!$C$5:$C$14,1),4),INDEX(Butin!$E$15:$K$24,MATCH($B60,Éléments!$C$5:$C$14,1),4)))</f>
        <v>0.128</v>
      </c>
      <c r="AR60" s="30" t="n">
        <f aca="false">IF($H60="Boss",INDEX(Butin!$E$28:$K$37,MATCH($B60,Éléments!$C$5:$C$14,1),5),IF($H60="Dragon",INDEX(Butin!$E$41:$K$50,MATCH($B60,Éléments!$C$5:$C$14,1),5),INDEX(Butin!$E$15:$K$24,MATCH($B60,Éléments!$C$5:$C$14,1),5)))</f>
        <v>0.045</v>
      </c>
      <c r="AS60" s="30" t="n">
        <f aca="false">IF($H60="Boss",INDEX(Butin!$E$28:$K$37,MATCH($B60,Éléments!$C$5:$C$14,1),6),IF($H60="Dragon",INDEX(Butin!$E$41:$K$50,MATCH($B60,Éléments!$C$5:$C$14,1),6),INDEX(Butin!$E$15:$K$24,MATCH($B60,Éléments!$C$5:$C$14,1),6)))</f>
        <v>0.005</v>
      </c>
      <c r="AT60" s="30" t="n">
        <f aca="false">IF($H60="Boss",INDEX(Butin!$E$28:$K$37,MATCH($B60,Éléments!$C$5:$C$14,1),7),IF($H60="Dragon",INDEX(Butin!$E$41:$K$50,MATCH($B60,Éléments!$C$5:$C$14,1),7),INDEX(Butin!$E$15:$K$24,MATCH($B60,Éléments!$C$5:$C$14,1),7)))</f>
        <v>0.002</v>
      </c>
      <c r="AU60" s="38" t="str">
        <f aca="false">IF(AT60=0,"—",INDEX(Butin!$D$54:$D$63,MATCH($B60,Éléments!$C$5:$C$14,1))&amp;" · "&amp;INDEX(Butin!$F$54:$F$63,MATCH($B60,Éléments!$C$5:$C$14,1))&amp;" · "&amp;INDEX(Butin!$H$54:$H$63,MATCH($B60,Éléments!$C$5:$C$14,1)))</f>
        <v>Chevalière du Gardien des Marées · Bottes du Voyageur des Eaux · Veste du Brouillard Mouvant</v>
      </c>
      <c r="AV60" s="20" t="s">
        <v>290</v>
      </c>
      <c r="AW60" s="39" t="str">
        <f aca="false">B60&amp;IF(G60="Oui","|B","|N")</f>
        <v>60|N</v>
      </c>
      <c r="AX60" s="40" t="n">
        <f aca="false">(Paramètres!$B$5+(1-Paramètres!$B$5)*((K60-Paramètres!$B$7)/(Paramètres!$B$8-Paramètres!$B$7))^Paramètres!$B$6)</f>
        <v>0.560485940776121</v>
      </c>
      <c r="AY60" s="39" t="n">
        <f aca="false">MATCH(I60,Rôles!$A$5:$A$13,0)</f>
        <v>4</v>
      </c>
      <c r="AZ60" s="39" t="n">
        <f aca="false">MATCH(H60,Rôles!$A$18:$A$22,0)</f>
        <v>2</v>
      </c>
    </row>
    <row r="61" customFormat="false" ht="15.75" hidden="false" customHeight="true" outlineLevel="0" collapsed="false">
      <c r="A61" s="20" t="s">
        <v>291</v>
      </c>
      <c r="B61" s="21" t="n">
        <v>60</v>
      </c>
      <c r="C61" s="22" t="str">
        <f aca="false" t="array" ref="C61:C61">INDEX(Zones!$B$6:$B$35,MATCH(B61,Zones!$A$6:$A$35,0))</f>
        <v>Palais des Atlantes</v>
      </c>
      <c r="D61" s="23" t="str">
        <f aca="false" t="array" ref="D61:D61">INDEX(Éléments!$B$5:$B$14,MATCH(B61,Éléments!$C$5:$C$14,1))</f>
        <v>Océan / Île</v>
      </c>
      <c r="E61" s="45" t="str">
        <f aca="false" t="array" ref="E61:E61">INDEX(Éléments!$A$5:$A$14,MATCH(B61,Éléments!$C$5:$C$14,1))</f>
        <v>Eau</v>
      </c>
      <c r="F61" s="25" t="s">
        <v>292</v>
      </c>
      <c r="G61" s="23" t="str">
        <f aca="false">IF(OR(H61="Boss",H61="Dragon"),"Oui","Non")</f>
        <v>Non</v>
      </c>
      <c r="H61" s="26" t="s">
        <v>138</v>
      </c>
      <c r="I61" s="26" t="s">
        <v>195</v>
      </c>
      <c r="J61" s="26" t="s">
        <v>173</v>
      </c>
      <c r="K61" s="27" t="n">
        <f aca="false">IF($F$3="",B61,$F$3)</f>
        <v>60</v>
      </c>
      <c r="L61" s="28" t="n">
        <f aca="false" t="array" ref="L61:L61">ROUND(Paramètres!$B$16*(Paramètres!$B$5+(1-Paramètres!$B$5)*((K61-Paramètres!$B$7)/(Paramètres!$B$8-Paramètres!$B$7))^Paramètres!$B$6)*INDEX(Rôles!$B$18:$B$22,AZ61)*INDEX(Rôles!$B$5:$B$13,AY61),0)</f>
        <v>618</v>
      </c>
      <c r="M61" s="29" t="n">
        <f aca="false" t="array" ref="M61:M61">ROUND(IF(J61="Physique",1,IF(J61="Mixte",Paramètres!$B$32,0))*Paramètres!$B$12*(Paramètres!$B$5+(1-Paramètres!$B$5)*((K61-Paramètres!$B$7)/(Paramètres!$B$8-Paramètres!$B$7))^Paramètres!$B$6)*INDEX(Rôles!$C$18:$C$22,AZ61)*INDEX(Rôles!$C$5:$C$13,AY61)/(Paramètres!$B$35*(1-Paramètres!$B$36)),0)</f>
        <v>0</v>
      </c>
      <c r="N61" s="29" t="n">
        <f aca="false" t="array" ref="N61:N61">ROUND(IF(J61="Magique",1,IF(J61="Mixte",Paramètres!$B$32,0))*Paramètres!$B$12*(Paramètres!$B$5+(1-Paramètres!$B$5)*((K61-Paramètres!$B$7)/(Paramètres!$B$8-Paramètres!$B$7))^Paramètres!$B$6)*INDEX(Rôles!$C$18:$C$22,AZ61)*INDEX(Rôles!$C$5:$C$13,AY61)/(Paramètres!$B$35*(1-Paramètres!$B$36)),0)</f>
        <v>240</v>
      </c>
      <c r="O61" s="29" t="n">
        <f aca="false" t="array" ref="O61:O61">ROUND(Paramètres!$B$18*(Paramètres!$B$5+(1-Paramètres!$B$5)*((K61-Paramètres!$B$7)/(Paramètres!$B$8-Paramètres!$B$7))^Paramètres!$B$6)*INDEX(Rôles!$D$5:$D$13,AY61)*INDEX(Rôles!$D$18:$D$22,AZ61),0)</f>
        <v>277</v>
      </c>
      <c r="P61" s="29" t="n">
        <f aca="false" t="array" ref="P61:P61">ROUND(Paramètres!$B$19*(Paramètres!$B$5+(1-Paramètres!$B$5)*((K61-Paramètres!$B$7)/(Paramètres!$B$8-Paramètres!$B$7))^Paramètres!$B$6)*INDEX(Rôles!$E$5:$E$13,AY61)*INDEX(Rôles!$D$18:$D$22,AZ61),0)</f>
        <v>90</v>
      </c>
      <c r="Q61" s="29" t="n">
        <f aca="false" t="array" ref="Q61:Q61">ROUND(Paramètres!$B$20*(Paramètres!$B$5+(1-Paramètres!$B$5)*((K61-Paramètres!$B$7)/(Paramètres!$B$8-Paramètres!$B$7))^Paramètres!$B$6)*INDEX(Rôles!$F$5:$F$13,AY61),0)</f>
        <v>61</v>
      </c>
      <c r="R61" s="29" t="n">
        <f aca="false">ROUND(Paramètres!$B$64*$AX61*INDEX(Rôles!$N$5:$N$13,$AY61)*INDEX(Rôles!$I$18:$I$22,$AZ61),0)</f>
        <v>50</v>
      </c>
      <c r="S61" s="30" t="n">
        <f aca="false" t="array" ref="S61:S61">MIN(1,ROUND(Paramètres!$B$21*INDEX(Rôles!$G$5:$G$13,AY61),3))</f>
        <v>0.9</v>
      </c>
      <c r="T61" s="30" t="n">
        <f aca="false" t="array" ref="T61:T61">MIN(Paramètres!$B$28,ROUND(Paramètres!$B$22*INDEX(Rôles!$H$5:$H$13,AY61),3))</f>
        <v>0.05</v>
      </c>
      <c r="U61" s="30" t="n">
        <f aca="false" t="array" ref="U61:U61">ROUND(Paramètres!$B$23*INDEX(Rôles!$I$5:$I$13,AY61),3)</f>
        <v>0.5</v>
      </c>
      <c r="V61" s="30" t="n">
        <f aca="false" t="array" ref="V61:V61">MIN(Paramètres!$B$29,ROUND(Paramètres!$B$24*INDEX(Rôles!$J$5:$J$13,AY61),3))</f>
        <v>0.065</v>
      </c>
      <c r="W61" s="30" t="n">
        <f aca="false" t="array" ref="W61:W61">MIN(Paramètres!$B$27,ROUND((Paramètres!$B$25+(Paramètres!$B$26-Paramètres!$B$25)*(K61-Paramètres!$B$7)/(Paramètres!$B$8-Paramètres!$B$7))*INDEX(Rôles!$K$5:$K$13,AY61)+INDEX(Rôles!$G$18:$G$22,AZ61),3))</f>
        <v>0.239</v>
      </c>
      <c r="X61" s="30" t="n">
        <f aca="false">ROUND(1-(1-P61/(P61+(Paramètres!$B$19*(Paramètres!$B$5+(1-Paramètres!$B$5)*((K61-Paramètres!$B$7)/(Paramètres!$B$8-Paramètres!$B$7))^Paramètres!$B$6)*(1-Paramètres!$B$30)/Paramètres!$B$30)))*(1-O61/(O61+(Paramètres!$B$18*(Paramètres!$B$5+(1-Paramètres!$B$5)*((K61-Paramètres!$B$7)/(Paramètres!$B$8-Paramètres!$B$7))^Paramètres!$B$6)*(1-Paramètres!$B$31)/Paramètres!$B$31))),3)</f>
        <v>0.239</v>
      </c>
      <c r="Y61" s="30" t="n">
        <f aca="false">ROUND(O61/(O61+(Paramètres!$B$18*(Paramètres!$B$5+(1-Paramètres!$B$5)*((K61-Paramètres!$B$7)/(Paramètres!$B$8-Paramètres!$B$7))^Paramètres!$B$6)*(1-Paramètres!$B$31)/Paramètres!$B$31)),3)</f>
        <v>0.162</v>
      </c>
      <c r="Z61" s="31" t="n">
        <f aca="false" t="array" ref="Z61:Z61">IF(E61="Neutre",0,MIN(1,INDEX(Rôles!$L$5:$L$13,AY61)+INDEX(Rôles!$F$18:$F$22,AZ61)))</f>
        <v>1</v>
      </c>
      <c r="AA61" s="32" t="n">
        <f aca="false" t="array" ref="AA61:AA61">ROUND(INDEX(Rôles!$C$18:$C$22,AZ61)*INDEX(Rôles!$C$5:$C$13,AY61),4)</f>
        <v>0.0188</v>
      </c>
      <c r="AB61" s="33" t="n">
        <f aca="false" t="array" ref="AB61:AB61">ROUND(INDEX(Rôles!$B$18:$B$22,AZ61)*INDEX(Rôles!$B$5:$B$13,AY61),2)</f>
        <v>1.4</v>
      </c>
      <c r="AC61" s="33" t="n">
        <f aca="false" t="array" ref="AC61:AC61">INDEX(Rôles!$E$18:$E$22,AZ61)</f>
        <v>1</v>
      </c>
      <c r="AD61" s="23" t="str">
        <f aca="false" t="array" ref="AD61:AD61">INDEX(Éléments!$F$5:$F$14,MATCH(E61,Éléments!$A$5:$A$14,0))</f>
        <v>Électricité</v>
      </c>
      <c r="AE61" s="23" t="str">
        <f aca="false" t="array" ref="AE61:AE61">INDEX(Éléments!$G$5:$G$14,MATCH(E61,Éléments!$A$5:$A$14,0))</f>
        <v>Feu</v>
      </c>
      <c r="AF61" s="34" t="s">
        <v>273</v>
      </c>
      <c r="AG61" s="35" t="n">
        <v>0.35</v>
      </c>
      <c r="AH61" s="34" t="s">
        <v>161</v>
      </c>
      <c r="AI61" s="35" t="n">
        <v>0.2</v>
      </c>
      <c r="AJ61" s="29" t="n">
        <f aca="false" t="array" ref="AJ61:AJ61">ROUND(ROUND(Paramètres!$B$49*K61^Paramètres!$B$50,0)*INDEX(Rôles!$E$18:$E$22,AZ61),0)</f>
        <v>1002</v>
      </c>
      <c r="AK61" s="29" t="n">
        <f aca="false" t="array" ref="AK61:AK61">ROUND(ROUND(Paramètres!$B$53*K61^Paramètres!$B$54,0)*INDEX(Rôles!$E$18:$E$22,AZ61),0)</f>
        <v>754</v>
      </c>
      <c r="AL61" s="36" t="n">
        <f aca="false">INDEX(Butin!$B$7:$B$11,AZ61)</f>
        <v>0.05</v>
      </c>
      <c r="AM61" s="37" t="n">
        <f aca="false">INDEX(Butin!$E$7:$E$11,AZ61)</f>
        <v>0.05</v>
      </c>
      <c r="AN61" s="30" t="n">
        <f aca="false">IF($H61="Boss",INDEX(Butin!$E$28:$K$37,MATCH($B61,Éléments!$C$5:$C$14,1),1),IF($H61="Dragon",INDEX(Butin!$E$41:$K$50,MATCH($B61,Éléments!$C$5:$C$14,1),1),INDEX(Butin!$E$15:$K$24,MATCH($B61,Éléments!$C$5:$C$14,1),1)))</f>
        <v>0.27</v>
      </c>
      <c r="AO61" s="30" t="n">
        <f aca="false">IF($H61="Boss",INDEX(Butin!$E$28:$K$37,MATCH($B61,Éléments!$C$5:$C$14,1),2),IF($H61="Dragon",INDEX(Butin!$E$41:$K$50,MATCH($B61,Éléments!$C$5:$C$14,1),2),INDEX(Butin!$E$15:$K$24,MATCH($B61,Éléments!$C$5:$C$14,1),2)))</f>
        <v>0.3</v>
      </c>
      <c r="AP61" s="30" t="n">
        <f aca="false">IF($H61="Boss",INDEX(Butin!$E$28:$K$37,MATCH($B61,Éléments!$C$5:$C$14,1),3),IF($H61="Dragon",INDEX(Butin!$E$41:$K$50,MATCH($B61,Éléments!$C$5:$C$14,1),3),INDEX(Butin!$E$15:$K$24,MATCH($B61,Éléments!$C$5:$C$14,1),3)))</f>
        <v>0.25</v>
      </c>
      <c r="AQ61" s="30" t="n">
        <f aca="false">IF($H61="Boss",INDEX(Butin!$E$28:$K$37,MATCH($B61,Éléments!$C$5:$C$14,1),4),IF($H61="Dragon",INDEX(Butin!$E$41:$K$50,MATCH($B61,Éléments!$C$5:$C$14,1),4),INDEX(Butin!$E$15:$K$24,MATCH($B61,Éléments!$C$5:$C$14,1),4)))</f>
        <v>0.128</v>
      </c>
      <c r="AR61" s="30" t="n">
        <f aca="false">IF($H61="Boss",INDEX(Butin!$E$28:$K$37,MATCH($B61,Éléments!$C$5:$C$14,1),5),IF($H61="Dragon",INDEX(Butin!$E$41:$K$50,MATCH($B61,Éléments!$C$5:$C$14,1),5),INDEX(Butin!$E$15:$K$24,MATCH($B61,Éléments!$C$5:$C$14,1),5)))</f>
        <v>0.045</v>
      </c>
      <c r="AS61" s="30" t="n">
        <f aca="false">IF($H61="Boss",INDEX(Butin!$E$28:$K$37,MATCH($B61,Éléments!$C$5:$C$14,1),6),IF($H61="Dragon",INDEX(Butin!$E$41:$K$50,MATCH($B61,Éléments!$C$5:$C$14,1),6),INDEX(Butin!$E$15:$K$24,MATCH($B61,Éléments!$C$5:$C$14,1),6)))</f>
        <v>0.005</v>
      </c>
      <c r="AT61" s="30" t="n">
        <f aca="false">IF($H61="Boss",INDEX(Butin!$E$28:$K$37,MATCH($B61,Éléments!$C$5:$C$14,1),7),IF($H61="Dragon",INDEX(Butin!$E$41:$K$50,MATCH($B61,Éléments!$C$5:$C$14,1),7),INDEX(Butin!$E$15:$K$24,MATCH($B61,Éléments!$C$5:$C$14,1),7)))</f>
        <v>0.002</v>
      </c>
      <c r="AU61" s="38" t="str">
        <f aca="false">IF(AT61=0,"—",INDEX(Butin!$D$54:$D$63,MATCH($B61,Éléments!$C$5:$C$14,1))&amp;" · "&amp;INDEX(Butin!$F$54:$F$63,MATCH($B61,Éléments!$C$5:$C$14,1))&amp;" · "&amp;INDEX(Butin!$H$54:$H$63,MATCH($B61,Éléments!$C$5:$C$14,1)))</f>
        <v>Chevalière du Gardien des Marées · Bottes du Voyageur des Eaux · Veste du Brouillard Mouvant</v>
      </c>
      <c r="AV61" s="20" t="s">
        <v>293</v>
      </c>
      <c r="AW61" s="39" t="str">
        <f aca="false">B61&amp;IF(G61="Oui","|B","|N")</f>
        <v>60|N</v>
      </c>
      <c r="AX61" s="40" t="n">
        <f aca="false">(Paramètres!$B$5+(1-Paramètres!$B$5)*((K61-Paramètres!$B$7)/(Paramètres!$B$8-Paramètres!$B$7))^Paramètres!$B$6)</f>
        <v>0.560485940776121</v>
      </c>
      <c r="AY61" s="39" t="n">
        <f aca="false">MATCH(I61,Rôles!$A$5:$A$13,0)</f>
        <v>5</v>
      </c>
      <c r="AZ61" s="39" t="n">
        <f aca="false">MATCH(H61,Rôles!$A$18:$A$22,0)</f>
        <v>2</v>
      </c>
    </row>
    <row r="62" customFormat="false" ht="15.75" hidden="false" customHeight="true" outlineLevel="0" collapsed="false">
      <c r="A62" s="20" t="s">
        <v>294</v>
      </c>
      <c r="B62" s="21" t="n">
        <v>65</v>
      </c>
      <c r="C62" s="22" t="str">
        <f aca="false" t="array" ref="C62:C62">INDEX(Zones!$B$6:$B$35,MATCH(B62,Zones!$A$6:$A$35,0))</f>
        <v>Plaine enneigée</v>
      </c>
      <c r="D62" s="23" t="str">
        <f aca="false" t="array" ref="D62:D62">INDEX(Éléments!$B$5:$B$14,MATCH(B62,Éléments!$C$5:$C$14,1))</f>
        <v>Iceberg</v>
      </c>
      <c r="E62" s="46" t="str">
        <f aca="false" t="array" ref="E62:E62">INDEX(Éléments!$A$5:$A$14,MATCH(B62,Éléments!$C$5:$C$14,1))</f>
        <v>Glace</v>
      </c>
      <c r="F62" s="25" t="s">
        <v>295</v>
      </c>
      <c r="G62" s="23" t="str">
        <f aca="false">IF(OR(H62="Boss",H62="Dragon"),"Oui","Non")</f>
        <v>Oui</v>
      </c>
      <c r="H62" s="26" t="s">
        <v>152</v>
      </c>
      <c r="I62" s="26" t="s">
        <v>149</v>
      </c>
      <c r="J62" s="26" t="s">
        <v>140</v>
      </c>
      <c r="K62" s="27" t="n">
        <f aca="false">IF($F$3="",B62,$F$3)</f>
        <v>65</v>
      </c>
      <c r="L62" s="28" t="n">
        <f aca="false" t="array" ref="L62:L62">ROUND(Paramètres!$B$16*(Paramètres!$B$5+(1-Paramètres!$B$5)*((K62-Paramètres!$B$7)/(Paramètres!$B$8-Paramètres!$B$7))^Paramètres!$B$6)*INDEX(Rôles!$B$18:$B$22,AZ62)*INDEX(Rôles!$B$5:$B$13,AY62),0)</f>
        <v>8687</v>
      </c>
      <c r="M62" s="29" t="n">
        <f aca="false" t="array" ref="M62:M62">ROUND(IF(J62="Physique",1,IF(J62="Mixte",Paramètres!$B$32,0))*Paramètres!$B$12*(Paramètres!$B$5+(1-Paramètres!$B$5)*((K62-Paramètres!$B$7)/(Paramètres!$B$8-Paramètres!$B$7))^Paramètres!$B$6)*INDEX(Rôles!$C$18:$C$22,AZ62)*INDEX(Rôles!$C$5:$C$13,AY62)/(Paramètres!$B$35*(1-Paramètres!$B$36)),0)</f>
        <v>399</v>
      </c>
      <c r="N62" s="29" t="n">
        <f aca="false" t="array" ref="N62:N62">ROUND(IF(J62="Magique",1,IF(J62="Mixte",Paramètres!$B$32,0))*Paramètres!$B$12*(Paramètres!$B$5+(1-Paramètres!$B$5)*((K62-Paramètres!$B$7)/(Paramètres!$B$8-Paramètres!$B$7))^Paramètres!$B$6)*INDEX(Rôles!$C$18:$C$22,AZ62)*INDEX(Rôles!$C$5:$C$13,AY62)/(Paramètres!$B$35*(1-Paramètres!$B$36)),0)</f>
        <v>0</v>
      </c>
      <c r="O62" s="29" t="n">
        <f aca="false" t="array" ref="O62:O62">ROUND(Paramètres!$B$18*(Paramètres!$B$5+(1-Paramètres!$B$5)*((K62-Paramètres!$B$7)/(Paramètres!$B$8-Paramètres!$B$7))^Paramètres!$B$6)*INDEX(Rôles!$D$5:$D$13,AY62)*INDEX(Rôles!$D$18:$D$22,AZ62),0)</f>
        <v>430</v>
      </c>
      <c r="P62" s="29" t="n">
        <f aca="false" t="array" ref="P62:P62">ROUND(Paramètres!$B$19*(Paramètres!$B$5+(1-Paramètres!$B$5)*((K62-Paramètres!$B$7)/(Paramètres!$B$8-Paramètres!$B$7))^Paramètres!$B$6)*INDEX(Rôles!$E$5:$E$13,AY62)*INDEX(Rôles!$D$18:$D$22,AZ62),0)</f>
        <v>478</v>
      </c>
      <c r="Q62" s="29" t="n">
        <f aca="false" t="array" ref="Q62:Q62">ROUND(Paramètres!$B$20*(Paramètres!$B$5+(1-Paramètres!$B$5)*((K62-Paramètres!$B$7)/(Paramètres!$B$8-Paramètres!$B$7))^Paramètres!$B$6)*INDEX(Rôles!$F$5:$F$13,AY62),0)</f>
        <v>44</v>
      </c>
      <c r="R62" s="29" t="n">
        <f aca="false">ROUND(Paramètres!$B$64*$AX62*INDEX(Rôles!$N$5:$N$13,$AY62)*INDEX(Rôles!$I$18:$I$22,$AZ62),0)</f>
        <v>49</v>
      </c>
      <c r="S62" s="30" t="n">
        <f aca="false" t="array" ref="S62:S62">MIN(1,ROUND(Paramètres!$B$21*INDEX(Rôles!$G$5:$G$13,AY62),3))</f>
        <v>0.765</v>
      </c>
      <c r="T62" s="30" t="n">
        <f aca="false" t="array" ref="T62:T62">MIN(Paramètres!$B$28,ROUND(Paramètres!$B$22*INDEX(Rôles!$H$5:$H$13,AY62),3))</f>
        <v>0.03</v>
      </c>
      <c r="U62" s="30" t="n">
        <f aca="false" t="array" ref="U62:U62">ROUND(Paramètres!$B$23*INDEX(Rôles!$I$5:$I$13,AY62),3)</f>
        <v>0.5</v>
      </c>
      <c r="V62" s="30" t="n">
        <f aca="false" t="array" ref="V62:V62">MIN(Paramètres!$B$29,ROUND(Paramètres!$B$24*INDEX(Rôles!$J$5:$J$13,AY62),3))</f>
        <v>0.04</v>
      </c>
      <c r="W62" s="30" t="n">
        <f aca="false" t="array" ref="W62:W62">MIN(Paramètres!$B$27,ROUND((Paramètres!$B$25+(Paramètres!$B$26-Paramètres!$B$25)*(K62-Paramètres!$B$7)/(Paramètres!$B$8-Paramètres!$B$7))*INDEX(Rôles!$K$5:$K$13,AY62)+INDEX(Rôles!$G$18:$G$22,AZ62),3))</f>
        <v>0.454</v>
      </c>
      <c r="X62" s="30" t="n">
        <f aca="false">ROUND(1-(1-P62/(P62+(Paramètres!$B$19*(Paramètres!$B$5+(1-Paramètres!$B$5)*((K62-Paramètres!$B$7)/(Paramètres!$B$8-Paramètres!$B$7))^Paramètres!$B$6)*(1-Paramètres!$B$30)/Paramètres!$B$30)))*(1-O62/(O62+(Paramètres!$B$18*(Paramètres!$B$5+(1-Paramètres!$B$5)*((K62-Paramètres!$B$7)/(Paramètres!$B$8-Paramètres!$B$7))^Paramètres!$B$6)*(1-Paramètres!$B$31)/Paramètres!$B$31))),3)</f>
        <v>0.473</v>
      </c>
      <c r="Y62" s="30" t="n">
        <f aca="false">ROUND(O62/(O62+(Paramètres!$B$18*(Paramètres!$B$5+(1-Paramètres!$B$5)*((K62-Paramètres!$B$7)/(Paramètres!$B$8-Paramètres!$B$7))^Paramètres!$B$6)*(1-Paramètres!$B$31)/Paramètres!$B$31)),3)</f>
        <v>0.216</v>
      </c>
      <c r="Z62" s="31" t="n">
        <f aca="false" t="array" ref="Z62:Z62">IF(E62="Neutre",0,MIN(1,INDEX(Rôles!$L$5:$L$13,AY62)+INDEX(Rôles!$F$18:$F$22,AZ62)))</f>
        <v>0.6</v>
      </c>
      <c r="AA62" s="32" t="n">
        <f aca="false" t="array" ref="AA62:AA62">ROUND(INDEX(Rôles!$C$18:$C$22,AZ62)*INDEX(Rôles!$C$5:$C$13,AY62),4)</f>
        <v>0.0285</v>
      </c>
      <c r="AB62" s="33" t="n">
        <f aca="false" t="array" ref="AB62:AB62">ROUND(INDEX(Rôles!$B$18:$B$22,AZ62)*INDEX(Rôles!$B$5:$B$13,AY62),2)</f>
        <v>18</v>
      </c>
      <c r="AC62" s="33" t="n">
        <f aca="false" t="array" ref="AC62:AC62">INDEX(Rôles!$E$18:$E$22,AZ62)</f>
        <v>8</v>
      </c>
      <c r="AD62" s="23" t="str">
        <f aca="false" t="array" ref="AD62:AD62">INDEX(Éléments!$F$5:$F$14,MATCH(E62,Éléments!$A$5:$A$14,0))</f>
        <v>Feu</v>
      </c>
      <c r="AE62" s="23" t="str">
        <f aca="false" t="array" ref="AE62:AE62">INDEX(Éléments!$G$5:$G$14,MATCH(E62,Éléments!$A$5:$A$14,0))</f>
        <v>Vent</v>
      </c>
      <c r="AF62" s="34" t="s">
        <v>296</v>
      </c>
      <c r="AG62" s="35" t="n">
        <v>0.4</v>
      </c>
      <c r="AH62" s="34" t="s">
        <v>142</v>
      </c>
      <c r="AI62" s="35" t="n">
        <v>0.3</v>
      </c>
      <c r="AJ62" s="29" t="n">
        <f aca="false" t="array" ref="AJ62:AJ62">ROUND(ROUND(Paramètres!$B$49*K62^Paramètres!$B$50,0)*INDEX(Rôles!$E$18:$E$22,AZ62),0)</f>
        <v>8856</v>
      </c>
      <c r="AK62" s="29" t="n">
        <f aca="false" t="array" ref="AK62:AK62">ROUND(ROUND(Paramètres!$B$53*K62^Paramètres!$B$54,0)*INDEX(Rôles!$E$18:$E$22,AZ62),0)</f>
        <v>6728</v>
      </c>
      <c r="AL62" s="36" t="n">
        <f aca="false">INDEX(Butin!$B$7:$B$11,AZ62)</f>
        <v>1</v>
      </c>
      <c r="AM62" s="37" t="n">
        <f aca="false">INDEX(Butin!$E$7:$E$11,AZ62)</f>
        <v>1.4</v>
      </c>
      <c r="AN62" s="30" t="n">
        <f aca="false">IF($H62="Boss",INDEX(Butin!$E$28:$K$37,MATCH($B62,Éléments!$C$5:$C$14,1),1),IF($H62="Dragon",INDEX(Butin!$E$41:$K$50,MATCH($B62,Éléments!$C$5:$C$14,1),1),INDEX(Butin!$E$15:$K$24,MATCH($B62,Éléments!$C$5:$C$14,1),1)))</f>
        <v>0.03</v>
      </c>
      <c r="AO62" s="30" t="n">
        <f aca="false">IF($H62="Boss",INDEX(Butin!$E$28:$K$37,MATCH($B62,Éléments!$C$5:$C$14,1),2),IF($H62="Dragon",INDEX(Butin!$E$41:$K$50,MATCH($B62,Éléments!$C$5:$C$14,1),2),INDEX(Butin!$E$15:$K$24,MATCH($B62,Éléments!$C$5:$C$14,1),2)))</f>
        <v>0.13</v>
      </c>
      <c r="AP62" s="30" t="n">
        <f aca="false">IF($H62="Boss",INDEX(Butin!$E$28:$K$37,MATCH($B62,Éléments!$C$5:$C$14,1),3),IF($H62="Dragon",INDEX(Butin!$E$41:$K$50,MATCH($B62,Éléments!$C$5:$C$14,1),3),INDEX(Butin!$E$15:$K$24,MATCH($B62,Éléments!$C$5:$C$14,1),3)))</f>
        <v>0.27</v>
      </c>
      <c r="AQ62" s="30" t="n">
        <f aca="false">IF($H62="Boss",INDEX(Butin!$E$28:$K$37,MATCH($B62,Éléments!$C$5:$C$14,1),4),IF($H62="Dragon",INDEX(Butin!$E$41:$K$50,MATCH($B62,Éléments!$C$5:$C$14,1),4),INDEX(Butin!$E$15:$K$24,MATCH($B62,Éléments!$C$5:$C$14,1),4)))</f>
        <v>0.28</v>
      </c>
      <c r="AR62" s="30" t="n">
        <f aca="false">IF($H62="Boss",INDEX(Butin!$E$28:$K$37,MATCH($B62,Éléments!$C$5:$C$14,1),5),IF($H62="Dragon",INDEX(Butin!$E$41:$K$50,MATCH($B62,Éléments!$C$5:$C$14,1),5),INDEX(Butin!$E$15:$K$24,MATCH($B62,Éléments!$C$5:$C$14,1),5)))</f>
        <v>0.175</v>
      </c>
      <c r="AS62" s="30" t="n">
        <f aca="false">IF($H62="Boss",INDEX(Butin!$E$28:$K$37,MATCH($B62,Éléments!$C$5:$C$14,1),6),IF($H62="Dragon",INDEX(Butin!$E$41:$K$50,MATCH($B62,Éléments!$C$5:$C$14,1),6),INDEX(Butin!$E$15:$K$24,MATCH($B62,Éléments!$C$5:$C$14,1),6)))</f>
        <v>0.06</v>
      </c>
      <c r="AT62" s="30" t="n">
        <f aca="false">IF($H62="Boss",INDEX(Butin!$E$28:$K$37,MATCH($B62,Éléments!$C$5:$C$14,1),7),IF($H62="Dragon",INDEX(Butin!$E$41:$K$50,MATCH($B62,Éléments!$C$5:$C$14,1),7),INDEX(Butin!$E$15:$K$24,MATCH($B62,Éléments!$C$5:$C$14,1),7)))</f>
        <v>0.055</v>
      </c>
      <c r="AU62" s="38" t="str">
        <f aca="false">IF(AT62=0,"—",INDEX(Butin!$D$54:$D$63,MATCH($B62,Éléments!$C$5:$C$14,1))&amp;" · "&amp;INDEX(Butin!$F$54:$F$63,MATCH($B62,Éléments!$C$5:$C$14,1))&amp;" · "&amp;INDEX(Butin!$H$54:$H$63,MATCH($B62,Éléments!$C$5:$C$14,1)))</f>
        <v>Bottes du Marcheur Glacé · Robe du Givre Éternel · Pantalon du Pisteur Givré</v>
      </c>
      <c r="AV62" s="20" t="s">
        <v>297</v>
      </c>
      <c r="AW62" s="39" t="str">
        <f aca="false">B62&amp;IF(G62="Oui","|B","|N")</f>
        <v>65|B</v>
      </c>
      <c r="AX62" s="40" t="n">
        <f aca="false">(Paramètres!$B$5+(1-Paramètres!$B$5)*((K62-Paramètres!$B$7)/(Paramètres!$B$8-Paramètres!$B$7))^Paramètres!$B$6)</f>
        <v>0.612830132682154</v>
      </c>
      <c r="AY62" s="39" t="n">
        <f aca="false">MATCH(I62,Rôles!$A$5:$A$13,0)</f>
        <v>2</v>
      </c>
      <c r="AZ62" s="39" t="n">
        <f aca="false">MATCH(H62,Rôles!$A$18:$A$22,0)</f>
        <v>4</v>
      </c>
    </row>
    <row r="63" customFormat="false" ht="15.75" hidden="false" customHeight="true" outlineLevel="0" collapsed="false">
      <c r="A63" s="20" t="s">
        <v>298</v>
      </c>
      <c r="B63" s="21" t="n">
        <v>65</v>
      </c>
      <c r="C63" s="22" t="str">
        <f aca="false" t="array" ref="C63:C63">INDEX(Zones!$B$6:$B$35,MATCH(B63,Zones!$A$6:$A$35,0))</f>
        <v>Plaine enneigée</v>
      </c>
      <c r="D63" s="23" t="str">
        <f aca="false" t="array" ref="D63:D63">INDEX(Éléments!$B$5:$B$14,MATCH(B63,Éléments!$C$5:$C$14,1))</f>
        <v>Iceberg</v>
      </c>
      <c r="E63" s="46" t="str">
        <f aca="false" t="array" ref="E63:E63">INDEX(Éléments!$A$5:$A$14,MATCH(B63,Éléments!$C$5:$C$14,1))</f>
        <v>Glace</v>
      </c>
      <c r="F63" s="25" t="s">
        <v>299</v>
      </c>
      <c r="G63" s="23" t="str">
        <f aca="false">IF(OR(H63="Boss",H63="Dragon"),"Oui","Non")</f>
        <v>Non</v>
      </c>
      <c r="H63" s="26" t="s">
        <v>148</v>
      </c>
      <c r="I63" s="26" t="s">
        <v>149</v>
      </c>
      <c r="J63" s="26" t="s">
        <v>140</v>
      </c>
      <c r="K63" s="27" t="n">
        <f aca="false">IF($F$3="",B63,$F$3)</f>
        <v>65</v>
      </c>
      <c r="L63" s="28" t="n">
        <f aca="false" t="array" ref="L63:L63">ROUND(Paramètres!$B$16*(Paramètres!$B$5+(1-Paramètres!$B$5)*((K63-Paramètres!$B$7)/(Paramètres!$B$8-Paramètres!$B$7))^Paramètres!$B$6)*INDEX(Rôles!$B$18:$B$22,AZ63)*INDEX(Rôles!$B$5:$B$13,AY63),0)</f>
        <v>2027</v>
      </c>
      <c r="M63" s="29" t="n">
        <f aca="false" t="array" ref="M63:M63">ROUND(IF(J63="Physique",1,IF(J63="Mixte",Paramètres!$B$32,0))*Paramètres!$B$12*(Paramètres!$B$5+(1-Paramètres!$B$5)*((K63-Paramètres!$B$7)/(Paramètres!$B$8-Paramètres!$B$7))^Paramètres!$B$6)*INDEX(Rôles!$C$18:$C$22,AZ63)*INDEX(Rôles!$C$5:$C$13,AY63)/(Paramètres!$B$35*(1-Paramètres!$B$36)),0)</f>
        <v>253</v>
      </c>
      <c r="N63" s="29" t="n">
        <f aca="false" t="array" ref="N63:N63">ROUND(IF(J63="Magique",1,IF(J63="Mixte",Paramètres!$B$32,0))*Paramètres!$B$12*(Paramètres!$B$5+(1-Paramètres!$B$5)*((K63-Paramètres!$B$7)/(Paramètres!$B$8-Paramètres!$B$7))^Paramètres!$B$6)*INDEX(Rôles!$C$18:$C$22,AZ63)*INDEX(Rôles!$C$5:$C$13,AY63)/(Paramètres!$B$35*(1-Paramètres!$B$36)),0)</f>
        <v>0</v>
      </c>
      <c r="O63" s="29" t="n">
        <f aca="false" t="array" ref="O63:O63">ROUND(Paramètres!$B$18*(Paramètres!$B$5+(1-Paramètres!$B$5)*((K63-Paramètres!$B$7)/(Paramètres!$B$8-Paramètres!$B$7))^Paramètres!$B$6)*INDEX(Rôles!$D$5:$D$13,AY63)*INDEX(Rôles!$D$18:$D$22,AZ63),0)</f>
        <v>381</v>
      </c>
      <c r="P63" s="29" t="n">
        <f aca="false" t="array" ref="P63:P63">ROUND(Paramètres!$B$19*(Paramètres!$B$5+(1-Paramètres!$B$5)*((K63-Paramètres!$B$7)/(Paramètres!$B$8-Paramètres!$B$7))^Paramètres!$B$6)*INDEX(Rôles!$E$5:$E$13,AY63)*INDEX(Rôles!$D$18:$D$22,AZ63),0)</f>
        <v>423</v>
      </c>
      <c r="Q63" s="29" t="n">
        <f aca="false" t="array" ref="Q63:Q63">ROUND(Paramètres!$B$20*(Paramètres!$B$5+(1-Paramètres!$B$5)*((K63-Paramètres!$B$7)/(Paramètres!$B$8-Paramètres!$B$7))^Paramètres!$B$6)*INDEX(Rôles!$F$5:$F$13,AY63),0)</f>
        <v>44</v>
      </c>
      <c r="R63" s="29" t="n">
        <f aca="false">ROUND(Paramètres!$B$64*$AX63*INDEX(Rôles!$N$5:$N$13,$AY63)*INDEX(Rôles!$I$18:$I$22,$AZ63),0)</f>
        <v>45</v>
      </c>
      <c r="S63" s="30" t="n">
        <f aca="false" t="array" ref="S63:S63">MIN(1,ROUND(Paramètres!$B$21*INDEX(Rôles!$G$5:$G$13,AY63),3))</f>
        <v>0.765</v>
      </c>
      <c r="T63" s="30" t="n">
        <f aca="false" t="array" ref="T63:T63">MIN(Paramètres!$B$28,ROUND(Paramètres!$B$22*INDEX(Rôles!$H$5:$H$13,AY63),3))</f>
        <v>0.03</v>
      </c>
      <c r="U63" s="30" t="n">
        <f aca="false" t="array" ref="U63:U63">ROUND(Paramètres!$B$23*INDEX(Rôles!$I$5:$I$13,AY63),3)</f>
        <v>0.5</v>
      </c>
      <c r="V63" s="30" t="n">
        <f aca="false" t="array" ref="V63:V63">MIN(Paramètres!$B$29,ROUND(Paramètres!$B$24*INDEX(Rôles!$J$5:$J$13,AY63),3))</f>
        <v>0.04</v>
      </c>
      <c r="W63" s="30" t="n">
        <f aca="false" t="array" ref="W63:W63">MIN(Paramètres!$B$27,ROUND((Paramètres!$B$25+(Paramètres!$B$26-Paramètres!$B$25)*(K63-Paramètres!$B$7)/(Paramètres!$B$8-Paramètres!$B$7))*INDEX(Rôles!$K$5:$K$13,AY63)+INDEX(Rôles!$G$18:$G$22,AZ63),3))</f>
        <v>0.254</v>
      </c>
      <c r="X63" s="30" t="n">
        <f aca="false">ROUND(1-(1-P63/(P63+(Paramètres!$B$19*(Paramètres!$B$5+(1-Paramètres!$B$5)*((K63-Paramètres!$B$7)/(Paramètres!$B$8-Paramètres!$B$7))^Paramètres!$B$6)*(1-Paramètres!$B$30)/Paramètres!$B$30)))*(1-O63/(O63+(Paramètres!$B$18*(Paramètres!$B$5+(1-Paramètres!$B$5)*((K63-Paramètres!$B$7)/(Paramètres!$B$8-Paramètres!$B$7))^Paramètres!$B$6)*(1-Paramètres!$B$31)/Paramètres!$B$31))),3)</f>
        <v>0.438</v>
      </c>
      <c r="Y63" s="30" t="n">
        <f aca="false">ROUND(O63/(O63+(Paramètres!$B$18*(Paramètres!$B$5+(1-Paramètres!$B$5)*((K63-Paramètres!$B$7)/(Paramètres!$B$8-Paramètres!$B$7))^Paramètres!$B$6)*(1-Paramètres!$B$31)/Paramètres!$B$31)),3)</f>
        <v>0.196</v>
      </c>
      <c r="Z63" s="31" t="n">
        <f aca="false" t="array" ref="Z63:Z63">IF(E63="Neutre",0,MIN(1,INDEX(Rôles!$L$5:$L$13,AY63)+INDEX(Rôles!$F$18:$F$22,AZ63)))</f>
        <v>0.4</v>
      </c>
      <c r="AA63" s="32" t="n">
        <f aca="false" t="array" ref="AA63:AA63">ROUND(INDEX(Rôles!$C$18:$C$22,AZ63)*INDEX(Rôles!$C$5:$C$13,AY63),4)</f>
        <v>0.0181</v>
      </c>
      <c r="AB63" s="33" t="n">
        <f aca="false" t="array" ref="AB63:AB63">ROUND(INDEX(Rôles!$B$18:$B$22,AZ63)*INDEX(Rôles!$B$5:$B$13,AY63),2)</f>
        <v>4.2</v>
      </c>
      <c r="AC63" s="33" t="n">
        <f aca="false" t="array" ref="AC63:AC63">INDEX(Rôles!$E$18:$E$22,AZ63)</f>
        <v>1.4</v>
      </c>
      <c r="AD63" s="23" t="str">
        <f aca="false" t="array" ref="AD63:AD63">INDEX(Éléments!$F$5:$F$14,MATCH(E63,Éléments!$A$5:$A$14,0))</f>
        <v>Feu</v>
      </c>
      <c r="AE63" s="23" t="str">
        <f aca="false" t="array" ref="AE63:AE63">INDEX(Éléments!$G$5:$G$14,MATCH(E63,Éléments!$A$5:$A$14,0))</f>
        <v>Vent</v>
      </c>
      <c r="AF63" s="34" t="s">
        <v>296</v>
      </c>
      <c r="AG63" s="35" t="n">
        <v>0.3</v>
      </c>
      <c r="AH63" s="34" t="s">
        <v>142</v>
      </c>
      <c r="AI63" s="35" t="n">
        <v>0.2</v>
      </c>
      <c r="AJ63" s="29" t="n">
        <f aca="false" t="array" ref="AJ63:AJ63">ROUND(ROUND(Paramètres!$B$49*K63^Paramètres!$B$50,0)*INDEX(Rôles!$E$18:$E$22,AZ63),0)</f>
        <v>1550</v>
      </c>
      <c r="AK63" s="29" t="n">
        <f aca="false" t="array" ref="AK63:AK63">ROUND(ROUND(Paramètres!$B$53*K63^Paramètres!$B$54,0)*INDEX(Rôles!$E$18:$E$22,AZ63),0)</f>
        <v>1177</v>
      </c>
      <c r="AL63" s="36" t="n">
        <f aca="false">INDEX(Butin!$B$7:$B$11,AZ63)</f>
        <v>0.08</v>
      </c>
      <c r="AM63" s="37" t="n">
        <f aca="false">INDEX(Butin!$E$7:$E$11,AZ63)</f>
        <v>0.08</v>
      </c>
      <c r="AN63" s="30" t="n">
        <f aca="false">IF($H63="Boss",INDEX(Butin!$E$28:$K$37,MATCH($B63,Éléments!$C$5:$C$14,1),1),IF($H63="Dragon",INDEX(Butin!$E$41:$K$50,MATCH($B63,Éléments!$C$5:$C$14,1),1),INDEX(Butin!$E$15:$K$24,MATCH($B63,Éléments!$C$5:$C$14,1),1)))</f>
        <v>0.21</v>
      </c>
      <c r="AO63" s="30" t="n">
        <f aca="false">IF($H63="Boss",INDEX(Butin!$E$28:$K$37,MATCH($B63,Éléments!$C$5:$C$14,1),2),IF($H63="Dragon",INDEX(Butin!$E$41:$K$50,MATCH($B63,Éléments!$C$5:$C$14,1),2),INDEX(Butin!$E$15:$K$24,MATCH($B63,Éléments!$C$5:$C$14,1),2)))</f>
        <v>0.28</v>
      </c>
      <c r="AP63" s="30" t="n">
        <f aca="false">IF($H63="Boss",INDEX(Butin!$E$28:$K$37,MATCH($B63,Éléments!$C$5:$C$14,1),3),IF($H63="Dragon",INDEX(Butin!$E$41:$K$50,MATCH($B63,Éléments!$C$5:$C$14,1),3),INDEX(Butin!$E$15:$K$24,MATCH($B63,Éléments!$C$5:$C$14,1),3)))</f>
        <v>0.27</v>
      </c>
      <c r="AQ63" s="30" t="n">
        <f aca="false">IF($H63="Boss",INDEX(Butin!$E$28:$K$37,MATCH($B63,Éléments!$C$5:$C$14,1),4),IF($H63="Dragon",INDEX(Butin!$E$41:$K$50,MATCH($B63,Éléments!$C$5:$C$14,1),4),INDEX(Butin!$E$15:$K$24,MATCH($B63,Éléments!$C$5:$C$14,1),4)))</f>
        <v>0.16</v>
      </c>
      <c r="AR63" s="30" t="n">
        <f aca="false">IF($H63="Boss",INDEX(Butin!$E$28:$K$37,MATCH($B63,Éléments!$C$5:$C$14,1),5),IF($H63="Dragon",INDEX(Butin!$E$41:$K$50,MATCH($B63,Éléments!$C$5:$C$14,1),5),INDEX(Butin!$E$15:$K$24,MATCH($B63,Éléments!$C$5:$C$14,1),5)))</f>
        <v>0.065</v>
      </c>
      <c r="AS63" s="30" t="n">
        <f aca="false">IF($H63="Boss",INDEX(Butin!$E$28:$K$37,MATCH($B63,Éléments!$C$5:$C$14,1),6),IF($H63="Dragon",INDEX(Butin!$E$41:$K$50,MATCH($B63,Éléments!$C$5:$C$14,1),6),INDEX(Butin!$E$15:$K$24,MATCH($B63,Éléments!$C$5:$C$14,1),6)))</f>
        <v>0.012</v>
      </c>
      <c r="AT63" s="30" t="n">
        <f aca="false">IF($H63="Boss",INDEX(Butin!$E$28:$K$37,MATCH($B63,Éléments!$C$5:$C$14,1),7),IF($H63="Dragon",INDEX(Butin!$E$41:$K$50,MATCH($B63,Éléments!$C$5:$C$14,1),7),INDEX(Butin!$E$15:$K$24,MATCH($B63,Éléments!$C$5:$C$14,1),7)))</f>
        <v>0.003</v>
      </c>
      <c r="AU63" s="38" t="str">
        <f aca="false">IF(AT63=0,"—",INDEX(Butin!$D$54:$D$63,MATCH($B63,Éléments!$C$5:$C$14,1))&amp;" · "&amp;INDEX(Butin!$F$54:$F$63,MATCH($B63,Éléments!$C$5:$C$14,1))&amp;" · "&amp;INDEX(Butin!$H$54:$H$63,MATCH($B63,Éléments!$C$5:$C$14,1)))</f>
        <v>Bottes du Marcheur Glacé · Robe du Givre Éternel · Pantalon du Pisteur Givré</v>
      </c>
      <c r="AV63" s="20" t="s">
        <v>299</v>
      </c>
      <c r="AW63" s="39" t="str">
        <f aca="false">B63&amp;IF(G63="Oui","|B","|N")</f>
        <v>65|N</v>
      </c>
      <c r="AX63" s="40" t="n">
        <f aca="false">(Paramètres!$B$5+(1-Paramètres!$B$5)*((K63-Paramètres!$B$7)/(Paramètres!$B$8-Paramètres!$B$7))^Paramètres!$B$6)</f>
        <v>0.612830132682154</v>
      </c>
      <c r="AY63" s="39" t="n">
        <f aca="false">MATCH(I63,Rôles!$A$5:$A$13,0)</f>
        <v>2</v>
      </c>
      <c r="AZ63" s="39" t="n">
        <f aca="false">MATCH(H63,Rôles!$A$18:$A$22,0)</f>
        <v>3</v>
      </c>
    </row>
    <row r="64" customFormat="false" ht="15.75" hidden="false" customHeight="true" outlineLevel="0" collapsed="false">
      <c r="A64" s="20" t="s">
        <v>300</v>
      </c>
      <c r="B64" s="21" t="n">
        <v>65</v>
      </c>
      <c r="C64" s="22" t="str">
        <f aca="false" t="array" ref="C64:C64">INDEX(Zones!$B$6:$B$35,MATCH(B64,Zones!$A$6:$A$35,0))</f>
        <v>Plaine enneigée</v>
      </c>
      <c r="D64" s="23" t="str">
        <f aca="false" t="array" ref="D64:D64">INDEX(Éléments!$B$5:$B$14,MATCH(B64,Éléments!$C$5:$C$14,1))</f>
        <v>Iceberg</v>
      </c>
      <c r="E64" s="46" t="str">
        <f aca="false" t="array" ref="E64:E64">INDEX(Éléments!$A$5:$A$14,MATCH(B64,Éléments!$C$5:$C$14,1))</f>
        <v>Glace</v>
      </c>
      <c r="F64" s="25" t="s">
        <v>301</v>
      </c>
      <c r="G64" s="23" t="str">
        <f aca="false">IF(OR(H64="Boss",H64="Dragon"),"Oui","Non")</f>
        <v>Non</v>
      </c>
      <c r="H64" s="26" t="s">
        <v>138</v>
      </c>
      <c r="I64" s="26" t="s">
        <v>139</v>
      </c>
      <c r="J64" s="26" t="s">
        <v>140</v>
      </c>
      <c r="K64" s="27" t="n">
        <f aca="false">IF($F$3="",B64,$F$3)</f>
        <v>65</v>
      </c>
      <c r="L64" s="28" t="n">
        <f aca="false" t="array" ref="L64:L64">ROUND(Paramètres!$B$16*(Paramètres!$B$5+(1-Paramètres!$B$5)*((K64-Paramètres!$B$7)/(Paramètres!$B$8-Paramètres!$B$7))^Paramètres!$B$6)*INDEX(Rôles!$B$18:$B$22,AZ64)*INDEX(Rôles!$B$5:$B$13,AY64),0)</f>
        <v>917</v>
      </c>
      <c r="M64" s="29" t="n">
        <f aca="false" t="array" ref="M64:M64">ROUND(IF(J64="Physique",1,IF(J64="Mixte",Paramètres!$B$32,0))*Paramètres!$B$12*(Paramètres!$B$5+(1-Paramètres!$B$5)*((K64-Paramètres!$B$7)/(Paramètres!$B$8-Paramètres!$B$7))^Paramètres!$B$6)*INDEX(Rôles!$C$18:$C$22,AZ64)*INDEX(Rôles!$C$5:$C$13,AY64)/(Paramètres!$B$35*(1-Paramètres!$B$36)),0)</f>
        <v>221</v>
      </c>
      <c r="N64" s="29" t="n">
        <f aca="false" t="array" ref="N64:N64">ROUND(IF(J64="Magique",1,IF(J64="Mixte",Paramètres!$B$32,0))*Paramètres!$B$12*(Paramètres!$B$5+(1-Paramètres!$B$5)*((K64-Paramètres!$B$7)/(Paramètres!$B$8-Paramètres!$B$7))^Paramètres!$B$6)*INDEX(Rôles!$C$18:$C$22,AZ64)*INDEX(Rôles!$C$5:$C$13,AY64)/(Paramètres!$B$35*(1-Paramètres!$B$36)),0)</f>
        <v>0</v>
      </c>
      <c r="O64" s="29" t="n">
        <f aca="false" t="array" ref="O64:O64">ROUND(Paramètres!$B$18*(Paramètres!$B$5+(1-Paramètres!$B$5)*((K64-Paramètres!$B$7)/(Paramètres!$B$8-Paramètres!$B$7))^Paramètres!$B$6)*INDEX(Rôles!$D$5:$D$13,AY64)*INDEX(Rôles!$D$18:$D$22,AZ64),0)</f>
        <v>165</v>
      </c>
      <c r="P64" s="29" t="n">
        <f aca="false" t="array" ref="P64:P64">ROUND(Paramètres!$B$19*(Paramètres!$B$5+(1-Paramètres!$B$5)*((K64-Paramètres!$B$7)/(Paramètres!$B$8-Paramètres!$B$7))^Paramètres!$B$6)*INDEX(Rôles!$E$5:$E$13,AY64)*INDEX(Rôles!$D$18:$D$22,AZ64),0)</f>
        <v>172</v>
      </c>
      <c r="Q64" s="29" t="n">
        <f aca="false" t="array" ref="Q64:Q64">ROUND(Paramètres!$B$20*(Paramètres!$B$5+(1-Paramètres!$B$5)*((K64-Paramètres!$B$7)/(Paramètres!$B$8-Paramètres!$B$7))^Paramètres!$B$6)*INDEX(Rôles!$F$5:$F$13,AY64),0)</f>
        <v>88</v>
      </c>
      <c r="R64" s="29" t="n">
        <f aca="false">ROUND(Paramètres!$B$64*$AX64*INDEX(Rôles!$N$5:$N$13,$AY64)*INDEX(Rôles!$I$18:$I$22,$AZ64),0)</f>
        <v>74</v>
      </c>
      <c r="S64" s="30" t="n">
        <f aca="false" t="array" ref="S64:S64">MIN(1,ROUND(Paramètres!$B$21*INDEX(Rôles!$G$5:$G$13,AY64),3))</f>
        <v>0.9</v>
      </c>
      <c r="T64" s="30" t="n">
        <f aca="false" t="array" ref="T64:T64">MIN(Paramètres!$B$28,ROUND(Paramètres!$B$22*INDEX(Rôles!$H$5:$H$13,AY64),3))</f>
        <v>0.05</v>
      </c>
      <c r="U64" s="30" t="n">
        <f aca="false" t="array" ref="U64:U64">ROUND(Paramètres!$B$23*INDEX(Rôles!$I$5:$I$13,AY64),3)</f>
        <v>0.5</v>
      </c>
      <c r="V64" s="30" t="n">
        <f aca="false" t="array" ref="V64:V64">MIN(Paramètres!$B$29,ROUND(Paramètres!$B$24*INDEX(Rôles!$J$5:$J$13,AY64),3))</f>
        <v>0.025</v>
      </c>
      <c r="W64" s="30" t="n">
        <f aca="false" t="array" ref="W64:W64">MIN(Paramètres!$B$27,ROUND((Paramètres!$B$25+(Paramètres!$B$26-Paramètres!$B$25)*(K64-Paramètres!$B$7)/(Paramètres!$B$8-Paramètres!$B$7))*INDEX(Rôles!$K$5:$K$13,AY64)+INDEX(Rôles!$G$18:$G$22,AZ64),3))</f>
        <v>0.169</v>
      </c>
      <c r="X64" s="30" t="n">
        <f aca="false">ROUND(1-(1-P64/(P64+(Paramètres!$B$19*(Paramètres!$B$5+(1-Paramètres!$B$5)*((K64-Paramètres!$B$7)/(Paramètres!$B$8-Paramètres!$B$7))^Paramètres!$B$6)*(1-Paramètres!$B$30)/Paramètres!$B$30)))*(1-O64/(O64+(Paramètres!$B$18*(Paramètres!$B$5+(1-Paramètres!$B$5)*((K64-Paramètres!$B$7)/(Paramètres!$B$8-Paramètres!$B$7))^Paramètres!$B$6)*(1-Paramètres!$B$31)/Paramètres!$B$31))),3)</f>
        <v>0.23</v>
      </c>
      <c r="Y64" s="30" t="n">
        <f aca="false">ROUND(O64/(O64+(Paramètres!$B$18*(Paramètres!$B$5+(1-Paramètres!$B$5)*((K64-Paramètres!$B$7)/(Paramètres!$B$8-Paramètres!$B$7))^Paramètres!$B$6)*(1-Paramètres!$B$31)/Paramètres!$B$31)),3)</f>
        <v>0.096</v>
      </c>
      <c r="Z64" s="31" t="n">
        <f aca="false" t="array" ref="Z64:Z64">IF(E64="Neutre",0,MIN(1,INDEX(Rôles!$L$5:$L$13,AY64)+INDEX(Rôles!$F$18:$F$22,AZ64)))</f>
        <v>0.5</v>
      </c>
      <c r="AA64" s="32" t="n">
        <f aca="false" t="array" ref="AA64:AA64">ROUND(INDEX(Rôles!$C$18:$C$22,AZ64)*INDEX(Rôles!$C$5:$C$13,AY64),4)</f>
        <v>0.0158</v>
      </c>
      <c r="AB64" s="33" t="n">
        <f aca="false" t="array" ref="AB64:AB64">ROUND(INDEX(Rôles!$B$18:$B$22,AZ64)*INDEX(Rôles!$B$5:$B$13,AY64),2)</f>
        <v>1.9</v>
      </c>
      <c r="AC64" s="33" t="n">
        <f aca="false" t="array" ref="AC64:AC64">INDEX(Rôles!$E$18:$E$22,AZ64)</f>
        <v>1</v>
      </c>
      <c r="AD64" s="23" t="str">
        <f aca="false" t="array" ref="AD64:AD64">INDEX(Éléments!$F$5:$F$14,MATCH(E64,Éléments!$A$5:$A$14,0))</f>
        <v>Feu</v>
      </c>
      <c r="AE64" s="23" t="str">
        <f aca="false" t="array" ref="AE64:AE64">INDEX(Éléments!$G$5:$G$14,MATCH(E64,Éléments!$A$5:$A$14,0))</f>
        <v>Vent</v>
      </c>
      <c r="AF64" s="34" t="s">
        <v>296</v>
      </c>
      <c r="AG64" s="35" t="n">
        <v>0.3</v>
      </c>
      <c r="AH64" s="34" t="s">
        <v>141</v>
      </c>
      <c r="AI64" s="35" t="n">
        <v>0.25</v>
      </c>
      <c r="AJ64" s="29" t="n">
        <f aca="false" t="array" ref="AJ64:AJ64">ROUND(ROUND(Paramètres!$B$49*K64^Paramètres!$B$50,0)*INDEX(Rôles!$E$18:$E$22,AZ64),0)</f>
        <v>1107</v>
      </c>
      <c r="AK64" s="29" t="n">
        <f aca="false" t="array" ref="AK64:AK64">ROUND(ROUND(Paramètres!$B$53*K64^Paramètres!$B$54,0)*INDEX(Rôles!$E$18:$E$22,AZ64),0)</f>
        <v>841</v>
      </c>
      <c r="AL64" s="36" t="n">
        <f aca="false">INDEX(Butin!$B$7:$B$11,AZ64)</f>
        <v>0.05</v>
      </c>
      <c r="AM64" s="37" t="n">
        <f aca="false">INDEX(Butin!$E$7:$E$11,AZ64)</f>
        <v>0.05</v>
      </c>
      <c r="AN64" s="30" t="n">
        <f aca="false">IF($H64="Boss",INDEX(Butin!$E$28:$K$37,MATCH($B64,Éléments!$C$5:$C$14,1),1),IF($H64="Dragon",INDEX(Butin!$E$41:$K$50,MATCH($B64,Éléments!$C$5:$C$14,1),1),INDEX(Butin!$E$15:$K$24,MATCH($B64,Éléments!$C$5:$C$14,1),1)))</f>
        <v>0.21</v>
      </c>
      <c r="AO64" s="30" t="n">
        <f aca="false">IF($H64="Boss",INDEX(Butin!$E$28:$K$37,MATCH($B64,Éléments!$C$5:$C$14,1),2),IF($H64="Dragon",INDEX(Butin!$E$41:$K$50,MATCH($B64,Éléments!$C$5:$C$14,1),2),INDEX(Butin!$E$15:$K$24,MATCH($B64,Éléments!$C$5:$C$14,1),2)))</f>
        <v>0.28</v>
      </c>
      <c r="AP64" s="30" t="n">
        <f aca="false">IF($H64="Boss",INDEX(Butin!$E$28:$K$37,MATCH($B64,Éléments!$C$5:$C$14,1),3),IF($H64="Dragon",INDEX(Butin!$E$41:$K$50,MATCH($B64,Éléments!$C$5:$C$14,1),3),INDEX(Butin!$E$15:$K$24,MATCH($B64,Éléments!$C$5:$C$14,1),3)))</f>
        <v>0.27</v>
      </c>
      <c r="AQ64" s="30" t="n">
        <f aca="false">IF($H64="Boss",INDEX(Butin!$E$28:$K$37,MATCH($B64,Éléments!$C$5:$C$14,1),4),IF($H64="Dragon",INDEX(Butin!$E$41:$K$50,MATCH($B64,Éléments!$C$5:$C$14,1),4),INDEX(Butin!$E$15:$K$24,MATCH($B64,Éléments!$C$5:$C$14,1),4)))</f>
        <v>0.16</v>
      </c>
      <c r="AR64" s="30" t="n">
        <f aca="false">IF($H64="Boss",INDEX(Butin!$E$28:$K$37,MATCH($B64,Éléments!$C$5:$C$14,1),5),IF($H64="Dragon",INDEX(Butin!$E$41:$K$50,MATCH($B64,Éléments!$C$5:$C$14,1),5),INDEX(Butin!$E$15:$K$24,MATCH($B64,Éléments!$C$5:$C$14,1),5)))</f>
        <v>0.065</v>
      </c>
      <c r="AS64" s="30" t="n">
        <f aca="false">IF($H64="Boss",INDEX(Butin!$E$28:$K$37,MATCH($B64,Éléments!$C$5:$C$14,1),6),IF($H64="Dragon",INDEX(Butin!$E$41:$K$50,MATCH($B64,Éléments!$C$5:$C$14,1),6),INDEX(Butin!$E$15:$K$24,MATCH($B64,Éléments!$C$5:$C$14,1),6)))</f>
        <v>0.012</v>
      </c>
      <c r="AT64" s="30" t="n">
        <f aca="false">IF($H64="Boss",INDEX(Butin!$E$28:$K$37,MATCH($B64,Éléments!$C$5:$C$14,1),7),IF($H64="Dragon",INDEX(Butin!$E$41:$K$50,MATCH($B64,Éléments!$C$5:$C$14,1),7),INDEX(Butin!$E$15:$K$24,MATCH($B64,Éléments!$C$5:$C$14,1),7)))</f>
        <v>0.003</v>
      </c>
      <c r="AU64" s="38" t="str">
        <f aca="false">IF(AT64=0,"—",INDEX(Butin!$D$54:$D$63,MATCH($B64,Éléments!$C$5:$C$14,1))&amp;" · "&amp;INDEX(Butin!$F$54:$F$63,MATCH($B64,Éléments!$C$5:$C$14,1))&amp;" · "&amp;INDEX(Butin!$H$54:$H$63,MATCH($B64,Éléments!$C$5:$C$14,1)))</f>
        <v>Bottes du Marcheur Glacé · Robe du Givre Éternel · Pantalon du Pisteur Givré</v>
      </c>
      <c r="AV64" s="20" t="s">
        <v>302</v>
      </c>
      <c r="AW64" s="39" t="str">
        <f aca="false">B64&amp;IF(G64="Oui","|B","|N")</f>
        <v>65|N</v>
      </c>
      <c r="AX64" s="40" t="n">
        <f aca="false">(Paramètres!$B$5+(1-Paramètres!$B$5)*((K64-Paramètres!$B$7)/(Paramètres!$B$8-Paramètres!$B$7))^Paramètres!$B$6)</f>
        <v>0.612830132682154</v>
      </c>
      <c r="AY64" s="39" t="n">
        <f aca="false">MATCH(I64,Rôles!$A$5:$A$13,0)</f>
        <v>1</v>
      </c>
      <c r="AZ64" s="39" t="n">
        <f aca="false">MATCH(H64,Rôles!$A$18:$A$22,0)</f>
        <v>2</v>
      </c>
    </row>
    <row r="65" customFormat="false" ht="15.75" hidden="false" customHeight="true" outlineLevel="0" collapsed="false">
      <c r="A65" s="20" t="s">
        <v>303</v>
      </c>
      <c r="B65" s="21" t="n">
        <v>65</v>
      </c>
      <c r="C65" s="22" t="str">
        <f aca="false" t="array" ref="C65:C65">INDEX(Zones!$B$6:$B$35,MATCH(B65,Zones!$A$6:$A$35,0))</f>
        <v>Plaine enneigée</v>
      </c>
      <c r="D65" s="23" t="str">
        <f aca="false" t="array" ref="D65:D65">INDEX(Éléments!$B$5:$B$14,MATCH(B65,Éléments!$C$5:$C$14,1))</f>
        <v>Iceberg</v>
      </c>
      <c r="E65" s="46" t="str">
        <f aca="false" t="array" ref="E65:E65">INDEX(Éléments!$A$5:$A$14,MATCH(B65,Éléments!$C$5:$C$14,1))</f>
        <v>Glace</v>
      </c>
      <c r="F65" s="25" t="s">
        <v>304</v>
      </c>
      <c r="G65" s="23" t="str">
        <f aca="false">IF(OR(H65="Boss",H65="Dragon"),"Oui","Non")</f>
        <v>Non</v>
      </c>
      <c r="H65" s="26" t="s">
        <v>138</v>
      </c>
      <c r="I65" s="26" t="s">
        <v>149</v>
      </c>
      <c r="J65" s="26" t="s">
        <v>140</v>
      </c>
      <c r="K65" s="27" t="n">
        <f aca="false">IF($F$3="",B65,$F$3)</f>
        <v>65</v>
      </c>
      <c r="L65" s="28" t="n">
        <f aca="false" t="array" ref="L65:L65">ROUND(Paramètres!$B$16*(Paramètres!$B$5+(1-Paramètres!$B$5)*((K65-Paramètres!$B$7)/(Paramètres!$B$8-Paramètres!$B$7))^Paramètres!$B$6)*INDEX(Rôles!$B$18:$B$22,AZ65)*INDEX(Rôles!$B$5:$B$13,AY65),0)</f>
        <v>1448</v>
      </c>
      <c r="M65" s="29" t="n">
        <f aca="false" t="array" ref="M65:M65">ROUND(IF(J65="Physique",1,IF(J65="Mixte",Paramètres!$B$32,0))*Paramètres!$B$12*(Paramètres!$B$5+(1-Paramètres!$B$5)*((K65-Paramètres!$B$7)/(Paramètres!$B$8-Paramètres!$B$7))^Paramètres!$B$6)*INDEX(Rôles!$C$18:$C$22,AZ65)*INDEX(Rôles!$C$5:$C$13,AY65)/(Paramètres!$B$35*(1-Paramètres!$B$36)),0)</f>
        <v>200</v>
      </c>
      <c r="N65" s="29" t="n">
        <f aca="false" t="array" ref="N65:N65">ROUND(IF(J65="Magique",1,IF(J65="Mixte",Paramètres!$B$32,0))*Paramètres!$B$12*(Paramètres!$B$5+(1-Paramètres!$B$5)*((K65-Paramètres!$B$7)/(Paramètres!$B$8-Paramètres!$B$7))^Paramètres!$B$6)*INDEX(Rôles!$C$18:$C$22,AZ65)*INDEX(Rôles!$C$5:$C$13,AY65)/(Paramètres!$B$35*(1-Paramètres!$B$36)),0)</f>
        <v>0</v>
      </c>
      <c r="O65" s="29" t="n">
        <f aca="false" t="array" ref="O65:O65">ROUND(Paramètres!$B$18*(Paramètres!$B$5+(1-Paramètres!$B$5)*((K65-Paramètres!$B$7)/(Paramètres!$B$8-Paramètres!$B$7))^Paramètres!$B$6)*INDEX(Rôles!$D$5:$D$13,AY65)*INDEX(Rôles!$D$18:$D$22,AZ65),0)</f>
        <v>331</v>
      </c>
      <c r="P65" s="29" t="n">
        <f aca="false" t="array" ref="P65:P65">ROUND(Paramètres!$B$19*(Paramètres!$B$5+(1-Paramètres!$B$5)*((K65-Paramètres!$B$7)/(Paramètres!$B$8-Paramètres!$B$7))^Paramètres!$B$6)*INDEX(Rôles!$E$5:$E$13,AY65)*INDEX(Rôles!$D$18:$D$22,AZ65),0)</f>
        <v>368</v>
      </c>
      <c r="Q65" s="29" t="n">
        <f aca="false" t="array" ref="Q65:Q65">ROUND(Paramètres!$B$20*(Paramètres!$B$5+(1-Paramètres!$B$5)*((K65-Paramètres!$B$7)/(Paramètres!$B$8-Paramètres!$B$7))^Paramètres!$B$6)*INDEX(Rôles!$F$5:$F$13,AY65),0)</f>
        <v>44</v>
      </c>
      <c r="R65" s="29" t="n">
        <f aca="false">ROUND(Paramètres!$B$64*$AX65*INDEX(Rôles!$N$5:$N$13,$AY65)*INDEX(Rôles!$I$18:$I$22,$AZ65),0)</f>
        <v>43</v>
      </c>
      <c r="S65" s="30" t="n">
        <f aca="false" t="array" ref="S65:S65">MIN(1,ROUND(Paramètres!$B$21*INDEX(Rôles!$G$5:$G$13,AY65),3))</f>
        <v>0.765</v>
      </c>
      <c r="T65" s="30" t="n">
        <f aca="false" t="array" ref="T65:T65">MIN(Paramètres!$B$28,ROUND(Paramètres!$B$22*INDEX(Rôles!$H$5:$H$13,AY65),3))</f>
        <v>0.03</v>
      </c>
      <c r="U65" s="30" t="n">
        <f aca="false" t="array" ref="U65:U65">ROUND(Paramètres!$B$23*INDEX(Rôles!$I$5:$I$13,AY65),3)</f>
        <v>0.5</v>
      </c>
      <c r="V65" s="30" t="n">
        <f aca="false" t="array" ref="V65:V65">MIN(Paramètres!$B$29,ROUND(Paramètres!$B$24*INDEX(Rôles!$J$5:$J$13,AY65),3))</f>
        <v>0.04</v>
      </c>
      <c r="W65" s="30" t="n">
        <f aca="false" t="array" ref="W65:W65">MIN(Paramètres!$B$27,ROUND((Paramètres!$B$25+(Paramètres!$B$26-Paramètres!$B$25)*(K65-Paramètres!$B$7)/(Paramètres!$B$8-Paramètres!$B$7))*INDEX(Rôles!$K$5:$K$13,AY65)+INDEX(Rôles!$G$18:$G$22,AZ65),3))</f>
        <v>0.254</v>
      </c>
      <c r="X65" s="30" t="n">
        <f aca="false">ROUND(1-(1-P65/(P65+(Paramètres!$B$19*(Paramètres!$B$5+(1-Paramètres!$B$5)*((K65-Paramètres!$B$7)/(Paramètres!$B$8-Paramètres!$B$7))^Paramètres!$B$6)*(1-Paramètres!$B$30)/Paramètres!$B$30)))*(1-O65/(O65+(Paramètres!$B$18*(Paramètres!$B$5+(1-Paramètres!$B$5)*((K65-Paramètres!$B$7)/(Paramètres!$B$8-Paramètres!$B$7))^Paramètres!$B$6)*(1-Paramètres!$B$31)/Paramètres!$B$31))),3)</f>
        <v>0.4</v>
      </c>
      <c r="Y65" s="30" t="n">
        <f aca="false">ROUND(O65/(O65+(Paramètres!$B$18*(Paramètres!$B$5+(1-Paramètres!$B$5)*((K65-Paramètres!$B$7)/(Paramètres!$B$8-Paramètres!$B$7))^Paramètres!$B$6)*(1-Paramètres!$B$31)/Paramètres!$B$31)),3)</f>
        <v>0.175</v>
      </c>
      <c r="Z65" s="31" t="n">
        <f aca="false" t="array" ref="Z65:Z65">IF(E65="Neutre",0,MIN(1,INDEX(Rôles!$L$5:$L$13,AY65)+INDEX(Rôles!$F$18:$F$22,AZ65)))</f>
        <v>0.4</v>
      </c>
      <c r="AA65" s="32" t="n">
        <f aca="false" t="array" ref="AA65:AA65">ROUND(INDEX(Rôles!$C$18:$C$22,AZ65)*INDEX(Rôles!$C$5:$C$13,AY65),4)</f>
        <v>0.0143</v>
      </c>
      <c r="AB65" s="33" t="n">
        <f aca="false" t="array" ref="AB65:AB65">ROUND(INDEX(Rôles!$B$18:$B$22,AZ65)*INDEX(Rôles!$B$5:$B$13,AY65),2)</f>
        <v>3</v>
      </c>
      <c r="AC65" s="33" t="n">
        <f aca="false" t="array" ref="AC65:AC65">INDEX(Rôles!$E$18:$E$22,AZ65)</f>
        <v>1</v>
      </c>
      <c r="AD65" s="23" t="str">
        <f aca="false" t="array" ref="AD65:AD65">INDEX(Éléments!$F$5:$F$14,MATCH(E65,Éléments!$A$5:$A$14,0))</f>
        <v>Feu</v>
      </c>
      <c r="AE65" s="23" t="str">
        <f aca="false" t="array" ref="AE65:AE65">INDEX(Éléments!$G$5:$G$14,MATCH(E65,Éléments!$A$5:$A$14,0))</f>
        <v>Vent</v>
      </c>
      <c r="AF65" s="34" t="s">
        <v>296</v>
      </c>
      <c r="AG65" s="35" t="n">
        <v>0.3</v>
      </c>
      <c r="AH65" s="34" t="s">
        <v>161</v>
      </c>
      <c r="AI65" s="35" t="n">
        <v>0.15</v>
      </c>
      <c r="AJ65" s="29" t="n">
        <f aca="false" t="array" ref="AJ65:AJ65">ROUND(ROUND(Paramètres!$B$49*K65^Paramètres!$B$50,0)*INDEX(Rôles!$E$18:$E$22,AZ65),0)</f>
        <v>1107</v>
      </c>
      <c r="AK65" s="29" t="n">
        <f aca="false" t="array" ref="AK65:AK65">ROUND(ROUND(Paramètres!$B$53*K65^Paramètres!$B$54,0)*INDEX(Rôles!$E$18:$E$22,AZ65),0)</f>
        <v>841</v>
      </c>
      <c r="AL65" s="36" t="n">
        <f aca="false">INDEX(Butin!$B$7:$B$11,AZ65)</f>
        <v>0.05</v>
      </c>
      <c r="AM65" s="37" t="n">
        <f aca="false">INDEX(Butin!$E$7:$E$11,AZ65)</f>
        <v>0.05</v>
      </c>
      <c r="AN65" s="30" t="n">
        <f aca="false">IF($H65="Boss",INDEX(Butin!$E$28:$K$37,MATCH($B65,Éléments!$C$5:$C$14,1),1),IF($H65="Dragon",INDEX(Butin!$E$41:$K$50,MATCH($B65,Éléments!$C$5:$C$14,1),1),INDEX(Butin!$E$15:$K$24,MATCH($B65,Éléments!$C$5:$C$14,1),1)))</f>
        <v>0.21</v>
      </c>
      <c r="AO65" s="30" t="n">
        <f aca="false">IF($H65="Boss",INDEX(Butin!$E$28:$K$37,MATCH($B65,Éléments!$C$5:$C$14,1),2),IF($H65="Dragon",INDEX(Butin!$E$41:$K$50,MATCH($B65,Éléments!$C$5:$C$14,1),2),INDEX(Butin!$E$15:$K$24,MATCH($B65,Éléments!$C$5:$C$14,1),2)))</f>
        <v>0.28</v>
      </c>
      <c r="AP65" s="30" t="n">
        <f aca="false">IF($H65="Boss",INDEX(Butin!$E$28:$K$37,MATCH($B65,Éléments!$C$5:$C$14,1),3),IF($H65="Dragon",INDEX(Butin!$E$41:$K$50,MATCH($B65,Éléments!$C$5:$C$14,1),3),INDEX(Butin!$E$15:$K$24,MATCH($B65,Éléments!$C$5:$C$14,1),3)))</f>
        <v>0.27</v>
      </c>
      <c r="AQ65" s="30" t="n">
        <f aca="false">IF($H65="Boss",INDEX(Butin!$E$28:$K$37,MATCH($B65,Éléments!$C$5:$C$14,1),4),IF($H65="Dragon",INDEX(Butin!$E$41:$K$50,MATCH($B65,Éléments!$C$5:$C$14,1),4),INDEX(Butin!$E$15:$K$24,MATCH($B65,Éléments!$C$5:$C$14,1),4)))</f>
        <v>0.16</v>
      </c>
      <c r="AR65" s="30" t="n">
        <f aca="false">IF($H65="Boss",INDEX(Butin!$E$28:$K$37,MATCH($B65,Éléments!$C$5:$C$14,1),5),IF($H65="Dragon",INDEX(Butin!$E$41:$K$50,MATCH($B65,Éléments!$C$5:$C$14,1),5),INDEX(Butin!$E$15:$K$24,MATCH($B65,Éléments!$C$5:$C$14,1),5)))</f>
        <v>0.065</v>
      </c>
      <c r="AS65" s="30" t="n">
        <f aca="false">IF($H65="Boss",INDEX(Butin!$E$28:$K$37,MATCH($B65,Éléments!$C$5:$C$14,1),6),IF($H65="Dragon",INDEX(Butin!$E$41:$K$50,MATCH($B65,Éléments!$C$5:$C$14,1),6),INDEX(Butin!$E$15:$K$24,MATCH($B65,Éléments!$C$5:$C$14,1),6)))</f>
        <v>0.012</v>
      </c>
      <c r="AT65" s="30" t="n">
        <f aca="false">IF($H65="Boss",INDEX(Butin!$E$28:$K$37,MATCH($B65,Éléments!$C$5:$C$14,1),7),IF($H65="Dragon",INDEX(Butin!$E$41:$K$50,MATCH($B65,Éléments!$C$5:$C$14,1),7),INDEX(Butin!$E$15:$K$24,MATCH($B65,Éléments!$C$5:$C$14,1),7)))</f>
        <v>0.003</v>
      </c>
      <c r="AU65" s="38" t="str">
        <f aca="false">IF(AT65=0,"—",INDEX(Butin!$D$54:$D$63,MATCH($B65,Éléments!$C$5:$C$14,1))&amp;" · "&amp;INDEX(Butin!$F$54:$F$63,MATCH($B65,Éléments!$C$5:$C$14,1))&amp;" · "&amp;INDEX(Butin!$H$54:$H$63,MATCH($B65,Éléments!$C$5:$C$14,1)))</f>
        <v>Bottes du Marcheur Glacé · Robe du Givre Éternel · Pantalon du Pisteur Givré</v>
      </c>
      <c r="AV65" s="20" t="s">
        <v>304</v>
      </c>
      <c r="AW65" s="39" t="str">
        <f aca="false">B65&amp;IF(G65="Oui","|B","|N")</f>
        <v>65|N</v>
      </c>
      <c r="AX65" s="40" t="n">
        <f aca="false">(Paramètres!$B$5+(1-Paramètres!$B$5)*((K65-Paramètres!$B$7)/(Paramètres!$B$8-Paramètres!$B$7))^Paramètres!$B$6)</f>
        <v>0.612830132682154</v>
      </c>
      <c r="AY65" s="39" t="n">
        <f aca="false">MATCH(I65,Rôles!$A$5:$A$13,0)</f>
        <v>2</v>
      </c>
      <c r="AZ65" s="39" t="n">
        <f aca="false">MATCH(H65,Rôles!$A$18:$A$22,0)</f>
        <v>2</v>
      </c>
    </row>
    <row r="66" customFormat="false" ht="15.75" hidden="false" customHeight="true" outlineLevel="0" collapsed="false">
      <c r="A66" s="20" t="s">
        <v>305</v>
      </c>
      <c r="B66" s="21" t="n">
        <v>69</v>
      </c>
      <c r="C66" s="22" t="str">
        <f aca="false" t="array" ref="C66:C66">INDEX(Zones!$B$6:$B$35,MATCH(B66,Zones!$A$6:$A$35,0))</f>
        <v>Tannière du dragon (69)</v>
      </c>
      <c r="D66" s="23" t="str">
        <f aca="false" t="array" ref="D66:D66">INDEX(Éléments!$B$5:$B$14,MATCH(B66,Éléments!$C$5:$C$14,1))</f>
        <v>Iceberg</v>
      </c>
      <c r="E66" s="46" t="str">
        <f aca="false" t="array" ref="E66:E66">INDEX(Éléments!$A$5:$A$14,MATCH(B66,Éléments!$C$5:$C$14,1))</f>
        <v>Glace</v>
      </c>
      <c r="F66" s="25" t="s">
        <v>306</v>
      </c>
      <c r="G66" s="23" t="str">
        <f aca="false">IF(OR(H66="Boss",H66="Dragon"),"Oui","Non")</f>
        <v>Oui</v>
      </c>
      <c r="H66" s="26" t="s">
        <v>156</v>
      </c>
      <c r="I66" s="26" t="s">
        <v>156</v>
      </c>
      <c r="J66" s="26" t="s">
        <v>157</v>
      </c>
      <c r="K66" s="27" t="n">
        <f aca="false">IF($F$3="",B66,$F$3)</f>
        <v>69</v>
      </c>
      <c r="L66" s="28" t="n">
        <f aca="false" t="array" ref="L66:L66">ROUND(Paramètres!$B$16*(Paramètres!$B$5+(1-Paramètres!$B$5)*((K66-Paramètres!$B$7)/(Paramètres!$B$8-Paramètres!$B$7))^Paramètres!$B$6)*INDEX(Rôles!$B$18:$B$22,AZ66)*INDEX(Rôles!$B$5:$B$13,AY66),0)</f>
        <v>10321</v>
      </c>
      <c r="M66" s="29" t="n">
        <f aca="false" t="array" ref="M66:M66">ROUND(IF(J66="Physique",1,IF(J66="Mixte",Paramètres!$B$32,0))*Paramètres!$B$12*(Paramètres!$B$5+(1-Paramètres!$B$5)*((K66-Paramètres!$B$7)/(Paramètres!$B$8-Paramètres!$B$7))^Paramètres!$B$6)*INDEX(Rôles!$C$18:$C$22,AZ66)*INDEX(Rôles!$C$5:$C$13,AY66)/(Paramètres!$B$35*(1-Paramètres!$B$36)),0)</f>
        <v>337</v>
      </c>
      <c r="N66" s="29" t="n">
        <f aca="false" t="array" ref="N66:N66">ROUND(IF(J66="Magique",1,IF(J66="Mixte",Paramètres!$B$32,0))*Paramètres!$B$12*(Paramètres!$B$5+(1-Paramètres!$B$5)*((K66-Paramètres!$B$7)/(Paramètres!$B$8-Paramètres!$B$7))^Paramètres!$B$6)*INDEX(Rôles!$C$18:$C$22,AZ66)*INDEX(Rôles!$C$5:$C$13,AY66)/(Paramètres!$B$35*(1-Paramètres!$B$36)),0)</f>
        <v>337</v>
      </c>
      <c r="O66" s="29" t="n">
        <f aca="false" t="array" ref="O66:O66">ROUND(Paramètres!$B$18*(Paramètres!$B$5+(1-Paramètres!$B$5)*((K66-Paramètres!$B$7)/(Paramètres!$B$8-Paramètres!$B$7))^Paramètres!$B$6)*INDEX(Rôles!$D$5:$D$13,AY66)*INDEX(Rôles!$D$18:$D$22,AZ66),0)</f>
        <v>498</v>
      </c>
      <c r="P66" s="29" t="n">
        <f aca="false" t="array" ref="P66:P66">ROUND(Paramètres!$B$19*(Paramètres!$B$5+(1-Paramètres!$B$5)*((K66-Paramètres!$B$7)/(Paramètres!$B$8-Paramètres!$B$7))^Paramètres!$B$6)*INDEX(Rôles!$E$5:$E$13,AY66)*INDEX(Rôles!$D$18:$D$22,AZ66),0)</f>
        <v>477</v>
      </c>
      <c r="Q66" s="29" t="n">
        <f aca="false" t="array" ref="Q66:Q66">ROUND(Paramètres!$B$20*(Paramètres!$B$5+(1-Paramètres!$B$5)*((K66-Paramètres!$B$7)/(Paramètres!$B$8-Paramètres!$B$7))^Paramètres!$B$6)*INDEX(Rôles!$F$5:$F$13,AY66),0)</f>
        <v>63</v>
      </c>
      <c r="R66" s="29" t="n">
        <f aca="false">ROUND(Paramètres!$B$64*$AX66*INDEX(Rôles!$N$5:$N$13,$AY66)*INDEX(Rôles!$I$18:$I$22,$AZ66),0)</f>
        <v>52</v>
      </c>
      <c r="S66" s="30" t="n">
        <f aca="false" t="array" ref="S66:S66">MIN(1,ROUND(Paramètres!$B$21*INDEX(Rôles!$G$5:$G$13,AY66),3))</f>
        <v>0.9</v>
      </c>
      <c r="T66" s="30" t="n">
        <f aca="false" t="array" ref="T66:T66">MIN(Paramètres!$B$28,ROUND(Paramètres!$B$22*INDEX(Rôles!$H$5:$H$13,AY66),3))</f>
        <v>0.05</v>
      </c>
      <c r="U66" s="30" t="n">
        <f aca="false" t="array" ref="U66:U66">ROUND(Paramètres!$B$23*INDEX(Rôles!$I$5:$I$13,AY66),3)</f>
        <v>0.5</v>
      </c>
      <c r="V66" s="30" t="n">
        <f aca="false" t="array" ref="V66:V66">MIN(Paramètres!$B$29,ROUND(Paramètres!$B$24*INDEX(Rôles!$J$5:$J$13,AY66),3))</f>
        <v>0.05</v>
      </c>
      <c r="W66" s="30" t="n">
        <f aca="false" t="array" ref="W66:W66">MIN(Paramètres!$B$27,ROUND((Paramètres!$B$25+(Paramètres!$B$26-Paramètres!$B$25)*(K66-Paramètres!$B$7)/(Paramètres!$B$8-Paramètres!$B$7))*INDEX(Rôles!$K$5:$K$13,AY66)+INDEX(Rôles!$G$18:$G$22,AZ66),3))</f>
        <v>0.488</v>
      </c>
      <c r="X66" s="30" t="n">
        <f aca="false">ROUND(1-(1-P66/(P66+(Paramètres!$B$19*(Paramètres!$B$5+(1-Paramètres!$B$5)*((K66-Paramètres!$B$7)/(Paramètres!$B$8-Paramètres!$B$7))^Paramètres!$B$6)*(1-Paramètres!$B$30)/Paramètres!$B$30)))*(1-O66/(O66+(Paramètres!$B$18*(Paramètres!$B$5+(1-Paramètres!$B$5)*((K66-Paramètres!$B$7)/(Paramètres!$B$8-Paramètres!$B$7))^Paramètres!$B$6)*(1-Paramètres!$B$31)/Paramètres!$B$31))),3)</f>
        <v>0.47</v>
      </c>
      <c r="Y66" s="30" t="n">
        <f aca="false">ROUND(O66/(O66+(Paramètres!$B$18*(Paramètres!$B$5+(1-Paramètres!$B$5)*((K66-Paramètres!$B$7)/(Paramètres!$B$8-Paramètres!$B$7))^Paramètres!$B$6)*(1-Paramètres!$B$31)/Paramètres!$B$31)),3)</f>
        <v>0.23</v>
      </c>
      <c r="Z66" s="31" t="n">
        <f aca="false" t="array" ref="Z66:Z66">IF(E66="Neutre",0,MIN(1,INDEX(Rôles!$L$5:$L$13,AY66)+INDEX(Rôles!$F$18:$F$22,AZ66)))</f>
        <v>1</v>
      </c>
      <c r="AA66" s="32" t="n">
        <f aca="false" t="array" ref="AA66:AA66">ROUND(INDEX(Rôles!$C$18:$C$22,AZ66)*INDEX(Rôles!$C$5:$C$13,AY66),4)</f>
        <v>0.03</v>
      </c>
      <c r="AB66" s="33" t="n">
        <f aca="false" t="array" ref="AB66:AB66">ROUND(INDEX(Rôles!$B$18:$B$22,AZ66)*INDEX(Rôles!$B$5:$B$13,AY66),2)</f>
        <v>20</v>
      </c>
      <c r="AC66" s="33" t="n">
        <f aca="false" t="array" ref="AC66:AC66">INDEX(Rôles!$E$18:$E$22,AZ66)</f>
        <v>12</v>
      </c>
      <c r="AD66" s="23" t="str">
        <f aca="false" t="array" ref="AD66:AD66">INDEX(Éléments!$F$5:$F$14,MATCH(E66,Éléments!$A$5:$A$14,0))</f>
        <v>Feu</v>
      </c>
      <c r="AE66" s="23" t="str">
        <f aca="false" t="array" ref="AE66:AE66">INDEX(Éléments!$G$5:$G$14,MATCH(E66,Éléments!$A$5:$A$14,0))</f>
        <v>Vent</v>
      </c>
      <c r="AF66" s="34" t="s">
        <v>296</v>
      </c>
      <c r="AG66" s="35" t="n">
        <v>0.45</v>
      </c>
      <c r="AH66" s="34" t="s">
        <v>307</v>
      </c>
      <c r="AI66" s="35" t="n">
        <v>0.15</v>
      </c>
      <c r="AJ66" s="29" t="n">
        <f aca="false" t="array" ref="AJ66:AJ66">ROUND(ROUND(Paramètres!$B$49*K66^Paramètres!$B$50,0)*INDEX(Rôles!$E$18:$E$22,AZ66),0)</f>
        <v>14316</v>
      </c>
      <c r="AK66" s="29" t="n">
        <f aca="false" t="array" ref="AK66:AK66">ROUND(ROUND(Paramètres!$B$53*K66^Paramètres!$B$54,0)*INDEX(Rôles!$E$18:$E$22,AZ66),0)</f>
        <v>10932</v>
      </c>
      <c r="AL66" s="36" t="n">
        <f aca="false">INDEX(Butin!$B$7:$B$11,AZ66)</f>
        <v>1</v>
      </c>
      <c r="AM66" s="37" t="n">
        <f aca="false">INDEX(Butin!$E$7:$E$11,AZ66)</f>
        <v>2.5</v>
      </c>
      <c r="AN66" s="30" t="n">
        <f aca="false">IF($H66="Boss",INDEX(Butin!$E$28:$K$37,MATCH($B66,Éléments!$C$5:$C$14,1),1),IF($H66="Dragon",INDEX(Butin!$E$41:$K$50,MATCH($B66,Éléments!$C$5:$C$14,1),1),INDEX(Butin!$E$15:$K$24,MATCH($B66,Éléments!$C$5:$C$14,1),1)))</f>
        <v>0.01</v>
      </c>
      <c r="AO66" s="30" t="n">
        <f aca="false">IF($H66="Boss",INDEX(Butin!$E$28:$K$37,MATCH($B66,Éléments!$C$5:$C$14,1),2),IF($H66="Dragon",INDEX(Butin!$E$41:$K$50,MATCH($B66,Éléments!$C$5:$C$14,1),2),INDEX(Butin!$E$15:$K$24,MATCH($B66,Éléments!$C$5:$C$14,1),2)))</f>
        <v>0.09</v>
      </c>
      <c r="AP66" s="30" t="n">
        <f aca="false">IF($H66="Boss",INDEX(Butin!$E$28:$K$37,MATCH($B66,Éléments!$C$5:$C$14,1),3),IF($H66="Dragon",INDEX(Butin!$E$41:$K$50,MATCH($B66,Éléments!$C$5:$C$14,1),3),INDEX(Butin!$E$15:$K$24,MATCH($B66,Éléments!$C$5:$C$14,1),3)))</f>
        <v>0.22</v>
      </c>
      <c r="AQ66" s="30" t="n">
        <f aca="false">IF($H66="Boss",INDEX(Butin!$E$28:$K$37,MATCH($B66,Éléments!$C$5:$C$14,1),4),IF($H66="Dragon",INDEX(Butin!$E$41:$K$50,MATCH($B66,Éléments!$C$5:$C$14,1),4),INDEX(Butin!$E$15:$K$24,MATCH($B66,Éléments!$C$5:$C$14,1),4)))</f>
        <v>0.32</v>
      </c>
      <c r="AR66" s="30" t="n">
        <f aca="false">IF($H66="Boss",INDEX(Butin!$E$28:$K$37,MATCH($B66,Éléments!$C$5:$C$14,1),5),IF($H66="Dragon",INDEX(Butin!$E$41:$K$50,MATCH($B66,Éléments!$C$5:$C$14,1),5),INDEX(Butin!$E$15:$K$24,MATCH($B66,Éléments!$C$5:$C$14,1),5)))</f>
        <v>0.21</v>
      </c>
      <c r="AS66" s="30" t="n">
        <f aca="false">IF($H66="Boss",INDEX(Butin!$E$28:$K$37,MATCH($B66,Éléments!$C$5:$C$14,1),6),IF($H66="Dragon",INDEX(Butin!$E$41:$K$50,MATCH($B66,Éléments!$C$5:$C$14,1),6),INDEX(Butin!$E$15:$K$24,MATCH($B66,Éléments!$C$5:$C$14,1),6)))</f>
        <v>0.07</v>
      </c>
      <c r="AT66" s="30" t="n">
        <f aca="false">IF($H66="Boss",INDEX(Butin!$E$28:$K$37,MATCH($B66,Éléments!$C$5:$C$14,1),7),IF($H66="Dragon",INDEX(Butin!$E$41:$K$50,MATCH($B66,Éléments!$C$5:$C$14,1),7),INDEX(Butin!$E$15:$K$24,MATCH($B66,Éléments!$C$5:$C$14,1),7)))</f>
        <v>0.08</v>
      </c>
      <c r="AU66" s="38" t="str">
        <f aca="false">IF(AT66=0,"—",INDEX(Butin!$D$54:$D$63,MATCH($B66,Éléments!$C$5:$C$14,1))&amp;" · "&amp;INDEX(Butin!$F$54:$F$63,MATCH($B66,Éléments!$C$5:$C$14,1))&amp;" · "&amp;INDEX(Butin!$H$54:$H$63,MATCH($B66,Éléments!$C$5:$C$14,1)))</f>
        <v>Bottes du Marcheur Glacé · Robe du Givre Éternel · Pantalon du Pisteur Givré</v>
      </c>
      <c r="AV66" s="20" t="s">
        <v>306</v>
      </c>
      <c r="AW66" s="39" t="str">
        <f aca="false">B66&amp;IF(G66="Oui","|B","|N")</f>
        <v>69|B</v>
      </c>
      <c r="AX66" s="40" t="n">
        <f aca="false">(Paramètres!$B$5+(1-Paramètres!$B$5)*((K66-Paramètres!$B$7)/(Paramètres!$B$8-Paramètres!$B$7))^Paramètres!$B$6)</f>
        <v>0.655301941652231</v>
      </c>
      <c r="AY66" s="39" t="n">
        <f aca="false">MATCH(I66,Rôles!$A$5:$A$13,0)</f>
        <v>9</v>
      </c>
      <c r="AZ66" s="39" t="n">
        <f aca="false">MATCH(H66,Rôles!$A$18:$A$22,0)</f>
        <v>5</v>
      </c>
    </row>
    <row r="67" customFormat="false" ht="15.75" hidden="false" customHeight="true" outlineLevel="0" collapsed="false">
      <c r="A67" s="20" t="s">
        <v>308</v>
      </c>
      <c r="B67" s="21" t="n">
        <v>70</v>
      </c>
      <c r="C67" s="22" t="str">
        <f aca="false" t="array" ref="C67:C67">INDEX(Zones!$B$6:$B$35,MATCH(B67,Zones!$A$6:$A$35,0))</f>
        <v>Palais des glaces</v>
      </c>
      <c r="D67" s="23" t="str">
        <f aca="false" t="array" ref="D67:D67">INDEX(Éléments!$B$5:$B$14,MATCH(B67,Éléments!$C$5:$C$14,1))</f>
        <v>Iceberg</v>
      </c>
      <c r="E67" s="46" t="str">
        <f aca="false" t="array" ref="E67:E67">INDEX(Éléments!$A$5:$A$14,MATCH(B67,Éléments!$C$5:$C$14,1))</f>
        <v>Glace</v>
      </c>
      <c r="F67" s="25" t="s">
        <v>309</v>
      </c>
      <c r="G67" s="23" t="str">
        <f aca="false">IF(OR(H67="Boss",H67="Dragon"),"Oui","Non")</f>
        <v>Oui</v>
      </c>
      <c r="H67" s="26" t="s">
        <v>152</v>
      </c>
      <c r="I67" s="26" t="s">
        <v>195</v>
      </c>
      <c r="J67" s="26" t="s">
        <v>157</v>
      </c>
      <c r="K67" s="27" t="n">
        <f aca="false">IF($F$3="",B67,$F$3)</f>
        <v>70</v>
      </c>
      <c r="L67" s="28" t="n">
        <f aca="false" t="array" ref="L67:L67">ROUND(Paramètres!$B$16*(Paramètres!$B$5+(1-Paramètres!$B$5)*((K67-Paramètres!$B$7)/(Paramètres!$B$8-Paramètres!$B$7))^Paramètres!$B$6)*INDEX(Rôles!$B$18:$B$22,AZ67)*INDEX(Rôles!$B$5:$B$13,AY67),0)</f>
        <v>4406</v>
      </c>
      <c r="M67" s="29" t="n">
        <f aca="false" t="array" ref="M67:M67">ROUND(IF(J67="Physique",1,IF(J67="Mixte",Paramètres!$B$32,0))*Paramètres!$B$12*(Paramètres!$B$5+(1-Paramètres!$B$5)*((K67-Paramètres!$B$7)/(Paramètres!$B$8-Paramètres!$B$7))^Paramètres!$B$6)*INDEX(Rôles!$C$18:$C$22,AZ67)*INDEX(Rôles!$C$5:$C$13,AY67)/(Paramètres!$B$35*(1-Paramètres!$B$36)),0)</f>
        <v>428</v>
      </c>
      <c r="N67" s="29" t="n">
        <f aca="false" t="array" ref="N67:N67">ROUND(IF(J67="Magique",1,IF(J67="Mixte",Paramètres!$B$32,0))*Paramètres!$B$12*(Paramètres!$B$5+(1-Paramètres!$B$5)*((K67-Paramètres!$B$7)/(Paramètres!$B$8-Paramètres!$B$7))^Paramètres!$B$6)*INDEX(Rôles!$C$18:$C$22,AZ67)*INDEX(Rôles!$C$5:$C$13,AY67)/(Paramètres!$B$35*(1-Paramètres!$B$36)),0)</f>
        <v>428</v>
      </c>
      <c r="O67" s="29" t="n">
        <f aca="false" t="array" ref="O67:O67">ROUND(Paramètres!$B$18*(Paramètres!$B$5+(1-Paramètres!$B$5)*((K67-Paramètres!$B$7)/(Paramètres!$B$8-Paramètres!$B$7))^Paramètres!$B$6)*INDEX(Rôles!$D$5:$D$13,AY67)*INDEX(Rôles!$D$18:$D$22,AZ67),0)</f>
        <v>429</v>
      </c>
      <c r="P67" s="29" t="n">
        <f aca="false" t="array" ref="P67:P67">ROUND(Paramètres!$B$19*(Paramètres!$B$5+(1-Paramètres!$B$5)*((K67-Paramètres!$B$7)/(Paramètres!$B$8-Paramètres!$B$7))^Paramètres!$B$6)*INDEX(Rôles!$E$5:$E$13,AY67)*INDEX(Rôles!$D$18:$D$22,AZ67),0)</f>
        <v>139</v>
      </c>
      <c r="Q67" s="29" t="n">
        <f aca="false" t="array" ref="Q67:Q67">ROUND(Paramètres!$B$20*(Paramètres!$B$5+(1-Paramètres!$B$5)*((K67-Paramètres!$B$7)/(Paramètres!$B$8-Paramètres!$B$7))^Paramètres!$B$6)*INDEX(Rôles!$F$5:$F$13,AY67),0)</f>
        <v>72</v>
      </c>
      <c r="R67" s="29" t="n">
        <f aca="false">ROUND(Paramètres!$B$64*$AX67*INDEX(Rôles!$N$5:$N$13,$AY67)*INDEX(Rôles!$I$18:$I$22,$AZ67),0)</f>
        <v>69</v>
      </c>
      <c r="S67" s="30" t="n">
        <f aca="false" t="array" ref="S67:S67">MIN(1,ROUND(Paramètres!$B$21*INDEX(Rôles!$G$5:$G$13,AY67),3))</f>
        <v>0.9</v>
      </c>
      <c r="T67" s="30" t="n">
        <f aca="false" t="array" ref="T67:T67">MIN(Paramètres!$B$28,ROUND(Paramètres!$B$22*INDEX(Rôles!$H$5:$H$13,AY67),3))</f>
        <v>0.05</v>
      </c>
      <c r="U67" s="30" t="n">
        <f aca="false" t="array" ref="U67:U67">ROUND(Paramètres!$B$23*INDEX(Rôles!$I$5:$I$13,AY67),3)</f>
        <v>0.5</v>
      </c>
      <c r="V67" s="30" t="n">
        <f aca="false" t="array" ref="V67:V67">MIN(Paramètres!$B$29,ROUND(Paramètres!$B$24*INDEX(Rôles!$J$5:$J$13,AY67),3))</f>
        <v>0.065</v>
      </c>
      <c r="W67" s="30" t="n">
        <f aca="false" t="array" ref="W67:W67">MIN(Paramètres!$B$27,ROUND((Paramètres!$B$25+(Paramètres!$B$26-Paramètres!$B$25)*(K67-Paramètres!$B$7)/(Paramètres!$B$8-Paramètres!$B$7))*INDEX(Rôles!$K$5:$K$13,AY67)+INDEX(Rôles!$G$18:$G$22,AZ67),3))</f>
        <v>0.469</v>
      </c>
      <c r="X67" s="30" t="n">
        <f aca="false">ROUND(1-(1-P67/(P67+(Paramètres!$B$19*(Paramètres!$B$5+(1-Paramètres!$B$5)*((K67-Paramètres!$B$7)/(Paramètres!$B$8-Paramètres!$B$7))^Paramètres!$B$6)*(1-Paramètres!$B$30)/Paramètres!$B$30)))*(1-O67/(O67+(Paramètres!$B$18*(Paramètres!$B$5+(1-Paramètres!$B$5)*((K67-Paramètres!$B$7)/(Paramètres!$B$8-Paramètres!$B$7))^Paramètres!$B$6)*(1-Paramètres!$B$31)/Paramètres!$B$31))),3)</f>
        <v>0.294</v>
      </c>
      <c r="Y67" s="30" t="n">
        <f aca="false">ROUND(O67/(O67+(Paramètres!$B$18*(Paramètres!$B$5+(1-Paramètres!$B$5)*((K67-Paramètres!$B$7)/(Paramètres!$B$8-Paramètres!$B$7))^Paramètres!$B$6)*(1-Paramètres!$B$31)/Paramètres!$B$31)),3)</f>
        <v>0.202</v>
      </c>
      <c r="Z67" s="31" t="n">
        <f aca="false" t="array" ref="Z67:Z67">IF(E67="Neutre",0,MIN(1,INDEX(Rôles!$L$5:$L$13,AY67)+INDEX(Rôles!$F$18:$F$22,AZ67)))</f>
        <v>1</v>
      </c>
      <c r="AA67" s="32" t="n">
        <f aca="false" t="array" ref="AA67:AA67">ROUND(INDEX(Rôles!$C$18:$C$22,AZ67)*INDEX(Rôles!$C$5:$C$13,AY67),4)</f>
        <v>0.0375</v>
      </c>
      <c r="AB67" s="33" t="n">
        <f aca="false" t="array" ref="AB67:AB67">ROUND(INDEX(Rôles!$B$18:$B$22,AZ67)*INDEX(Rôles!$B$5:$B$13,AY67),2)</f>
        <v>8.4</v>
      </c>
      <c r="AC67" s="33" t="n">
        <f aca="false" t="array" ref="AC67:AC67">INDEX(Rôles!$E$18:$E$22,AZ67)</f>
        <v>8</v>
      </c>
      <c r="AD67" s="23" t="str">
        <f aca="false" t="array" ref="AD67:AD67">INDEX(Éléments!$F$5:$F$14,MATCH(E67,Éléments!$A$5:$A$14,0))</f>
        <v>Feu</v>
      </c>
      <c r="AE67" s="23" t="str">
        <f aca="false" t="array" ref="AE67:AE67">INDEX(Éléments!$G$5:$G$14,MATCH(E67,Éléments!$A$5:$A$14,0))</f>
        <v>Vent</v>
      </c>
      <c r="AF67" s="34" t="s">
        <v>296</v>
      </c>
      <c r="AG67" s="35" t="n">
        <v>0.4</v>
      </c>
      <c r="AH67" s="34" t="s">
        <v>307</v>
      </c>
      <c r="AI67" s="35" t="n">
        <v>0.2</v>
      </c>
      <c r="AJ67" s="29" t="n">
        <f aca="false" t="array" ref="AJ67:AJ67">ROUND(ROUND(Paramètres!$B$49*K67^Paramètres!$B$50,0)*INDEX(Rôles!$E$18:$E$22,AZ67),0)</f>
        <v>9720</v>
      </c>
      <c r="AK67" s="29" t="n">
        <f aca="false" t="array" ref="AK67:AK67">ROUND(ROUND(Paramètres!$B$53*K67^Paramètres!$B$54,0)*INDEX(Rôles!$E$18:$E$22,AZ67),0)</f>
        <v>7432</v>
      </c>
      <c r="AL67" s="36" t="n">
        <f aca="false">INDEX(Butin!$B$7:$B$11,AZ67)</f>
        <v>1</v>
      </c>
      <c r="AM67" s="37" t="n">
        <f aca="false">INDEX(Butin!$E$7:$E$11,AZ67)</f>
        <v>1.4</v>
      </c>
      <c r="AN67" s="30" t="n">
        <f aca="false">IF($H67="Boss",INDEX(Butin!$E$28:$K$37,MATCH($B67,Éléments!$C$5:$C$14,1),1),IF($H67="Dragon",INDEX(Butin!$E$41:$K$50,MATCH($B67,Éléments!$C$5:$C$14,1),1),INDEX(Butin!$E$15:$K$24,MATCH($B67,Éléments!$C$5:$C$14,1),1)))</f>
        <v>0.03</v>
      </c>
      <c r="AO67" s="30" t="n">
        <f aca="false">IF($H67="Boss",INDEX(Butin!$E$28:$K$37,MATCH($B67,Éléments!$C$5:$C$14,1),2),IF($H67="Dragon",INDEX(Butin!$E$41:$K$50,MATCH($B67,Éléments!$C$5:$C$14,1),2),INDEX(Butin!$E$15:$K$24,MATCH($B67,Éléments!$C$5:$C$14,1),2)))</f>
        <v>0.13</v>
      </c>
      <c r="AP67" s="30" t="n">
        <f aca="false">IF($H67="Boss",INDEX(Butin!$E$28:$K$37,MATCH($B67,Éléments!$C$5:$C$14,1),3),IF($H67="Dragon",INDEX(Butin!$E$41:$K$50,MATCH($B67,Éléments!$C$5:$C$14,1),3),INDEX(Butin!$E$15:$K$24,MATCH($B67,Éléments!$C$5:$C$14,1),3)))</f>
        <v>0.27</v>
      </c>
      <c r="AQ67" s="30" t="n">
        <f aca="false">IF($H67="Boss",INDEX(Butin!$E$28:$K$37,MATCH($B67,Éléments!$C$5:$C$14,1),4),IF($H67="Dragon",INDEX(Butin!$E$41:$K$50,MATCH($B67,Éléments!$C$5:$C$14,1),4),INDEX(Butin!$E$15:$K$24,MATCH($B67,Éléments!$C$5:$C$14,1),4)))</f>
        <v>0.28</v>
      </c>
      <c r="AR67" s="30" t="n">
        <f aca="false">IF($H67="Boss",INDEX(Butin!$E$28:$K$37,MATCH($B67,Éléments!$C$5:$C$14,1),5),IF($H67="Dragon",INDEX(Butin!$E$41:$K$50,MATCH($B67,Éléments!$C$5:$C$14,1),5),INDEX(Butin!$E$15:$K$24,MATCH($B67,Éléments!$C$5:$C$14,1),5)))</f>
        <v>0.175</v>
      </c>
      <c r="AS67" s="30" t="n">
        <f aca="false">IF($H67="Boss",INDEX(Butin!$E$28:$K$37,MATCH($B67,Éléments!$C$5:$C$14,1),6),IF($H67="Dragon",INDEX(Butin!$E$41:$K$50,MATCH($B67,Éléments!$C$5:$C$14,1),6),INDEX(Butin!$E$15:$K$24,MATCH($B67,Éléments!$C$5:$C$14,1),6)))</f>
        <v>0.06</v>
      </c>
      <c r="AT67" s="30" t="n">
        <f aca="false">IF($H67="Boss",INDEX(Butin!$E$28:$K$37,MATCH($B67,Éléments!$C$5:$C$14,1),7),IF($H67="Dragon",INDEX(Butin!$E$41:$K$50,MATCH($B67,Éléments!$C$5:$C$14,1),7),INDEX(Butin!$E$15:$K$24,MATCH($B67,Éléments!$C$5:$C$14,1),7)))</f>
        <v>0.055</v>
      </c>
      <c r="AU67" s="38" t="str">
        <f aca="false">IF(AT67=0,"—",INDEX(Butin!$D$54:$D$63,MATCH($B67,Éléments!$C$5:$C$14,1))&amp;" · "&amp;INDEX(Butin!$F$54:$F$63,MATCH($B67,Éléments!$C$5:$C$14,1))&amp;" · "&amp;INDEX(Butin!$H$54:$H$63,MATCH($B67,Éléments!$C$5:$C$14,1)))</f>
        <v>Bottes du Marcheur Glacé · Robe du Givre Éternel · Pantalon du Pisteur Givré</v>
      </c>
      <c r="AV67" s="20" t="s">
        <v>309</v>
      </c>
      <c r="AW67" s="39" t="str">
        <f aca="false">B67&amp;IF(G67="Oui","|B","|N")</f>
        <v>70|B</v>
      </c>
      <c r="AX67" s="40" t="n">
        <f aca="false">(Paramètres!$B$5+(1-Paramètres!$B$5)*((K67-Paramètres!$B$7)/(Paramètres!$B$8-Paramètres!$B$7))^Paramètres!$B$6)</f>
        <v>0.665999387952727</v>
      </c>
      <c r="AY67" s="39" t="n">
        <f aca="false">MATCH(I67,Rôles!$A$5:$A$13,0)</f>
        <v>5</v>
      </c>
      <c r="AZ67" s="39" t="n">
        <f aca="false">MATCH(H67,Rôles!$A$18:$A$22,0)</f>
        <v>4</v>
      </c>
    </row>
    <row r="68" customFormat="false" ht="15.75" hidden="false" customHeight="true" outlineLevel="0" collapsed="false">
      <c r="A68" s="20" t="s">
        <v>310</v>
      </c>
      <c r="B68" s="21" t="n">
        <v>70</v>
      </c>
      <c r="C68" s="22" t="str">
        <f aca="false" t="array" ref="C68:C68">INDEX(Zones!$B$6:$B$35,MATCH(B68,Zones!$A$6:$A$35,0))</f>
        <v>Palais des glaces</v>
      </c>
      <c r="D68" s="23" t="str">
        <f aca="false" t="array" ref="D68:D68">INDEX(Éléments!$B$5:$B$14,MATCH(B68,Éléments!$C$5:$C$14,1))</f>
        <v>Iceberg</v>
      </c>
      <c r="E68" s="46" t="str">
        <f aca="false" t="array" ref="E68:E68">INDEX(Éléments!$A$5:$A$14,MATCH(B68,Éléments!$C$5:$C$14,1))</f>
        <v>Glace</v>
      </c>
      <c r="F68" s="25" t="s">
        <v>311</v>
      </c>
      <c r="G68" s="23" t="str">
        <f aca="false">IF(OR(H68="Boss",H68="Dragon"),"Oui","Non")</f>
        <v>Non</v>
      </c>
      <c r="H68" s="26" t="s">
        <v>138</v>
      </c>
      <c r="I68" s="26" t="s">
        <v>145</v>
      </c>
      <c r="J68" s="26" t="s">
        <v>140</v>
      </c>
      <c r="K68" s="27" t="n">
        <f aca="false">IF($F$3="",B68,$F$3)</f>
        <v>70</v>
      </c>
      <c r="L68" s="28" t="n">
        <f aca="false" t="array" ref="L68:L68">ROUND(Paramètres!$B$16*(Paramètres!$B$5+(1-Paramètres!$B$5)*((K68-Paramètres!$B$7)/(Paramètres!$B$8-Paramètres!$B$7))^Paramètres!$B$6)*INDEX(Rôles!$B$18:$B$22,AZ68)*INDEX(Rôles!$B$5:$B$13,AY68),0)</f>
        <v>787</v>
      </c>
      <c r="M68" s="29" t="n">
        <f aca="false" t="array" ref="M68:M68">ROUND(IF(J68="Physique",1,IF(J68="Mixte",Paramètres!$B$32,0))*Paramètres!$B$12*(Paramètres!$B$5+(1-Paramètres!$B$5)*((K68-Paramètres!$B$7)/(Paramètres!$B$8-Paramètres!$B$7))^Paramètres!$B$6)*INDEX(Rôles!$C$18:$C$22,AZ68)*INDEX(Rôles!$C$5:$C$13,AY68)/(Paramètres!$B$35*(1-Paramètres!$B$36)),0)</f>
        <v>274</v>
      </c>
      <c r="N68" s="29" t="n">
        <f aca="false" t="array" ref="N68:N68">ROUND(IF(J68="Magique",1,IF(J68="Mixte",Paramètres!$B$32,0))*Paramètres!$B$12*(Paramètres!$B$5+(1-Paramètres!$B$5)*((K68-Paramètres!$B$7)/(Paramètres!$B$8-Paramètres!$B$7))^Paramètres!$B$6)*INDEX(Rôles!$C$18:$C$22,AZ68)*INDEX(Rôles!$C$5:$C$13,AY68)/(Paramètres!$B$35*(1-Paramètres!$B$36)),0)</f>
        <v>0</v>
      </c>
      <c r="O68" s="29" t="n">
        <f aca="false" t="array" ref="O68:O68">ROUND(Paramètres!$B$18*(Paramètres!$B$5+(1-Paramètres!$B$5)*((K68-Paramètres!$B$7)/(Paramètres!$B$8-Paramètres!$B$7))^Paramètres!$B$6)*INDEX(Rôles!$D$5:$D$13,AY68)*INDEX(Rôles!$D$18:$D$22,AZ68),0)</f>
        <v>180</v>
      </c>
      <c r="P68" s="29" t="n">
        <f aca="false" t="array" ref="P68:P68">ROUND(Paramètres!$B$19*(Paramètres!$B$5+(1-Paramètres!$B$5)*((K68-Paramètres!$B$7)/(Paramètres!$B$8-Paramètres!$B$7))^Paramètres!$B$6)*INDEX(Rôles!$E$5:$E$13,AY68)*INDEX(Rôles!$D$18:$D$22,AZ68),0)</f>
        <v>133</v>
      </c>
      <c r="Q68" s="29" t="n">
        <f aca="false" t="array" ref="Q68:Q68">ROUND(Paramètres!$B$20*(Paramètres!$B$5+(1-Paramètres!$B$5)*((K68-Paramètres!$B$7)/(Paramètres!$B$8-Paramètres!$B$7))^Paramètres!$B$6)*INDEX(Rôles!$F$5:$F$13,AY68),0)</f>
        <v>128</v>
      </c>
      <c r="R68" s="29" t="n">
        <f aca="false">ROUND(Paramètres!$B$64*$AX68*INDEX(Rôles!$N$5:$N$13,$AY68)*INDEX(Rôles!$I$18:$I$22,$AZ68),0)</f>
        <v>100</v>
      </c>
      <c r="S68" s="30" t="n">
        <f aca="false" t="array" ref="S68:S68">MIN(1,ROUND(Paramètres!$B$21*INDEX(Rôles!$G$5:$G$13,AY68),3))</f>
        <v>1</v>
      </c>
      <c r="T68" s="30" t="n">
        <f aca="false" t="array" ref="T68:T68">MIN(Paramètres!$B$28,ROUND(Paramètres!$B$22*INDEX(Rôles!$H$5:$H$13,AY68),3))</f>
        <v>0.08</v>
      </c>
      <c r="U68" s="30" t="n">
        <f aca="false" t="array" ref="U68:U68">ROUND(Paramètres!$B$23*INDEX(Rôles!$I$5:$I$13,AY68),3)</f>
        <v>0.7</v>
      </c>
      <c r="V68" s="30" t="n">
        <f aca="false" t="array" ref="V68:V68">MIN(Paramètres!$B$29,ROUND(Paramètres!$B$24*INDEX(Rôles!$J$5:$J$13,AY68),3))</f>
        <v>0.06</v>
      </c>
      <c r="W68" s="30" t="n">
        <f aca="false" t="array" ref="W68:W68">MIN(Paramètres!$B$27,ROUND((Paramètres!$B$25+(Paramètres!$B$26-Paramètres!$B$25)*(K68-Paramètres!$B$7)/(Paramètres!$B$8-Paramètres!$B$7))*INDEX(Rôles!$K$5:$K$13,AY68)+INDEX(Rôles!$G$18:$G$22,AZ68),3))</f>
        <v>0.179</v>
      </c>
      <c r="X68" s="30" t="n">
        <f aca="false">ROUND(1-(1-P68/(P68+(Paramètres!$B$19*(Paramètres!$B$5+(1-Paramètres!$B$5)*((K68-Paramètres!$B$7)/(Paramètres!$B$8-Paramètres!$B$7))^Paramètres!$B$6)*(1-Paramètres!$B$30)/Paramètres!$B$30)))*(1-O68/(O68+(Paramètres!$B$18*(Paramètres!$B$5+(1-Paramètres!$B$5)*((K68-Paramètres!$B$7)/(Paramètres!$B$8-Paramètres!$B$7))^Paramètres!$B$6)*(1-Paramètres!$B$31)/Paramètres!$B$31))),3)</f>
        <v>0.196</v>
      </c>
      <c r="Y68" s="30" t="n">
        <f aca="false">ROUND(O68/(O68+(Paramètres!$B$18*(Paramètres!$B$5+(1-Paramètres!$B$5)*((K68-Paramètres!$B$7)/(Paramètres!$B$8-Paramètres!$B$7))^Paramètres!$B$6)*(1-Paramètres!$B$31)/Paramètres!$B$31)),3)</f>
        <v>0.096</v>
      </c>
      <c r="Z68" s="31" t="n">
        <f aca="false" t="array" ref="Z68:Z68">IF(E68="Neutre",0,MIN(1,INDEX(Rôles!$L$5:$L$13,AY68)+INDEX(Rôles!$F$18:$F$22,AZ68)))</f>
        <v>0.5</v>
      </c>
      <c r="AA68" s="32" t="n">
        <f aca="false" t="array" ref="AA68:AA68">ROUND(INDEX(Rôles!$C$18:$C$22,AZ68)*INDEX(Rôles!$C$5:$C$13,AY68),4)</f>
        <v>0.018</v>
      </c>
      <c r="AB68" s="33" t="n">
        <f aca="false" t="array" ref="AB68:AB68">ROUND(INDEX(Rôles!$B$18:$B$22,AZ68)*INDEX(Rôles!$B$5:$B$13,AY68),2)</f>
        <v>1.5</v>
      </c>
      <c r="AC68" s="33" t="n">
        <f aca="false" t="array" ref="AC68:AC68">INDEX(Rôles!$E$18:$E$22,AZ68)</f>
        <v>1</v>
      </c>
      <c r="AD68" s="23" t="str">
        <f aca="false" t="array" ref="AD68:AD68">INDEX(Éléments!$F$5:$F$14,MATCH(E68,Éléments!$A$5:$A$14,0))</f>
        <v>Feu</v>
      </c>
      <c r="AE68" s="23" t="str">
        <f aca="false" t="array" ref="AE68:AE68">INDEX(Éléments!$G$5:$G$14,MATCH(E68,Éléments!$A$5:$A$14,0))</f>
        <v>Vent</v>
      </c>
      <c r="AF68" s="34" t="s">
        <v>296</v>
      </c>
      <c r="AG68" s="35" t="n">
        <v>0.25</v>
      </c>
      <c r="AH68" s="34" t="s">
        <v>141</v>
      </c>
      <c r="AI68" s="35" t="n">
        <v>0.2</v>
      </c>
      <c r="AJ68" s="29" t="n">
        <f aca="false" t="array" ref="AJ68:AJ68">ROUND(ROUND(Paramètres!$B$49*K68^Paramètres!$B$50,0)*INDEX(Rôles!$E$18:$E$22,AZ68),0)</f>
        <v>1215</v>
      </c>
      <c r="AK68" s="29" t="n">
        <f aca="false" t="array" ref="AK68:AK68">ROUND(ROUND(Paramètres!$B$53*K68^Paramètres!$B$54,0)*INDEX(Rôles!$E$18:$E$22,AZ68),0)</f>
        <v>929</v>
      </c>
      <c r="AL68" s="36" t="n">
        <f aca="false">INDEX(Butin!$B$7:$B$11,AZ68)</f>
        <v>0.05</v>
      </c>
      <c r="AM68" s="37" t="n">
        <f aca="false">INDEX(Butin!$E$7:$E$11,AZ68)</f>
        <v>0.05</v>
      </c>
      <c r="AN68" s="30" t="n">
        <f aca="false">IF($H68="Boss",INDEX(Butin!$E$28:$K$37,MATCH($B68,Éléments!$C$5:$C$14,1),1),IF($H68="Dragon",INDEX(Butin!$E$41:$K$50,MATCH($B68,Éléments!$C$5:$C$14,1),1),INDEX(Butin!$E$15:$K$24,MATCH($B68,Éléments!$C$5:$C$14,1),1)))</f>
        <v>0.21</v>
      </c>
      <c r="AO68" s="30" t="n">
        <f aca="false">IF($H68="Boss",INDEX(Butin!$E$28:$K$37,MATCH($B68,Éléments!$C$5:$C$14,1),2),IF($H68="Dragon",INDEX(Butin!$E$41:$K$50,MATCH($B68,Éléments!$C$5:$C$14,1),2),INDEX(Butin!$E$15:$K$24,MATCH($B68,Éléments!$C$5:$C$14,1),2)))</f>
        <v>0.28</v>
      </c>
      <c r="AP68" s="30" t="n">
        <f aca="false">IF($H68="Boss",INDEX(Butin!$E$28:$K$37,MATCH($B68,Éléments!$C$5:$C$14,1),3),IF($H68="Dragon",INDEX(Butin!$E$41:$K$50,MATCH($B68,Éléments!$C$5:$C$14,1),3),INDEX(Butin!$E$15:$K$24,MATCH($B68,Éléments!$C$5:$C$14,1),3)))</f>
        <v>0.27</v>
      </c>
      <c r="AQ68" s="30" t="n">
        <f aca="false">IF($H68="Boss",INDEX(Butin!$E$28:$K$37,MATCH($B68,Éléments!$C$5:$C$14,1),4),IF($H68="Dragon",INDEX(Butin!$E$41:$K$50,MATCH($B68,Éléments!$C$5:$C$14,1),4),INDEX(Butin!$E$15:$K$24,MATCH($B68,Éléments!$C$5:$C$14,1),4)))</f>
        <v>0.16</v>
      </c>
      <c r="AR68" s="30" t="n">
        <f aca="false">IF($H68="Boss",INDEX(Butin!$E$28:$K$37,MATCH($B68,Éléments!$C$5:$C$14,1),5),IF($H68="Dragon",INDEX(Butin!$E$41:$K$50,MATCH($B68,Éléments!$C$5:$C$14,1),5),INDEX(Butin!$E$15:$K$24,MATCH($B68,Éléments!$C$5:$C$14,1),5)))</f>
        <v>0.065</v>
      </c>
      <c r="AS68" s="30" t="n">
        <f aca="false">IF($H68="Boss",INDEX(Butin!$E$28:$K$37,MATCH($B68,Éléments!$C$5:$C$14,1),6),IF($H68="Dragon",INDEX(Butin!$E$41:$K$50,MATCH($B68,Éléments!$C$5:$C$14,1),6),INDEX(Butin!$E$15:$K$24,MATCH($B68,Éléments!$C$5:$C$14,1),6)))</f>
        <v>0.012</v>
      </c>
      <c r="AT68" s="30" t="n">
        <f aca="false">IF($H68="Boss",INDEX(Butin!$E$28:$K$37,MATCH($B68,Éléments!$C$5:$C$14,1),7),IF($H68="Dragon",INDEX(Butin!$E$41:$K$50,MATCH($B68,Éléments!$C$5:$C$14,1),7),INDEX(Butin!$E$15:$K$24,MATCH($B68,Éléments!$C$5:$C$14,1),7)))</f>
        <v>0.003</v>
      </c>
      <c r="AU68" s="38" t="str">
        <f aca="false">IF(AT68=0,"—",INDEX(Butin!$D$54:$D$63,MATCH($B68,Éléments!$C$5:$C$14,1))&amp;" · "&amp;INDEX(Butin!$F$54:$F$63,MATCH($B68,Éléments!$C$5:$C$14,1))&amp;" · "&amp;INDEX(Butin!$H$54:$H$63,MATCH($B68,Éléments!$C$5:$C$14,1)))</f>
        <v>Bottes du Marcheur Glacé · Robe du Givre Éternel · Pantalon du Pisteur Givré</v>
      </c>
      <c r="AV68" s="20" t="s">
        <v>311</v>
      </c>
      <c r="AW68" s="39" t="str">
        <f aca="false">B68&amp;IF(G68="Oui","|B","|N")</f>
        <v>70|N</v>
      </c>
      <c r="AX68" s="40" t="n">
        <f aca="false">(Paramètres!$B$5+(1-Paramètres!$B$5)*((K68-Paramètres!$B$7)/(Paramètres!$B$8-Paramètres!$B$7))^Paramètres!$B$6)</f>
        <v>0.665999387952727</v>
      </c>
      <c r="AY68" s="39" t="n">
        <f aca="false">MATCH(I68,Rôles!$A$5:$A$13,0)</f>
        <v>7</v>
      </c>
      <c r="AZ68" s="39" t="n">
        <f aca="false">MATCH(H68,Rôles!$A$18:$A$22,0)</f>
        <v>2</v>
      </c>
    </row>
    <row r="69" customFormat="false" ht="15.75" hidden="false" customHeight="true" outlineLevel="0" collapsed="false">
      <c r="A69" s="20" t="s">
        <v>312</v>
      </c>
      <c r="B69" s="21" t="n">
        <v>70</v>
      </c>
      <c r="C69" s="22" t="str">
        <f aca="false" t="array" ref="C69:C69">INDEX(Zones!$B$6:$B$35,MATCH(B69,Zones!$A$6:$A$35,0))</f>
        <v>Palais des glaces</v>
      </c>
      <c r="D69" s="23" t="str">
        <f aca="false" t="array" ref="D69:D69">INDEX(Éléments!$B$5:$B$14,MATCH(B69,Éléments!$C$5:$C$14,1))</f>
        <v>Iceberg</v>
      </c>
      <c r="E69" s="46" t="str">
        <f aca="false" t="array" ref="E69:E69">INDEX(Éléments!$A$5:$A$14,MATCH(B69,Éléments!$C$5:$C$14,1))</f>
        <v>Glace</v>
      </c>
      <c r="F69" s="25" t="s">
        <v>313</v>
      </c>
      <c r="G69" s="23" t="str">
        <f aca="false">IF(OR(H69="Boss",H69="Dragon"),"Oui","Non")</f>
        <v>Non</v>
      </c>
      <c r="H69" s="26" t="s">
        <v>138</v>
      </c>
      <c r="I69" s="26" t="s">
        <v>160</v>
      </c>
      <c r="J69" s="26" t="s">
        <v>140</v>
      </c>
      <c r="K69" s="27" t="n">
        <f aca="false">IF($F$3="",B69,$F$3)</f>
        <v>70</v>
      </c>
      <c r="L69" s="28" t="n">
        <f aca="false" t="array" ref="L69:L69">ROUND(Paramètres!$B$16*(Paramètres!$B$5+(1-Paramètres!$B$5)*((K69-Paramètres!$B$7)/(Paramètres!$B$8-Paramètres!$B$7))^Paramètres!$B$6)*INDEX(Rôles!$B$18:$B$22,AZ69)*INDEX(Rôles!$B$5:$B$13,AY69),0)</f>
        <v>1206</v>
      </c>
      <c r="M69" s="29" t="n">
        <f aca="false" t="array" ref="M69:M69">ROUND(IF(J69="Physique",1,IF(J69="Mixte",Paramètres!$B$32,0))*Paramètres!$B$12*(Paramètres!$B$5+(1-Paramètres!$B$5)*((K69-Paramètres!$B$7)/(Paramètres!$B$8-Paramètres!$B$7))^Paramètres!$B$6)*INDEX(Rôles!$C$18:$C$22,AZ69)*INDEX(Rôles!$C$5:$C$13,AY69)/(Paramètres!$B$35*(1-Paramètres!$B$36)),0)</f>
        <v>228</v>
      </c>
      <c r="N69" s="29" t="n">
        <f aca="false" t="array" ref="N69:N69">ROUND(IF(J69="Magique",1,IF(J69="Mixte",Paramètres!$B$32,0))*Paramètres!$B$12*(Paramètres!$B$5+(1-Paramètres!$B$5)*((K69-Paramètres!$B$7)/(Paramètres!$B$8-Paramètres!$B$7))^Paramètres!$B$6)*INDEX(Rôles!$C$18:$C$22,AZ69)*INDEX(Rôles!$C$5:$C$13,AY69)/(Paramètres!$B$35*(1-Paramètres!$B$36)),0)</f>
        <v>0</v>
      </c>
      <c r="O69" s="29" t="n">
        <f aca="false" t="array" ref="O69:O69">ROUND(Paramètres!$B$18*(Paramètres!$B$5+(1-Paramètres!$B$5)*((K69-Paramètres!$B$7)/(Paramètres!$B$8-Paramètres!$B$7))^Paramètres!$B$6)*INDEX(Rôles!$D$5:$D$13,AY69)*INDEX(Rôles!$D$18:$D$22,AZ69),0)</f>
        <v>300</v>
      </c>
      <c r="P69" s="29" t="n">
        <f aca="false" t="array" ref="P69:P69">ROUND(Paramètres!$B$19*(Paramètres!$B$5+(1-Paramètres!$B$5)*((K69-Paramètres!$B$7)/(Paramètres!$B$8-Paramètres!$B$7))^Paramètres!$B$6)*INDEX(Rôles!$E$5:$E$13,AY69)*INDEX(Rôles!$D$18:$D$22,AZ69),0)</f>
        <v>320</v>
      </c>
      <c r="Q69" s="29" t="n">
        <f aca="false" t="array" ref="Q69:Q69">ROUND(Paramètres!$B$20*(Paramètres!$B$5+(1-Paramètres!$B$5)*((K69-Paramètres!$B$7)/(Paramètres!$B$8-Paramètres!$B$7))^Paramètres!$B$6)*INDEX(Rôles!$F$5:$F$13,AY69),0)</f>
        <v>72</v>
      </c>
      <c r="R69" s="29" t="n">
        <f aca="false">ROUND(Paramètres!$B$64*$AX69*INDEX(Rôles!$N$5:$N$13,$AY69)*INDEX(Rôles!$I$18:$I$22,$AZ69),0)</f>
        <v>63</v>
      </c>
      <c r="S69" s="30" t="n">
        <f aca="false" t="array" ref="S69:S69">MIN(1,ROUND(Paramètres!$B$21*INDEX(Rôles!$G$5:$G$13,AY69),3))</f>
        <v>0.9</v>
      </c>
      <c r="T69" s="30" t="n">
        <f aca="false" t="array" ref="T69:T69">MIN(Paramètres!$B$28,ROUND(Paramètres!$B$22*INDEX(Rôles!$H$5:$H$13,AY69),3))</f>
        <v>0.05</v>
      </c>
      <c r="U69" s="30" t="n">
        <f aca="false" t="array" ref="U69:U69">ROUND(Paramètres!$B$23*INDEX(Rôles!$I$5:$I$13,AY69),3)</f>
        <v>0.5</v>
      </c>
      <c r="V69" s="30" t="n">
        <f aca="false" t="array" ref="V69:V69">MIN(Paramètres!$B$29,ROUND(Paramètres!$B$24*INDEX(Rôles!$J$5:$J$13,AY69),3))</f>
        <v>0.05</v>
      </c>
      <c r="W69" s="30" t="n">
        <f aca="false" t="array" ref="W69:W69">MIN(Paramètres!$B$27,ROUND((Paramètres!$B$25+(Paramètres!$B$26-Paramètres!$B$25)*(K69-Paramètres!$B$7)/(Paramètres!$B$8-Paramètres!$B$7))*INDEX(Rôles!$K$5:$K$13,AY69)+INDEX(Rôles!$G$18:$G$22,AZ69),3))</f>
        <v>0.224</v>
      </c>
      <c r="X69" s="30" t="n">
        <f aca="false">ROUND(1-(1-P69/(P69+(Paramètres!$B$19*(Paramètres!$B$5+(1-Paramètres!$B$5)*((K69-Paramètres!$B$7)/(Paramètres!$B$8-Paramètres!$B$7))^Paramètres!$B$6)*(1-Paramètres!$B$30)/Paramètres!$B$30)))*(1-O69/(O69+(Paramètres!$B$18*(Paramètres!$B$5+(1-Paramètres!$B$5)*((K69-Paramètres!$B$7)/(Paramètres!$B$8-Paramètres!$B$7))^Paramètres!$B$6)*(1-Paramètres!$B$31)/Paramètres!$B$31))),3)</f>
        <v>0.346</v>
      </c>
      <c r="Y69" s="30" t="n">
        <f aca="false">ROUND(O69/(O69+(Paramètres!$B$18*(Paramètres!$B$5+(1-Paramètres!$B$5)*((K69-Paramètres!$B$7)/(Paramètres!$B$8-Paramètres!$B$7))^Paramètres!$B$6)*(1-Paramètres!$B$31)/Paramètres!$B$31)),3)</f>
        <v>0.15</v>
      </c>
      <c r="Z69" s="31" t="n">
        <f aca="false" t="array" ref="Z69:Z69">IF(E69="Neutre",0,MIN(1,INDEX(Rôles!$L$5:$L$13,AY69)+INDEX(Rôles!$F$18:$F$22,AZ69)))</f>
        <v>0.5</v>
      </c>
      <c r="AA69" s="32" t="n">
        <f aca="false" t="array" ref="AA69:AA69">ROUND(INDEX(Rôles!$C$18:$C$22,AZ69)*INDEX(Rôles!$C$5:$C$13,AY69),4)</f>
        <v>0.015</v>
      </c>
      <c r="AB69" s="33" t="n">
        <f aca="false" t="array" ref="AB69:AB69">ROUND(INDEX(Rôles!$B$18:$B$22,AZ69)*INDEX(Rôles!$B$5:$B$13,AY69),2)</f>
        <v>2.3</v>
      </c>
      <c r="AC69" s="33" t="n">
        <f aca="false" t="array" ref="AC69:AC69">INDEX(Rôles!$E$18:$E$22,AZ69)</f>
        <v>1</v>
      </c>
      <c r="AD69" s="23" t="str">
        <f aca="false" t="array" ref="AD69:AD69">INDEX(Éléments!$F$5:$F$14,MATCH(E69,Éléments!$A$5:$A$14,0))</f>
        <v>Feu</v>
      </c>
      <c r="AE69" s="23" t="str">
        <f aca="false" t="array" ref="AE69:AE69">INDEX(Éléments!$G$5:$G$14,MATCH(E69,Éléments!$A$5:$A$14,0))</f>
        <v>Vent</v>
      </c>
      <c r="AF69" s="34" t="s">
        <v>296</v>
      </c>
      <c r="AG69" s="35" t="n">
        <v>0.25</v>
      </c>
      <c r="AH69" s="34" t="s">
        <v>161</v>
      </c>
      <c r="AI69" s="35" t="n">
        <v>0.15</v>
      </c>
      <c r="AJ69" s="29" t="n">
        <f aca="false" t="array" ref="AJ69:AJ69">ROUND(ROUND(Paramètres!$B$49*K69^Paramètres!$B$50,0)*INDEX(Rôles!$E$18:$E$22,AZ69),0)</f>
        <v>1215</v>
      </c>
      <c r="AK69" s="29" t="n">
        <f aca="false" t="array" ref="AK69:AK69">ROUND(ROUND(Paramètres!$B$53*K69^Paramètres!$B$54,0)*INDEX(Rôles!$E$18:$E$22,AZ69),0)</f>
        <v>929</v>
      </c>
      <c r="AL69" s="36" t="n">
        <f aca="false">INDEX(Butin!$B$7:$B$11,AZ69)</f>
        <v>0.05</v>
      </c>
      <c r="AM69" s="37" t="n">
        <f aca="false">INDEX(Butin!$E$7:$E$11,AZ69)</f>
        <v>0.05</v>
      </c>
      <c r="AN69" s="30" t="n">
        <f aca="false">IF($H69="Boss",INDEX(Butin!$E$28:$K$37,MATCH($B69,Éléments!$C$5:$C$14,1),1),IF($H69="Dragon",INDEX(Butin!$E$41:$K$50,MATCH($B69,Éléments!$C$5:$C$14,1),1),INDEX(Butin!$E$15:$K$24,MATCH($B69,Éléments!$C$5:$C$14,1),1)))</f>
        <v>0.21</v>
      </c>
      <c r="AO69" s="30" t="n">
        <f aca="false">IF($H69="Boss",INDEX(Butin!$E$28:$K$37,MATCH($B69,Éléments!$C$5:$C$14,1),2),IF($H69="Dragon",INDEX(Butin!$E$41:$K$50,MATCH($B69,Éléments!$C$5:$C$14,1),2),INDEX(Butin!$E$15:$K$24,MATCH($B69,Éléments!$C$5:$C$14,1),2)))</f>
        <v>0.28</v>
      </c>
      <c r="AP69" s="30" t="n">
        <f aca="false">IF($H69="Boss",INDEX(Butin!$E$28:$K$37,MATCH($B69,Éléments!$C$5:$C$14,1),3),IF($H69="Dragon",INDEX(Butin!$E$41:$K$50,MATCH($B69,Éléments!$C$5:$C$14,1),3),INDEX(Butin!$E$15:$K$24,MATCH($B69,Éléments!$C$5:$C$14,1),3)))</f>
        <v>0.27</v>
      </c>
      <c r="AQ69" s="30" t="n">
        <f aca="false">IF($H69="Boss",INDEX(Butin!$E$28:$K$37,MATCH($B69,Éléments!$C$5:$C$14,1),4),IF($H69="Dragon",INDEX(Butin!$E$41:$K$50,MATCH($B69,Éléments!$C$5:$C$14,1),4),INDEX(Butin!$E$15:$K$24,MATCH($B69,Éléments!$C$5:$C$14,1),4)))</f>
        <v>0.16</v>
      </c>
      <c r="AR69" s="30" t="n">
        <f aca="false">IF($H69="Boss",INDEX(Butin!$E$28:$K$37,MATCH($B69,Éléments!$C$5:$C$14,1),5),IF($H69="Dragon",INDEX(Butin!$E$41:$K$50,MATCH($B69,Éléments!$C$5:$C$14,1),5),INDEX(Butin!$E$15:$K$24,MATCH($B69,Éléments!$C$5:$C$14,1),5)))</f>
        <v>0.065</v>
      </c>
      <c r="AS69" s="30" t="n">
        <f aca="false">IF($H69="Boss",INDEX(Butin!$E$28:$K$37,MATCH($B69,Éléments!$C$5:$C$14,1),6),IF($H69="Dragon",INDEX(Butin!$E$41:$K$50,MATCH($B69,Éléments!$C$5:$C$14,1),6),INDEX(Butin!$E$15:$K$24,MATCH($B69,Éléments!$C$5:$C$14,1),6)))</f>
        <v>0.012</v>
      </c>
      <c r="AT69" s="30" t="n">
        <f aca="false">IF($H69="Boss",INDEX(Butin!$E$28:$K$37,MATCH($B69,Éléments!$C$5:$C$14,1),7),IF($H69="Dragon",INDEX(Butin!$E$41:$K$50,MATCH($B69,Éléments!$C$5:$C$14,1),7),INDEX(Butin!$E$15:$K$24,MATCH($B69,Éléments!$C$5:$C$14,1),7)))</f>
        <v>0.003</v>
      </c>
      <c r="AU69" s="38" t="str">
        <f aca="false">IF(AT69=0,"—",INDEX(Butin!$D$54:$D$63,MATCH($B69,Éléments!$C$5:$C$14,1))&amp;" · "&amp;INDEX(Butin!$F$54:$F$63,MATCH($B69,Éléments!$C$5:$C$14,1))&amp;" · "&amp;INDEX(Butin!$H$54:$H$63,MATCH($B69,Éléments!$C$5:$C$14,1)))</f>
        <v>Bottes du Marcheur Glacé · Robe du Givre Éternel · Pantalon du Pisteur Givré</v>
      </c>
      <c r="AV69" s="20" t="s">
        <v>313</v>
      </c>
      <c r="AW69" s="39" t="str">
        <f aca="false">B69&amp;IF(G69="Oui","|B","|N")</f>
        <v>70|N</v>
      </c>
      <c r="AX69" s="40" t="n">
        <f aca="false">(Paramètres!$B$5+(1-Paramètres!$B$5)*((K69-Paramètres!$B$7)/(Paramètres!$B$8-Paramètres!$B$7))^Paramètres!$B$6)</f>
        <v>0.665999387952727</v>
      </c>
      <c r="AY69" s="39" t="n">
        <f aca="false">MATCH(I69,Rôles!$A$5:$A$13,0)</f>
        <v>3</v>
      </c>
      <c r="AZ69" s="39" t="n">
        <f aca="false">MATCH(H69,Rôles!$A$18:$A$22,0)</f>
        <v>2</v>
      </c>
    </row>
    <row r="70" customFormat="false" ht="15.75" hidden="false" customHeight="true" outlineLevel="0" collapsed="false">
      <c r="A70" s="20" t="s">
        <v>314</v>
      </c>
      <c r="B70" s="21" t="n">
        <v>70</v>
      </c>
      <c r="C70" s="22" t="str">
        <f aca="false" t="array" ref="C70:C70">INDEX(Zones!$B$6:$B$35,MATCH(B70,Zones!$A$6:$A$35,0))</f>
        <v>Palais des glaces</v>
      </c>
      <c r="D70" s="23" t="str">
        <f aca="false" t="array" ref="D70:D70">INDEX(Éléments!$B$5:$B$14,MATCH(B70,Éléments!$C$5:$C$14,1))</f>
        <v>Iceberg</v>
      </c>
      <c r="E70" s="46" t="str">
        <f aca="false" t="array" ref="E70:E70">INDEX(Éléments!$A$5:$A$14,MATCH(B70,Éléments!$C$5:$C$14,1))</f>
        <v>Glace</v>
      </c>
      <c r="F70" s="25" t="s">
        <v>315</v>
      </c>
      <c r="G70" s="23" t="str">
        <f aca="false">IF(OR(H70="Boss",H70="Dragon"),"Oui","Non")</f>
        <v>Non</v>
      </c>
      <c r="H70" s="26" t="s">
        <v>138</v>
      </c>
      <c r="I70" s="26" t="s">
        <v>177</v>
      </c>
      <c r="J70" s="26" t="s">
        <v>140</v>
      </c>
      <c r="K70" s="27" t="n">
        <f aca="false">IF($F$3="",B70,$F$3)</f>
        <v>70</v>
      </c>
      <c r="L70" s="28" t="n">
        <f aca="false" t="array" ref="L70:L70">ROUND(Paramètres!$B$16*(Paramètres!$B$5+(1-Paramètres!$B$5)*((K70-Paramètres!$B$7)/(Paramètres!$B$8-Paramètres!$B$7))^Paramètres!$B$6)*INDEX(Rôles!$B$18:$B$22,AZ70)*INDEX(Rôles!$B$5:$B$13,AY70),0)</f>
        <v>839</v>
      </c>
      <c r="M70" s="29" t="n">
        <f aca="false" t="array" ref="M70:M70">ROUND(IF(J70="Physique",1,IF(J70="Mixte",Paramètres!$B$32,0))*Paramètres!$B$12*(Paramètres!$B$5+(1-Paramètres!$B$5)*((K70-Paramètres!$B$7)/(Paramètres!$B$8-Paramètres!$B$7))^Paramètres!$B$6)*INDEX(Rôles!$C$18:$C$22,AZ70)*INDEX(Rôles!$C$5:$C$13,AY70)/(Paramètres!$B$35*(1-Paramètres!$B$36)),0)</f>
        <v>251</v>
      </c>
      <c r="N70" s="29" t="n">
        <f aca="false" t="array" ref="N70:N70">ROUND(IF(J70="Magique",1,IF(J70="Mixte",Paramètres!$B$32,0))*Paramètres!$B$12*(Paramètres!$B$5+(1-Paramètres!$B$5)*((K70-Paramètres!$B$7)/(Paramètres!$B$8-Paramètres!$B$7))^Paramètres!$B$6)*INDEX(Rôles!$C$18:$C$22,AZ70)*INDEX(Rôles!$C$5:$C$13,AY70)/(Paramètres!$B$35*(1-Paramètres!$B$36)),0)</f>
        <v>0</v>
      </c>
      <c r="O70" s="29" t="n">
        <f aca="false" t="array" ref="O70:O70">ROUND(Paramètres!$B$18*(Paramètres!$B$5+(1-Paramètres!$B$5)*((K70-Paramètres!$B$7)/(Paramètres!$B$8-Paramètres!$B$7))^Paramètres!$B$6)*INDEX(Rôles!$D$5:$D$13,AY70)*INDEX(Rôles!$D$18:$D$22,AZ70),0)</f>
        <v>210</v>
      </c>
      <c r="P70" s="29" t="n">
        <f aca="false" t="array" ref="P70:P70">ROUND(Paramètres!$B$19*(Paramètres!$B$5+(1-Paramètres!$B$5)*((K70-Paramètres!$B$7)/(Paramètres!$B$8-Paramètres!$B$7))^Paramètres!$B$6)*INDEX(Rôles!$E$5:$E$13,AY70)*INDEX(Rôles!$D$18:$D$22,AZ70),0)</f>
        <v>160</v>
      </c>
      <c r="Q70" s="29" t="n">
        <f aca="false" t="array" ref="Q70:Q70">ROUND(Paramètres!$B$20*(Paramètres!$B$5+(1-Paramètres!$B$5)*((K70-Paramètres!$B$7)/(Paramètres!$B$8-Paramètres!$B$7))^Paramètres!$B$6)*INDEX(Rôles!$F$5:$F$13,AY70),0)</f>
        <v>88</v>
      </c>
      <c r="R70" s="29" t="n">
        <f aca="false">ROUND(Paramètres!$B$64*$AX70*INDEX(Rôles!$N$5:$N$13,$AY70)*INDEX(Rôles!$I$18:$I$22,$AZ70),0)</f>
        <v>73</v>
      </c>
      <c r="S70" s="30" t="n">
        <f aca="false" t="array" ref="S70:S70">MIN(1,ROUND(Paramètres!$B$21*INDEX(Rôles!$G$5:$G$13,AY70),3))</f>
        <v>1</v>
      </c>
      <c r="T70" s="30" t="n">
        <f aca="false" t="array" ref="T70:T70">MIN(Paramètres!$B$28,ROUND(Paramètres!$B$22*INDEX(Rôles!$H$5:$H$13,AY70),3))</f>
        <v>0.075</v>
      </c>
      <c r="U70" s="30" t="n">
        <f aca="false" t="array" ref="U70:U70">ROUND(Paramètres!$B$23*INDEX(Rôles!$I$5:$I$13,AY70),3)</f>
        <v>0.65</v>
      </c>
      <c r="V70" s="30" t="n">
        <f aca="false" t="array" ref="V70:V70">MIN(Paramètres!$B$29,ROUND(Paramètres!$B$24*INDEX(Rôles!$J$5:$J$13,AY70),3))</f>
        <v>0.07</v>
      </c>
      <c r="W70" s="30" t="n">
        <f aca="false" t="array" ref="W70:W70">MIN(Paramètres!$B$27,ROUND((Paramètres!$B$25+(Paramètres!$B$26-Paramètres!$B$25)*(K70-Paramètres!$B$7)/(Paramètres!$B$8-Paramètres!$B$7))*INDEX(Rôles!$K$5:$K$13,AY70)+INDEX(Rôles!$G$18:$G$22,AZ70),3))</f>
        <v>0.179</v>
      </c>
      <c r="X70" s="30" t="n">
        <f aca="false">ROUND(1-(1-P70/(P70+(Paramètres!$B$19*(Paramètres!$B$5+(1-Paramètres!$B$5)*((K70-Paramètres!$B$7)/(Paramètres!$B$8-Paramètres!$B$7))^Paramètres!$B$6)*(1-Paramètres!$B$30)/Paramètres!$B$30)))*(1-O70/(O70+(Paramètres!$B$18*(Paramètres!$B$5+(1-Paramètres!$B$5)*((K70-Paramètres!$B$7)/(Paramètres!$B$8-Paramètres!$B$7))^Paramètres!$B$6)*(1-Paramètres!$B$31)/Paramètres!$B$31))),3)</f>
        <v>0.226</v>
      </c>
      <c r="Y70" s="30" t="n">
        <f aca="false">ROUND(O70/(O70+(Paramètres!$B$18*(Paramètres!$B$5+(1-Paramètres!$B$5)*((K70-Paramètres!$B$7)/(Paramètres!$B$8-Paramètres!$B$7))^Paramètres!$B$6)*(1-Paramètres!$B$31)/Paramètres!$B$31)),3)</f>
        <v>0.11</v>
      </c>
      <c r="Z70" s="31" t="n">
        <f aca="false" t="array" ref="Z70:Z70">IF(E70="Neutre",0,MIN(1,INDEX(Rôles!$L$5:$L$13,AY70)+INDEX(Rôles!$F$18:$F$22,AZ70)))</f>
        <v>0.6</v>
      </c>
      <c r="AA70" s="32" t="n">
        <f aca="false" t="array" ref="AA70:AA70">ROUND(INDEX(Rôles!$C$18:$C$22,AZ70)*INDEX(Rôles!$C$5:$C$13,AY70),4)</f>
        <v>0.0165</v>
      </c>
      <c r="AB70" s="33" t="n">
        <f aca="false" t="array" ref="AB70:AB70">ROUND(INDEX(Rôles!$B$18:$B$22,AZ70)*INDEX(Rôles!$B$5:$B$13,AY70),2)</f>
        <v>1.6</v>
      </c>
      <c r="AC70" s="33" t="n">
        <f aca="false" t="array" ref="AC70:AC70">INDEX(Rôles!$E$18:$E$22,AZ70)</f>
        <v>1</v>
      </c>
      <c r="AD70" s="23" t="str">
        <f aca="false" t="array" ref="AD70:AD70">INDEX(Éléments!$F$5:$F$14,MATCH(E70,Éléments!$A$5:$A$14,0))</f>
        <v>Feu</v>
      </c>
      <c r="AE70" s="23" t="str">
        <f aca="false" t="array" ref="AE70:AE70">INDEX(Éléments!$G$5:$G$14,MATCH(E70,Éléments!$A$5:$A$14,0))</f>
        <v>Vent</v>
      </c>
      <c r="AF70" s="34" t="s">
        <v>296</v>
      </c>
      <c r="AG70" s="35" t="n">
        <v>0.3</v>
      </c>
      <c r="AH70" s="34" t="s">
        <v>141</v>
      </c>
      <c r="AI70" s="35" t="n">
        <v>0.2</v>
      </c>
      <c r="AJ70" s="29" t="n">
        <f aca="false" t="array" ref="AJ70:AJ70">ROUND(ROUND(Paramètres!$B$49*K70^Paramètres!$B$50,0)*INDEX(Rôles!$E$18:$E$22,AZ70),0)</f>
        <v>1215</v>
      </c>
      <c r="AK70" s="29" t="n">
        <f aca="false" t="array" ref="AK70:AK70">ROUND(ROUND(Paramètres!$B$53*K70^Paramètres!$B$54,0)*INDEX(Rôles!$E$18:$E$22,AZ70),0)</f>
        <v>929</v>
      </c>
      <c r="AL70" s="36" t="n">
        <f aca="false">INDEX(Butin!$B$7:$B$11,AZ70)</f>
        <v>0.05</v>
      </c>
      <c r="AM70" s="37" t="n">
        <f aca="false">INDEX(Butin!$E$7:$E$11,AZ70)</f>
        <v>0.05</v>
      </c>
      <c r="AN70" s="30" t="n">
        <f aca="false">IF($H70="Boss",INDEX(Butin!$E$28:$K$37,MATCH($B70,Éléments!$C$5:$C$14,1),1),IF($H70="Dragon",INDEX(Butin!$E$41:$K$50,MATCH($B70,Éléments!$C$5:$C$14,1),1),INDEX(Butin!$E$15:$K$24,MATCH($B70,Éléments!$C$5:$C$14,1),1)))</f>
        <v>0.21</v>
      </c>
      <c r="AO70" s="30" t="n">
        <f aca="false">IF($H70="Boss",INDEX(Butin!$E$28:$K$37,MATCH($B70,Éléments!$C$5:$C$14,1),2),IF($H70="Dragon",INDEX(Butin!$E$41:$K$50,MATCH($B70,Éléments!$C$5:$C$14,1),2),INDEX(Butin!$E$15:$K$24,MATCH($B70,Éléments!$C$5:$C$14,1),2)))</f>
        <v>0.28</v>
      </c>
      <c r="AP70" s="30" t="n">
        <f aca="false">IF($H70="Boss",INDEX(Butin!$E$28:$K$37,MATCH($B70,Éléments!$C$5:$C$14,1),3),IF($H70="Dragon",INDEX(Butin!$E$41:$K$50,MATCH($B70,Éléments!$C$5:$C$14,1),3),INDEX(Butin!$E$15:$K$24,MATCH($B70,Éléments!$C$5:$C$14,1),3)))</f>
        <v>0.27</v>
      </c>
      <c r="AQ70" s="30" t="n">
        <f aca="false">IF($H70="Boss",INDEX(Butin!$E$28:$K$37,MATCH($B70,Éléments!$C$5:$C$14,1),4),IF($H70="Dragon",INDEX(Butin!$E$41:$K$50,MATCH($B70,Éléments!$C$5:$C$14,1),4),INDEX(Butin!$E$15:$K$24,MATCH($B70,Éléments!$C$5:$C$14,1),4)))</f>
        <v>0.16</v>
      </c>
      <c r="AR70" s="30" t="n">
        <f aca="false">IF($H70="Boss",INDEX(Butin!$E$28:$K$37,MATCH($B70,Éléments!$C$5:$C$14,1),5),IF($H70="Dragon",INDEX(Butin!$E$41:$K$50,MATCH($B70,Éléments!$C$5:$C$14,1),5),INDEX(Butin!$E$15:$K$24,MATCH($B70,Éléments!$C$5:$C$14,1),5)))</f>
        <v>0.065</v>
      </c>
      <c r="AS70" s="30" t="n">
        <f aca="false">IF($H70="Boss",INDEX(Butin!$E$28:$K$37,MATCH($B70,Éléments!$C$5:$C$14,1),6),IF($H70="Dragon",INDEX(Butin!$E$41:$K$50,MATCH($B70,Éléments!$C$5:$C$14,1),6),INDEX(Butin!$E$15:$K$24,MATCH($B70,Éléments!$C$5:$C$14,1),6)))</f>
        <v>0.012</v>
      </c>
      <c r="AT70" s="30" t="n">
        <f aca="false">IF($H70="Boss",INDEX(Butin!$E$28:$K$37,MATCH($B70,Éléments!$C$5:$C$14,1),7),IF($H70="Dragon",INDEX(Butin!$E$41:$K$50,MATCH($B70,Éléments!$C$5:$C$14,1),7),INDEX(Butin!$E$15:$K$24,MATCH($B70,Éléments!$C$5:$C$14,1),7)))</f>
        <v>0.003</v>
      </c>
      <c r="AU70" s="38" t="str">
        <f aca="false">IF(AT70=0,"—",INDEX(Butin!$D$54:$D$63,MATCH($B70,Éléments!$C$5:$C$14,1))&amp;" · "&amp;INDEX(Butin!$F$54:$F$63,MATCH($B70,Éléments!$C$5:$C$14,1))&amp;" · "&amp;INDEX(Butin!$H$54:$H$63,MATCH($B70,Éléments!$C$5:$C$14,1)))</f>
        <v>Bottes du Marcheur Glacé · Robe du Givre Éternel · Pantalon du Pisteur Givré</v>
      </c>
      <c r="AV70" s="20" t="s">
        <v>315</v>
      </c>
      <c r="AW70" s="39" t="str">
        <f aca="false">B70&amp;IF(G70="Oui","|B","|N")</f>
        <v>70|N</v>
      </c>
      <c r="AX70" s="40" t="n">
        <f aca="false">(Paramètres!$B$5+(1-Paramètres!$B$5)*((K70-Paramètres!$B$7)/(Paramètres!$B$8-Paramètres!$B$7))^Paramètres!$B$6)</f>
        <v>0.665999387952727</v>
      </c>
      <c r="AY70" s="39" t="n">
        <f aca="false">MATCH(I70,Rôles!$A$5:$A$13,0)</f>
        <v>4</v>
      </c>
      <c r="AZ70" s="39" t="n">
        <f aca="false">MATCH(H70,Rôles!$A$18:$A$22,0)</f>
        <v>2</v>
      </c>
    </row>
    <row r="71" customFormat="false" ht="15.75" hidden="false" customHeight="true" outlineLevel="0" collapsed="false">
      <c r="A71" s="20" t="s">
        <v>316</v>
      </c>
      <c r="B71" s="21" t="n">
        <v>70</v>
      </c>
      <c r="C71" s="22" t="str">
        <f aca="false" t="array" ref="C71:C71">INDEX(Zones!$B$6:$B$35,MATCH(B71,Zones!$A$6:$A$35,0))</f>
        <v>Palais des glaces</v>
      </c>
      <c r="D71" s="23" t="str">
        <f aca="false" t="array" ref="D71:D71">INDEX(Éléments!$B$5:$B$14,MATCH(B71,Éléments!$C$5:$C$14,1))</f>
        <v>Iceberg</v>
      </c>
      <c r="E71" s="46" t="str">
        <f aca="false" t="array" ref="E71:E71">INDEX(Éléments!$A$5:$A$14,MATCH(B71,Éléments!$C$5:$C$14,1))</f>
        <v>Glace</v>
      </c>
      <c r="F71" s="25" t="s">
        <v>317</v>
      </c>
      <c r="G71" s="23" t="str">
        <f aca="false">IF(OR(H71="Boss",H71="Dragon"),"Oui","Non")</f>
        <v>Non</v>
      </c>
      <c r="H71" s="26" t="s">
        <v>138</v>
      </c>
      <c r="I71" s="26" t="s">
        <v>195</v>
      </c>
      <c r="J71" s="26" t="s">
        <v>173</v>
      </c>
      <c r="K71" s="27" t="n">
        <f aca="false">IF($F$3="",B71,$F$3)</f>
        <v>70</v>
      </c>
      <c r="L71" s="28" t="n">
        <f aca="false" t="array" ref="L71:L71">ROUND(Paramètres!$B$16*(Paramètres!$B$5+(1-Paramètres!$B$5)*((K71-Paramètres!$B$7)/(Paramètres!$B$8-Paramètres!$B$7))^Paramètres!$B$6)*INDEX(Rôles!$B$18:$B$22,AZ71)*INDEX(Rôles!$B$5:$B$13,AY71),0)</f>
        <v>734</v>
      </c>
      <c r="M71" s="29" t="n">
        <f aca="false" t="array" ref="M71:M71">ROUND(IF(J71="Physique",1,IF(J71="Mixte",Paramètres!$B$32,0))*Paramètres!$B$12*(Paramètres!$B$5+(1-Paramètres!$B$5)*((K71-Paramètres!$B$7)/(Paramètres!$B$8-Paramètres!$B$7))^Paramètres!$B$6)*INDEX(Rôles!$C$18:$C$22,AZ71)*INDEX(Rôles!$C$5:$C$13,AY71)/(Paramètres!$B$35*(1-Paramètres!$B$36)),0)</f>
        <v>0</v>
      </c>
      <c r="N71" s="29" t="n">
        <f aca="false" t="array" ref="N71:N71">ROUND(IF(J71="Magique",1,IF(J71="Mixte",Paramètres!$B$32,0))*Paramètres!$B$12*(Paramètres!$B$5+(1-Paramètres!$B$5)*((K71-Paramètres!$B$7)/(Paramètres!$B$8-Paramètres!$B$7))^Paramètres!$B$6)*INDEX(Rôles!$C$18:$C$22,AZ71)*INDEX(Rôles!$C$5:$C$13,AY71)/(Paramètres!$B$35*(1-Paramètres!$B$36)),0)</f>
        <v>285</v>
      </c>
      <c r="O71" s="29" t="n">
        <f aca="false" t="array" ref="O71:O71">ROUND(Paramètres!$B$18*(Paramètres!$B$5+(1-Paramètres!$B$5)*((K71-Paramètres!$B$7)/(Paramètres!$B$8-Paramètres!$B$7))^Paramètres!$B$6)*INDEX(Rôles!$D$5:$D$13,AY71)*INDEX(Rôles!$D$18:$D$22,AZ71),0)</f>
        <v>330</v>
      </c>
      <c r="P71" s="29" t="n">
        <f aca="false" t="array" ref="P71:P71">ROUND(Paramètres!$B$19*(Paramètres!$B$5+(1-Paramètres!$B$5)*((K71-Paramètres!$B$7)/(Paramètres!$B$8-Paramètres!$B$7))^Paramètres!$B$6)*INDEX(Rôles!$E$5:$E$13,AY71)*INDEX(Rôles!$D$18:$D$22,AZ71),0)</f>
        <v>107</v>
      </c>
      <c r="Q71" s="29" t="n">
        <f aca="false" t="array" ref="Q71:Q71">ROUND(Paramètres!$B$20*(Paramètres!$B$5+(1-Paramètres!$B$5)*((K71-Paramètres!$B$7)/(Paramètres!$B$8-Paramètres!$B$7))^Paramètres!$B$6)*INDEX(Rôles!$F$5:$F$13,AY71),0)</f>
        <v>72</v>
      </c>
      <c r="R71" s="29" t="n">
        <f aca="false">ROUND(Paramètres!$B$64*$AX71*INDEX(Rôles!$N$5:$N$13,$AY71)*INDEX(Rôles!$I$18:$I$22,$AZ71),0)</f>
        <v>60</v>
      </c>
      <c r="S71" s="30" t="n">
        <f aca="false" t="array" ref="S71:S71">MIN(1,ROUND(Paramètres!$B$21*INDEX(Rôles!$G$5:$G$13,AY71),3))</f>
        <v>0.9</v>
      </c>
      <c r="T71" s="30" t="n">
        <f aca="false" t="array" ref="T71:T71">MIN(Paramètres!$B$28,ROUND(Paramètres!$B$22*INDEX(Rôles!$H$5:$H$13,AY71),3))</f>
        <v>0.05</v>
      </c>
      <c r="U71" s="30" t="n">
        <f aca="false" t="array" ref="U71:U71">ROUND(Paramètres!$B$23*INDEX(Rôles!$I$5:$I$13,AY71),3)</f>
        <v>0.5</v>
      </c>
      <c r="V71" s="30" t="n">
        <f aca="false" t="array" ref="V71:V71">MIN(Paramètres!$B$29,ROUND(Paramètres!$B$24*INDEX(Rôles!$J$5:$J$13,AY71),3))</f>
        <v>0.065</v>
      </c>
      <c r="W71" s="30" t="n">
        <f aca="false" t="array" ref="W71:W71">MIN(Paramètres!$B$27,ROUND((Paramètres!$B$25+(Paramètres!$B$26-Paramètres!$B$25)*(K71-Paramètres!$B$7)/(Paramètres!$B$8-Paramètres!$B$7))*INDEX(Rôles!$K$5:$K$13,AY71)+INDEX(Rôles!$G$18:$G$22,AZ71),3))</f>
        <v>0.269</v>
      </c>
      <c r="X71" s="30" t="n">
        <f aca="false">ROUND(1-(1-P71/(P71+(Paramètres!$B$19*(Paramètres!$B$5+(1-Paramètres!$B$5)*((K71-Paramètres!$B$7)/(Paramètres!$B$8-Paramètres!$B$7))^Paramètres!$B$6)*(1-Paramètres!$B$30)/Paramètres!$B$30)))*(1-O71/(O71+(Paramètres!$B$18*(Paramètres!$B$5+(1-Paramètres!$B$5)*((K71-Paramètres!$B$7)/(Paramètres!$B$8-Paramètres!$B$7))^Paramètres!$B$6)*(1-Paramètres!$B$31)/Paramètres!$B$31))),3)</f>
        <v>0.239</v>
      </c>
      <c r="Y71" s="30" t="n">
        <f aca="false">ROUND(O71/(O71+(Paramètres!$B$18*(Paramètres!$B$5+(1-Paramètres!$B$5)*((K71-Paramètres!$B$7)/(Paramètres!$B$8-Paramètres!$B$7))^Paramètres!$B$6)*(1-Paramètres!$B$31)/Paramètres!$B$31)),3)</f>
        <v>0.163</v>
      </c>
      <c r="Z71" s="31" t="n">
        <f aca="false" t="array" ref="Z71:Z71">IF(E71="Neutre",0,MIN(1,INDEX(Rôles!$L$5:$L$13,AY71)+INDEX(Rôles!$F$18:$F$22,AZ71)))</f>
        <v>1</v>
      </c>
      <c r="AA71" s="32" t="n">
        <f aca="false" t="array" ref="AA71:AA71">ROUND(INDEX(Rôles!$C$18:$C$22,AZ71)*INDEX(Rôles!$C$5:$C$13,AY71),4)</f>
        <v>0.0188</v>
      </c>
      <c r="AB71" s="33" t="n">
        <f aca="false" t="array" ref="AB71:AB71">ROUND(INDEX(Rôles!$B$18:$B$22,AZ71)*INDEX(Rôles!$B$5:$B$13,AY71),2)</f>
        <v>1.4</v>
      </c>
      <c r="AC71" s="33" t="n">
        <f aca="false" t="array" ref="AC71:AC71">INDEX(Rôles!$E$18:$E$22,AZ71)</f>
        <v>1</v>
      </c>
      <c r="AD71" s="23" t="str">
        <f aca="false" t="array" ref="AD71:AD71">INDEX(Éléments!$F$5:$F$14,MATCH(E71,Éléments!$A$5:$A$14,0))</f>
        <v>Feu</v>
      </c>
      <c r="AE71" s="23" t="str">
        <f aca="false" t="array" ref="AE71:AE71">INDEX(Éléments!$G$5:$G$14,MATCH(E71,Éléments!$A$5:$A$14,0))</f>
        <v>Vent</v>
      </c>
      <c r="AF71" s="34" t="s">
        <v>296</v>
      </c>
      <c r="AG71" s="35" t="n">
        <v>0.35</v>
      </c>
      <c r="AH71" s="34" t="s">
        <v>307</v>
      </c>
      <c r="AI71" s="35" t="n">
        <v>0.1</v>
      </c>
      <c r="AJ71" s="29" t="n">
        <f aca="false" t="array" ref="AJ71:AJ71">ROUND(ROUND(Paramètres!$B$49*K71^Paramètres!$B$50,0)*INDEX(Rôles!$E$18:$E$22,AZ71),0)</f>
        <v>1215</v>
      </c>
      <c r="AK71" s="29" t="n">
        <f aca="false" t="array" ref="AK71:AK71">ROUND(ROUND(Paramètres!$B$53*K71^Paramètres!$B$54,0)*INDEX(Rôles!$E$18:$E$22,AZ71),0)</f>
        <v>929</v>
      </c>
      <c r="AL71" s="36" t="n">
        <f aca="false">INDEX(Butin!$B$7:$B$11,AZ71)</f>
        <v>0.05</v>
      </c>
      <c r="AM71" s="37" t="n">
        <f aca="false">INDEX(Butin!$E$7:$E$11,AZ71)</f>
        <v>0.05</v>
      </c>
      <c r="AN71" s="30" t="n">
        <f aca="false">IF($H71="Boss",INDEX(Butin!$E$28:$K$37,MATCH($B71,Éléments!$C$5:$C$14,1),1),IF($H71="Dragon",INDEX(Butin!$E$41:$K$50,MATCH($B71,Éléments!$C$5:$C$14,1),1),INDEX(Butin!$E$15:$K$24,MATCH($B71,Éléments!$C$5:$C$14,1),1)))</f>
        <v>0.21</v>
      </c>
      <c r="AO71" s="30" t="n">
        <f aca="false">IF($H71="Boss",INDEX(Butin!$E$28:$K$37,MATCH($B71,Éléments!$C$5:$C$14,1),2),IF($H71="Dragon",INDEX(Butin!$E$41:$K$50,MATCH($B71,Éléments!$C$5:$C$14,1),2),INDEX(Butin!$E$15:$K$24,MATCH($B71,Éléments!$C$5:$C$14,1),2)))</f>
        <v>0.28</v>
      </c>
      <c r="AP71" s="30" t="n">
        <f aca="false">IF($H71="Boss",INDEX(Butin!$E$28:$K$37,MATCH($B71,Éléments!$C$5:$C$14,1),3),IF($H71="Dragon",INDEX(Butin!$E$41:$K$50,MATCH($B71,Éléments!$C$5:$C$14,1),3),INDEX(Butin!$E$15:$K$24,MATCH($B71,Éléments!$C$5:$C$14,1),3)))</f>
        <v>0.27</v>
      </c>
      <c r="AQ71" s="30" t="n">
        <f aca="false">IF($H71="Boss",INDEX(Butin!$E$28:$K$37,MATCH($B71,Éléments!$C$5:$C$14,1),4),IF($H71="Dragon",INDEX(Butin!$E$41:$K$50,MATCH($B71,Éléments!$C$5:$C$14,1),4),INDEX(Butin!$E$15:$K$24,MATCH($B71,Éléments!$C$5:$C$14,1),4)))</f>
        <v>0.16</v>
      </c>
      <c r="AR71" s="30" t="n">
        <f aca="false">IF($H71="Boss",INDEX(Butin!$E$28:$K$37,MATCH($B71,Éléments!$C$5:$C$14,1),5),IF($H71="Dragon",INDEX(Butin!$E$41:$K$50,MATCH($B71,Éléments!$C$5:$C$14,1),5),INDEX(Butin!$E$15:$K$24,MATCH($B71,Éléments!$C$5:$C$14,1),5)))</f>
        <v>0.065</v>
      </c>
      <c r="AS71" s="30" t="n">
        <f aca="false">IF($H71="Boss",INDEX(Butin!$E$28:$K$37,MATCH($B71,Éléments!$C$5:$C$14,1),6),IF($H71="Dragon",INDEX(Butin!$E$41:$K$50,MATCH($B71,Éléments!$C$5:$C$14,1),6),INDEX(Butin!$E$15:$K$24,MATCH($B71,Éléments!$C$5:$C$14,1),6)))</f>
        <v>0.012</v>
      </c>
      <c r="AT71" s="30" t="n">
        <f aca="false">IF($H71="Boss",INDEX(Butin!$E$28:$K$37,MATCH($B71,Éléments!$C$5:$C$14,1),7),IF($H71="Dragon",INDEX(Butin!$E$41:$K$50,MATCH($B71,Éléments!$C$5:$C$14,1),7),INDEX(Butin!$E$15:$K$24,MATCH($B71,Éléments!$C$5:$C$14,1),7)))</f>
        <v>0.003</v>
      </c>
      <c r="AU71" s="38" t="str">
        <f aca="false">IF(AT71=0,"—",INDEX(Butin!$D$54:$D$63,MATCH($B71,Éléments!$C$5:$C$14,1))&amp;" · "&amp;INDEX(Butin!$F$54:$F$63,MATCH($B71,Éléments!$C$5:$C$14,1))&amp;" · "&amp;INDEX(Butin!$H$54:$H$63,MATCH($B71,Éléments!$C$5:$C$14,1)))</f>
        <v>Bottes du Marcheur Glacé · Robe du Givre Éternel · Pantalon du Pisteur Givré</v>
      </c>
      <c r="AV71" s="20" t="s">
        <v>317</v>
      </c>
      <c r="AW71" s="39" t="str">
        <f aca="false">B71&amp;IF(G71="Oui","|B","|N")</f>
        <v>70|N</v>
      </c>
      <c r="AX71" s="40" t="n">
        <f aca="false">(Paramètres!$B$5+(1-Paramètres!$B$5)*((K71-Paramètres!$B$7)/(Paramètres!$B$8-Paramètres!$B$7))^Paramètres!$B$6)</f>
        <v>0.665999387952727</v>
      </c>
      <c r="AY71" s="39" t="n">
        <f aca="false">MATCH(I71,Rôles!$A$5:$A$13,0)</f>
        <v>5</v>
      </c>
      <c r="AZ71" s="39" t="n">
        <f aca="false">MATCH(H71,Rôles!$A$18:$A$22,0)</f>
        <v>2</v>
      </c>
    </row>
    <row r="72" customFormat="false" ht="15.75" hidden="false" customHeight="true" outlineLevel="0" collapsed="false">
      <c r="A72" s="20" t="s">
        <v>318</v>
      </c>
      <c r="B72" s="21" t="n">
        <v>75</v>
      </c>
      <c r="C72" s="22" t="str">
        <f aca="false" t="array" ref="C72:C72">INDEX(Zones!$B$6:$B$35,MATCH(B72,Zones!$A$6:$A$35,0))</f>
        <v>Sommet des montagnes</v>
      </c>
      <c r="D72" s="23" t="str">
        <f aca="false" t="array" ref="D72:D72">INDEX(Éléments!$B$5:$B$14,MATCH(B72,Éléments!$C$5:$C$14,1))</f>
        <v>Haute montagne</v>
      </c>
      <c r="E72" s="47" t="str">
        <f aca="false" t="array" ref="E72:E72">INDEX(Éléments!$A$5:$A$14,MATCH(B72,Éléments!$C$5:$C$14,1))</f>
        <v>Électricité</v>
      </c>
      <c r="F72" s="25" t="s">
        <v>319</v>
      </c>
      <c r="G72" s="23" t="str">
        <f aca="false">IF(OR(H72="Boss",H72="Dragon"),"Oui","Non")</f>
        <v>Oui</v>
      </c>
      <c r="H72" s="26" t="s">
        <v>152</v>
      </c>
      <c r="I72" s="26" t="s">
        <v>149</v>
      </c>
      <c r="J72" s="26" t="s">
        <v>157</v>
      </c>
      <c r="K72" s="27" t="n">
        <f aca="false">IF($F$3="",B72,$F$3)</f>
        <v>75</v>
      </c>
      <c r="L72" s="28" t="n">
        <f aca="false" t="array" ref="L72:L72">ROUND(Paramètres!$B$16*(Paramètres!$B$5+(1-Paramètres!$B$5)*((K72-Paramètres!$B$7)/(Paramètres!$B$8-Paramètres!$B$7))^Paramètres!$B$6)*INDEX(Rôles!$B$18:$B$22,AZ72)*INDEX(Rôles!$B$5:$B$13,AY72),0)</f>
        <v>10205</v>
      </c>
      <c r="M72" s="29" t="n">
        <f aca="false" t="array" ref="M72:M72">ROUND(IF(J72="Physique",1,IF(J72="Mixte",Paramètres!$B$32,0))*Paramètres!$B$12*(Paramètres!$B$5+(1-Paramètres!$B$5)*((K72-Paramètres!$B$7)/(Paramètres!$B$8-Paramètres!$B$7))^Paramètres!$B$6)*INDEX(Rôles!$C$18:$C$22,AZ72)*INDEX(Rôles!$C$5:$C$13,AY72)/(Paramètres!$B$35*(1-Paramètres!$B$36)),0)</f>
        <v>352</v>
      </c>
      <c r="N72" s="29" t="n">
        <f aca="false" t="array" ref="N72:N72">ROUND(IF(J72="Magique",1,IF(J72="Mixte",Paramètres!$B$32,0))*Paramètres!$B$12*(Paramètres!$B$5+(1-Paramètres!$B$5)*((K72-Paramètres!$B$7)/(Paramètres!$B$8-Paramètres!$B$7))^Paramètres!$B$6)*INDEX(Rôles!$C$18:$C$22,AZ72)*INDEX(Rôles!$C$5:$C$13,AY72)/(Paramètres!$B$35*(1-Paramètres!$B$36)),0)</f>
        <v>352</v>
      </c>
      <c r="O72" s="29" t="n">
        <f aca="false" t="array" ref="O72:O72">ROUND(Paramètres!$B$18*(Paramètres!$B$5+(1-Paramètres!$B$5)*((K72-Paramètres!$B$7)/(Paramètres!$B$8-Paramètres!$B$7))^Paramètres!$B$6)*INDEX(Rôles!$D$5:$D$13,AY72)*INDEX(Rôles!$D$18:$D$22,AZ72),0)</f>
        <v>505</v>
      </c>
      <c r="P72" s="29" t="n">
        <f aca="false" t="array" ref="P72:P72">ROUND(Paramètres!$B$19*(Paramètres!$B$5+(1-Paramètres!$B$5)*((K72-Paramètres!$B$7)/(Paramètres!$B$8-Paramètres!$B$7))^Paramètres!$B$6)*INDEX(Rôles!$E$5:$E$13,AY72)*INDEX(Rôles!$D$18:$D$22,AZ72),0)</f>
        <v>562</v>
      </c>
      <c r="Q72" s="29" t="n">
        <f aca="false" t="array" ref="Q72:Q72">ROUND(Paramètres!$B$20*(Paramètres!$B$5+(1-Paramètres!$B$5)*((K72-Paramètres!$B$7)/(Paramètres!$B$8-Paramètres!$B$7))^Paramètres!$B$6)*INDEX(Rôles!$F$5:$F$13,AY72),0)</f>
        <v>52</v>
      </c>
      <c r="R72" s="29" t="n">
        <f aca="false">ROUND(Paramètres!$B$64*$AX72*INDEX(Rôles!$N$5:$N$13,$AY72)*INDEX(Rôles!$I$18:$I$22,$AZ72),0)</f>
        <v>58</v>
      </c>
      <c r="S72" s="30" t="n">
        <f aca="false" t="array" ref="S72:S72">MIN(1,ROUND(Paramètres!$B$21*INDEX(Rôles!$G$5:$G$13,AY72),3))</f>
        <v>0.765</v>
      </c>
      <c r="T72" s="30" t="n">
        <f aca="false" t="array" ref="T72:T72">MIN(Paramètres!$B$28,ROUND(Paramètres!$B$22*INDEX(Rôles!$H$5:$H$13,AY72),3))</f>
        <v>0.03</v>
      </c>
      <c r="U72" s="30" t="n">
        <f aca="false" t="array" ref="U72:U72">ROUND(Paramètres!$B$23*INDEX(Rôles!$I$5:$I$13,AY72),3)</f>
        <v>0.5</v>
      </c>
      <c r="V72" s="30" t="n">
        <f aca="false" t="array" ref="V72:V72">MIN(Paramètres!$B$29,ROUND(Paramètres!$B$24*INDEX(Rôles!$J$5:$J$13,AY72),3))</f>
        <v>0.04</v>
      </c>
      <c r="W72" s="30" t="n">
        <f aca="false" t="array" ref="W72:W72">MIN(Paramètres!$B$27,ROUND((Paramètres!$B$25+(Paramètres!$B$26-Paramètres!$B$25)*(K72-Paramètres!$B$7)/(Paramètres!$B$8-Paramètres!$B$7))*INDEX(Rôles!$K$5:$K$13,AY72)+INDEX(Rôles!$G$18:$G$22,AZ72),3))</f>
        <v>0.484</v>
      </c>
      <c r="X72" s="30" t="n">
        <f aca="false">ROUND(1-(1-P72/(P72+(Paramètres!$B$19*(Paramètres!$B$5+(1-Paramètres!$B$5)*((K72-Paramètres!$B$7)/(Paramètres!$B$8-Paramètres!$B$7))^Paramètres!$B$6)*(1-Paramètres!$B$30)/Paramètres!$B$30)))*(1-O72/(O72+(Paramètres!$B$18*(Paramètres!$B$5+(1-Paramètres!$B$5)*((K72-Paramètres!$B$7)/(Paramètres!$B$8-Paramètres!$B$7))^Paramètres!$B$6)*(1-Paramètres!$B$31)/Paramètres!$B$31))),3)</f>
        <v>0.473</v>
      </c>
      <c r="Y72" s="30" t="n">
        <f aca="false">ROUND(O72/(O72+(Paramètres!$B$18*(Paramètres!$B$5+(1-Paramètres!$B$5)*((K72-Paramètres!$B$7)/(Paramètres!$B$8-Paramètres!$B$7))^Paramètres!$B$6)*(1-Paramètres!$B$31)/Paramètres!$B$31)),3)</f>
        <v>0.216</v>
      </c>
      <c r="Z72" s="31" t="n">
        <f aca="false" t="array" ref="Z72:Z72">IF(E72="Neutre",0,MIN(1,INDEX(Rôles!$L$5:$L$13,AY72)+INDEX(Rôles!$F$18:$F$22,AZ72)))</f>
        <v>0.6</v>
      </c>
      <c r="AA72" s="32" t="n">
        <f aca="false" t="array" ref="AA72:AA72">ROUND(INDEX(Rôles!$C$18:$C$22,AZ72)*INDEX(Rôles!$C$5:$C$13,AY72),4)</f>
        <v>0.0285</v>
      </c>
      <c r="AB72" s="33" t="n">
        <f aca="false" t="array" ref="AB72:AB72">ROUND(INDEX(Rôles!$B$18:$B$22,AZ72)*INDEX(Rôles!$B$5:$B$13,AY72),2)</f>
        <v>18</v>
      </c>
      <c r="AC72" s="33" t="n">
        <f aca="false" t="array" ref="AC72:AC72">INDEX(Rôles!$E$18:$E$22,AZ72)</f>
        <v>8</v>
      </c>
      <c r="AD72" s="23" t="str">
        <f aca="false" t="array" ref="AD72:AD72">INDEX(Éléments!$F$5:$F$14,MATCH(E72,Éléments!$A$5:$A$14,0))</f>
        <v>Terre</v>
      </c>
      <c r="AE72" s="23" t="str">
        <f aca="false" t="array" ref="AE72:AE72">INDEX(Éléments!$G$5:$G$14,MATCH(E72,Éléments!$A$5:$A$14,0))</f>
        <v>Eau</v>
      </c>
      <c r="AF72" s="34" t="s">
        <v>320</v>
      </c>
      <c r="AG72" s="35" t="n">
        <v>0.35</v>
      </c>
      <c r="AH72" s="34" t="s">
        <v>142</v>
      </c>
      <c r="AI72" s="35" t="n">
        <v>0.3</v>
      </c>
      <c r="AJ72" s="29" t="n">
        <f aca="false" t="array" ref="AJ72:AJ72">ROUND(ROUND(Paramètres!$B$49*K72^Paramètres!$B$50,0)*INDEX(Rôles!$E$18:$E$22,AZ72),0)</f>
        <v>10592</v>
      </c>
      <c r="AK72" s="29" t="n">
        <f aca="false" t="array" ref="AK72:AK72">ROUND(ROUND(Paramètres!$B$53*K72^Paramètres!$B$54,0)*INDEX(Rôles!$E$18:$E$22,AZ72),0)</f>
        <v>8160</v>
      </c>
      <c r="AL72" s="36" t="n">
        <f aca="false">INDEX(Butin!$B$7:$B$11,AZ72)</f>
        <v>1</v>
      </c>
      <c r="AM72" s="37" t="n">
        <f aca="false">INDEX(Butin!$E$7:$E$11,AZ72)</f>
        <v>1.4</v>
      </c>
      <c r="AN72" s="30" t="n">
        <f aca="false">IF($H72="Boss",INDEX(Butin!$E$28:$K$37,MATCH($B72,Éléments!$C$5:$C$14,1),1),IF($H72="Dragon",INDEX(Butin!$E$41:$K$50,MATCH($B72,Éléments!$C$5:$C$14,1),1),INDEX(Butin!$E$15:$K$24,MATCH($B72,Éléments!$C$5:$C$14,1),1)))</f>
        <v>0.02</v>
      </c>
      <c r="AO72" s="30" t="n">
        <f aca="false">IF($H72="Boss",INDEX(Butin!$E$28:$K$37,MATCH($B72,Éléments!$C$5:$C$14,1),2),IF($H72="Dragon",INDEX(Butin!$E$41:$K$50,MATCH($B72,Éléments!$C$5:$C$14,1),2),INDEX(Butin!$E$15:$K$24,MATCH($B72,Éléments!$C$5:$C$14,1),2)))</f>
        <v>0.1</v>
      </c>
      <c r="AP72" s="30" t="n">
        <f aca="false">IF($H72="Boss",INDEX(Butin!$E$28:$K$37,MATCH($B72,Éléments!$C$5:$C$14,1),3),IF($H72="Dragon",INDEX(Butin!$E$41:$K$50,MATCH($B72,Éléments!$C$5:$C$14,1),3),INDEX(Butin!$E$15:$K$24,MATCH($B72,Éléments!$C$5:$C$14,1),3)))</f>
        <v>0.24</v>
      </c>
      <c r="AQ72" s="30" t="n">
        <f aca="false">IF($H72="Boss",INDEX(Butin!$E$28:$K$37,MATCH($B72,Éléments!$C$5:$C$14,1),4),IF($H72="Dragon",INDEX(Butin!$E$41:$K$50,MATCH($B72,Éléments!$C$5:$C$14,1),4),INDEX(Butin!$E$15:$K$24,MATCH($B72,Éléments!$C$5:$C$14,1),4)))</f>
        <v>0.29</v>
      </c>
      <c r="AR72" s="30" t="n">
        <f aca="false">IF($H72="Boss",INDEX(Butin!$E$28:$K$37,MATCH($B72,Éléments!$C$5:$C$14,1),5),IF($H72="Dragon",INDEX(Butin!$E$41:$K$50,MATCH($B72,Éléments!$C$5:$C$14,1),5),INDEX(Butin!$E$15:$K$24,MATCH($B72,Éléments!$C$5:$C$14,1),5)))</f>
        <v>0.21</v>
      </c>
      <c r="AS72" s="30" t="n">
        <f aca="false">IF($H72="Boss",INDEX(Butin!$E$28:$K$37,MATCH($B72,Éléments!$C$5:$C$14,1),6),IF($H72="Dragon",INDEX(Butin!$E$41:$K$50,MATCH($B72,Éléments!$C$5:$C$14,1),6),INDEX(Butin!$E$15:$K$24,MATCH($B72,Éléments!$C$5:$C$14,1),6)))</f>
        <v>0.08</v>
      </c>
      <c r="AT72" s="30" t="n">
        <f aca="false">IF($H72="Boss",INDEX(Butin!$E$28:$K$37,MATCH($B72,Éléments!$C$5:$C$14,1),7),IF($H72="Dragon",INDEX(Butin!$E$41:$K$50,MATCH($B72,Éléments!$C$5:$C$14,1),7),INDEX(Butin!$E$15:$K$24,MATCH($B72,Éléments!$C$5:$C$14,1),7)))</f>
        <v>0.06</v>
      </c>
      <c r="AU72" s="38" t="str">
        <f aca="false">IF(AT72=0,"—",INDEX(Butin!$D$54:$D$63,MATCH($B72,Éléments!$C$5:$C$14,1))&amp;" · "&amp;INDEX(Butin!$F$54:$F$63,MATCH($B72,Éléments!$C$5:$C$14,1))&amp;" · "&amp;INDEX(Butin!$H$54:$H$63,MATCH($B72,Éléments!$C$5:$C$14,1)))</f>
        <v>Ceinturon du Tonnerre Rugissant · Pantalon du Tisseur de Tempêtes · Bottes du Chasseur de Foudre</v>
      </c>
      <c r="AV72" s="20" t="s">
        <v>319</v>
      </c>
      <c r="AW72" s="39" t="str">
        <f aca="false">B72&amp;IF(G72="Oui","|B","|N")</f>
        <v>75|B</v>
      </c>
      <c r="AX72" s="40" t="n">
        <f aca="false">(Paramètres!$B$5+(1-Paramètres!$B$5)*((K72-Paramètres!$B$7)/(Paramètres!$B$8-Paramètres!$B$7))^Paramètres!$B$6)</f>
        <v>0.719945440029963</v>
      </c>
      <c r="AY72" s="39" t="n">
        <f aca="false">MATCH(I72,Rôles!$A$5:$A$13,0)</f>
        <v>2</v>
      </c>
      <c r="AZ72" s="39" t="n">
        <f aca="false">MATCH(H72,Rôles!$A$18:$A$22,0)</f>
        <v>4</v>
      </c>
    </row>
    <row r="73" customFormat="false" ht="15.75" hidden="false" customHeight="true" outlineLevel="0" collapsed="false">
      <c r="A73" s="20" t="s">
        <v>321</v>
      </c>
      <c r="B73" s="21" t="n">
        <v>75</v>
      </c>
      <c r="C73" s="22" t="str">
        <f aca="false" t="array" ref="C73:C73">INDEX(Zones!$B$6:$B$35,MATCH(B73,Zones!$A$6:$A$35,0))</f>
        <v>Sommet des montagnes</v>
      </c>
      <c r="D73" s="23" t="str">
        <f aca="false" t="array" ref="D73:D73">INDEX(Éléments!$B$5:$B$14,MATCH(B73,Éléments!$C$5:$C$14,1))</f>
        <v>Haute montagne</v>
      </c>
      <c r="E73" s="47" t="str">
        <f aca="false" t="array" ref="E73:E73">INDEX(Éléments!$A$5:$A$14,MATCH(B73,Éléments!$C$5:$C$14,1))</f>
        <v>Électricité</v>
      </c>
      <c r="F73" s="25" t="s">
        <v>322</v>
      </c>
      <c r="G73" s="23" t="str">
        <f aca="false">IF(OR(H73="Boss",H73="Dragon"),"Oui","Non")</f>
        <v>Non</v>
      </c>
      <c r="H73" s="26" t="s">
        <v>148</v>
      </c>
      <c r="I73" s="26" t="s">
        <v>149</v>
      </c>
      <c r="J73" s="26" t="s">
        <v>140</v>
      </c>
      <c r="K73" s="27" t="n">
        <f aca="false">IF($F$3="",B73,$F$3)</f>
        <v>75</v>
      </c>
      <c r="L73" s="28" t="n">
        <f aca="false" t="array" ref="L73:L73">ROUND(Paramètres!$B$16*(Paramètres!$B$5+(1-Paramètres!$B$5)*((K73-Paramètres!$B$7)/(Paramètres!$B$8-Paramètres!$B$7))^Paramètres!$B$6)*INDEX(Rôles!$B$18:$B$22,AZ73)*INDEX(Rôles!$B$5:$B$13,AY73),0)</f>
        <v>2381</v>
      </c>
      <c r="M73" s="29" t="n">
        <f aca="false" t="array" ref="M73:M73">ROUND(IF(J73="Physique",1,IF(J73="Mixte",Paramètres!$B$32,0))*Paramètres!$B$12*(Paramètres!$B$5+(1-Paramètres!$B$5)*((K73-Paramètres!$B$7)/(Paramètres!$B$8-Paramètres!$B$7))^Paramètres!$B$6)*INDEX(Rôles!$C$18:$C$22,AZ73)*INDEX(Rôles!$C$5:$C$13,AY73)/(Paramètres!$B$35*(1-Paramètres!$B$36)),0)</f>
        <v>297</v>
      </c>
      <c r="N73" s="29" t="n">
        <f aca="false" t="array" ref="N73:N73">ROUND(IF(J73="Magique",1,IF(J73="Mixte",Paramètres!$B$32,0))*Paramètres!$B$12*(Paramètres!$B$5+(1-Paramètres!$B$5)*((K73-Paramètres!$B$7)/(Paramètres!$B$8-Paramètres!$B$7))^Paramètres!$B$6)*INDEX(Rôles!$C$18:$C$22,AZ73)*INDEX(Rôles!$C$5:$C$13,AY73)/(Paramètres!$B$35*(1-Paramètres!$B$36)),0)</f>
        <v>0</v>
      </c>
      <c r="O73" s="29" t="n">
        <f aca="false" t="array" ref="O73:O73">ROUND(Paramètres!$B$18*(Paramètres!$B$5+(1-Paramètres!$B$5)*((K73-Paramètres!$B$7)/(Paramètres!$B$8-Paramètres!$B$7))^Paramètres!$B$6)*INDEX(Rôles!$D$5:$D$13,AY73)*INDEX(Rôles!$D$18:$D$22,AZ73),0)</f>
        <v>447</v>
      </c>
      <c r="P73" s="29" t="n">
        <f aca="false" t="array" ref="P73:P73">ROUND(Paramètres!$B$19*(Paramètres!$B$5+(1-Paramètres!$B$5)*((K73-Paramètres!$B$7)/(Paramètres!$B$8-Paramètres!$B$7))^Paramètres!$B$6)*INDEX(Rôles!$E$5:$E$13,AY73)*INDEX(Rôles!$D$18:$D$22,AZ73),0)</f>
        <v>497</v>
      </c>
      <c r="Q73" s="29" t="n">
        <f aca="false" t="array" ref="Q73:Q73">ROUND(Paramètres!$B$20*(Paramètres!$B$5+(1-Paramètres!$B$5)*((K73-Paramètres!$B$7)/(Paramètres!$B$8-Paramètres!$B$7))^Paramètres!$B$6)*INDEX(Rôles!$F$5:$F$13,AY73),0)</f>
        <v>52</v>
      </c>
      <c r="R73" s="29" t="n">
        <f aca="false">ROUND(Paramètres!$B$64*$AX73*INDEX(Rôles!$N$5:$N$13,$AY73)*INDEX(Rôles!$I$18:$I$22,$AZ73),0)</f>
        <v>53</v>
      </c>
      <c r="S73" s="30" t="n">
        <f aca="false" t="array" ref="S73:S73">MIN(1,ROUND(Paramètres!$B$21*INDEX(Rôles!$G$5:$G$13,AY73),3))</f>
        <v>0.765</v>
      </c>
      <c r="T73" s="30" t="n">
        <f aca="false" t="array" ref="T73:T73">MIN(Paramètres!$B$28,ROUND(Paramètres!$B$22*INDEX(Rôles!$H$5:$H$13,AY73),3))</f>
        <v>0.03</v>
      </c>
      <c r="U73" s="30" t="n">
        <f aca="false" t="array" ref="U73:U73">ROUND(Paramètres!$B$23*INDEX(Rôles!$I$5:$I$13,AY73),3)</f>
        <v>0.5</v>
      </c>
      <c r="V73" s="30" t="n">
        <f aca="false" t="array" ref="V73:V73">MIN(Paramètres!$B$29,ROUND(Paramètres!$B$24*INDEX(Rôles!$J$5:$J$13,AY73),3))</f>
        <v>0.04</v>
      </c>
      <c r="W73" s="30" t="n">
        <f aca="false" t="array" ref="W73:W73">MIN(Paramètres!$B$27,ROUND((Paramètres!$B$25+(Paramètres!$B$26-Paramètres!$B$25)*(K73-Paramètres!$B$7)/(Paramètres!$B$8-Paramètres!$B$7))*INDEX(Rôles!$K$5:$K$13,AY73)+INDEX(Rôles!$G$18:$G$22,AZ73),3))</f>
        <v>0.284</v>
      </c>
      <c r="X73" s="30" t="n">
        <f aca="false">ROUND(1-(1-P73/(P73+(Paramètres!$B$19*(Paramètres!$B$5+(1-Paramètres!$B$5)*((K73-Paramètres!$B$7)/(Paramètres!$B$8-Paramètres!$B$7))^Paramètres!$B$6)*(1-Paramètres!$B$30)/Paramètres!$B$30)))*(1-O73/(O73+(Paramètres!$B$18*(Paramètres!$B$5+(1-Paramètres!$B$5)*((K73-Paramètres!$B$7)/(Paramètres!$B$8-Paramètres!$B$7))^Paramètres!$B$6)*(1-Paramètres!$B$31)/Paramètres!$B$31))),3)</f>
        <v>0.438</v>
      </c>
      <c r="Y73" s="30" t="n">
        <f aca="false">ROUND(O73/(O73+(Paramètres!$B$18*(Paramètres!$B$5+(1-Paramètres!$B$5)*((K73-Paramètres!$B$7)/(Paramètres!$B$8-Paramètres!$B$7))^Paramètres!$B$6)*(1-Paramètres!$B$31)/Paramètres!$B$31)),3)</f>
        <v>0.196</v>
      </c>
      <c r="Z73" s="31" t="n">
        <f aca="false" t="array" ref="Z73:Z73">IF(E73="Neutre",0,MIN(1,INDEX(Rôles!$L$5:$L$13,AY73)+INDEX(Rôles!$F$18:$F$22,AZ73)))</f>
        <v>0.4</v>
      </c>
      <c r="AA73" s="32" t="n">
        <f aca="false" t="array" ref="AA73:AA73">ROUND(INDEX(Rôles!$C$18:$C$22,AZ73)*INDEX(Rôles!$C$5:$C$13,AY73),4)</f>
        <v>0.0181</v>
      </c>
      <c r="AB73" s="33" t="n">
        <f aca="false" t="array" ref="AB73:AB73">ROUND(INDEX(Rôles!$B$18:$B$22,AZ73)*INDEX(Rôles!$B$5:$B$13,AY73),2)</f>
        <v>4.2</v>
      </c>
      <c r="AC73" s="33" t="n">
        <f aca="false" t="array" ref="AC73:AC73">INDEX(Rôles!$E$18:$E$22,AZ73)</f>
        <v>1.4</v>
      </c>
      <c r="AD73" s="23" t="str">
        <f aca="false" t="array" ref="AD73:AD73">INDEX(Éléments!$F$5:$F$14,MATCH(E73,Éléments!$A$5:$A$14,0))</f>
        <v>Terre</v>
      </c>
      <c r="AE73" s="23" t="str">
        <f aca="false" t="array" ref="AE73:AE73">INDEX(Éléments!$G$5:$G$14,MATCH(E73,Éléments!$A$5:$A$14,0))</f>
        <v>Eau</v>
      </c>
      <c r="AF73" s="34" t="s">
        <v>320</v>
      </c>
      <c r="AG73" s="35" t="n">
        <v>0.2</v>
      </c>
      <c r="AH73" s="34" t="s">
        <v>142</v>
      </c>
      <c r="AI73" s="35" t="n">
        <v>0.15</v>
      </c>
      <c r="AJ73" s="29" t="n">
        <f aca="false" t="array" ref="AJ73:AJ73">ROUND(ROUND(Paramètres!$B$49*K73^Paramètres!$B$50,0)*INDEX(Rôles!$E$18:$E$22,AZ73),0)</f>
        <v>1854</v>
      </c>
      <c r="AK73" s="29" t="n">
        <f aca="false" t="array" ref="AK73:AK73">ROUND(ROUND(Paramètres!$B$53*K73^Paramètres!$B$54,0)*INDEX(Rôles!$E$18:$E$22,AZ73),0)</f>
        <v>1428</v>
      </c>
      <c r="AL73" s="36" t="n">
        <f aca="false">INDEX(Butin!$B$7:$B$11,AZ73)</f>
        <v>0.08</v>
      </c>
      <c r="AM73" s="37" t="n">
        <f aca="false">INDEX(Butin!$E$7:$E$11,AZ73)</f>
        <v>0.08</v>
      </c>
      <c r="AN73" s="30" t="n">
        <f aca="false">IF($H73="Boss",INDEX(Butin!$E$28:$K$37,MATCH($B73,Éléments!$C$5:$C$14,1),1),IF($H73="Dragon",INDEX(Butin!$E$41:$K$50,MATCH($B73,Éléments!$C$5:$C$14,1),1),INDEX(Butin!$E$15:$K$24,MATCH($B73,Éléments!$C$5:$C$14,1),1)))</f>
        <v>0.16</v>
      </c>
      <c r="AO73" s="30" t="n">
        <f aca="false">IF($H73="Boss",INDEX(Butin!$E$28:$K$37,MATCH($B73,Éléments!$C$5:$C$14,1),2),IF($H73="Dragon",INDEX(Butin!$E$41:$K$50,MATCH($B73,Éléments!$C$5:$C$14,1),2),INDEX(Butin!$E$15:$K$24,MATCH($B73,Éléments!$C$5:$C$14,1),2)))</f>
        <v>0.25</v>
      </c>
      <c r="AP73" s="30" t="n">
        <f aca="false">IF($H73="Boss",INDEX(Butin!$E$28:$K$37,MATCH($B73,Éléments!$C$5:$C$14,1),3),IF($H73="Dragon",INDEX(Butin!$E$41:$K$50,MATCH($B73,Éléments!$C$5:$C$14,1),3),INDEX(Butin!$E$15:$K$24,MATCH($B73,Éléments!$C$5:$C$14,1),3)))</f>
        <v>0.28</v>
      </c>
      <c r="AQ73" s="30" t="n">
        <f aca="false">IF($H73="Boss",INDEX(Butin!$E$28:$K$37,MATCH($B73,Éléments!$C$5:$C$14,1),4),IF($H73="Dragon",INDEX(Butin!$E$41:$K$50,MATCH($B73,Éléments!$C$5:$C$14,1),4),INDEX(Butin!$E$15:$K$24,MATCH($B73,Éléments!$C$5:$C$14,1),4)))</f>
        <v>0.19</v>
      </c>
      <c r="AR73" s="30" t="n">
        <f aca="false">IF($H73="Boss",INDEX(Butin!$E$28:$K$37,MATCH($B73,Éléments!$C$5:$C$14,1),5),IF($H73="Dragon",INDEX(Butin!$E$41:$K$50,MATCH($B73,Éléments!$C$5:$C$14,1),5),INDEX(Butin!$E$15:$K$24,MATCH($B73,Éléments!$C$5:$C$14,1),5)))</f>
        <v>0.092</v>
      </c>
      <c r="AS73" s="30" t="n">
        <f aca="false">IF($H73="Boss",INDEX(Butin!$E$28:$K$37,MATCH($B73,Éléments!$C$5:$C$14,1),6),IF($H73="Dragon",INDEX(Butin!$E$41:$K$50,MATCH($B73,Éléments!$C$5:$C$14,1),6),INDEX(Butin!$E$15:$K$24,MATCH($B73,Éléments!$C$5:$C$14,1),6)))</f>
        <v>0.024</v>
      </c>
      <c r="AT73" s="30" t="n">
        <f aca="false">IF($H73="Boss",INDEX(Butin!$E$28:$K$37,MATCH($B73,Éléments!$C$5:$C$14,1),7),IF($H73="Dragon",INDEX(Butin!$E$41:$K$50,MATCH($B73,Éléments!$C$5:$C$14,1),7),INDEX(Butin!$E$15:$K$24,MATCH($B73,Éléments!$C$5:$C$14,1),7)))</f>
        <v>0.004</v>
      </c>
      <c r="AU73" s="38" t="str">
        <f aca="false">IF(AT73=0,"—",INDEX(Butin!$D$54:$D$63,MATCH($B73,Éléments!$C$5:$C$14,1))&amp;" · "&amp;INDEX(Butin!$F$54:$F$63,MATCH($B73,Éléments!$C$5:$C$14,1))&amp;" · "&amp;INDEX(Butin!$H$54:$H$63,MATCH($B73,Éléments!$C$5:$C$14,1)))</f>
        <v>Ceinturon du Tonnerre Rugissant · Pantalon du Tisseur de Tempêtes · Bottes du Chasseur de Foudre</v>
      </c>
      <c r="AV73" s="20" t="s">
        <v>322</v>
      </c>
      <c r="AW73" s="39" t="str">
        <f aca="false">B73&amp;IF(G73="Oui","|B","|N")</f>
        <v>75|N</v>
      </c>
      <c r="AX73" s="40" t="n">
        <f aca="false">(Paramètres!$B$5+(1-Paramètres!$B$5)*((K73-Paramètres!$B$7)/(Paramètres!$B$8-Paramètres!$B$7))^Paramètres!$B$6)</f>
        <v>0.719945440029963</v>
      </c>
      <c r="AY73" s="39" t="n">
        <f aca="false">MATCH(I73,Rôles!$A$5:$A$13,0)</f>
        <v>2</v>
      </c>
      <c r="AZ73" s="39" t="n">
        <f aca="false">MATCH(H73,Rôles!$A$18:$A$22,0)</f>
        <v>3</v>
      </c>
    </row>
    <row r="74" customFormat="false" ht="15.75" hidden="false" customHeight="true" outlineLevel="0" collapsed="false">
      <c r="A74" s="20" t="s">
        <v>323</v>
      </c>
      <c r="B74" s="21" t="n">
        <v>75</v>
      </c>
      <c r="C74" s="22" t="str">
        <f aca="false" t="array" ref="C74:C74">INDEX(Zones!$B$6:$B$35,MATCH(B74,Zones!$A$6:$A$35,0))</f>
        <v>Sommet des montagnes</v>
      </c>
      <c r="D74" s="23" t="str">
        <f aca="false" t="array" ref="D74:D74">INDEX(Éléments!$B$5:$B$14,MATCH(B74,Éléments!$C$5:$C$14,1))</f>
        <v>Haute montagne</v>
      </c>
      <c r="E74" s="47" t="str">
        <f aca="false" t="array" ref="E74:E74">INDEX(Éléments!$A$5:$A$14,MATCH(B74,Éléments!$C$5:$C$14,1))</f>
        <v>Électricité</v>
      </c>
      <c r="F74" s="25" t="s">
        <v>324</v>
      </c>
      <c r="G74" s="23" t="str">
        <f aca="false">IF(OR(H74="Boss",H74="Dragon"),"Oui","Non")</f>
        <v>Non</v>
      </c>
      <c r="H74" s="26" t="s">
        <v>138</v>
      </c>
      <c r="I74" s="26" t="s">
        <v>177</v>
      </c>
      <c r="J74" s="26" t="s">
        <v>157</v>
      </c>
      <c r="K74" s="27" t="n">
        <f aca="false">IF($F$3="",B74,$F$3)</f>
        <v>75</v>
      </c>
      <c r="L74" s="28" t="n">
        <f aca="false" t="array" ref="L74:L74">ROUND(Paramètres!$B$16*(Paramètres!$B$5+(1-Paramètres!$B$5)*((K74-Paramètres!$B$7)/(Paramètres!$B$8-Paramètres!$B$7))^Paramètres!$B$6)*INDEX(Rôles!$B$18:$B$22,AZ74)*INDEX(Rôles!$B$5:$B$13,AY74),0)</f>
        <v>907</v>
      </c>
      <c r="M74" s="29" t="n">
        <f aca="false" t="array" ref="M74:M74">ROUND(IF(J74="Physique",1,IF(J74="Mixte",Paramètres!$B$32,0))*Paramètres!$B$12*(Paramètres!$B$5+(1-Paramètres!$B$5)*((K74-Paramètres!$B$7)/(Paramètres!$B$8-Paramètres!$B$7))^Paramètres!$B$6)*INDEX(Rôles!$C$18:$C$22,AZ74)*INDEX(Rôles!$C$5:$C$13,AY74)/(Paramètres!$B$35*(1-Paramètres!$B$36)),0)</f>
        <v>204</v>
      </c>
      <c r="N74" s="29" t="n">
        <f aca="false" t="array" ref="N74:N74">ROUND(IF(J74="Magique",1,IF(J74="Mixte",Paramètres!$B$32,0))*Paramètres!$B$12*(Paramètres!$B$5+(1-Paramètres!$B$5)*((K74-Paramètres!$B$7)/(Paramètres!$B$8-Paramètres!$B$7))^Paramètres!$B$6)*INDEX(Rôles!$C$18:$C$22,AZ74)*INDEX(Rôles!$C$5:$C$13,AY74)/(Paramètres!$B$35*(1-Paramètres!$B$36)),0)</f>
        <v>204</v>
      </c>
      <c r="O74" s="29" t="n">
        <f aca="false" t="array" ref="O74:O74">ROUND(Paramètres!$B$18*(Paramètres!$B$5+(1-Paramètres!$B$5)*((K74-Paramètres!$B$7)/(Paramètres!$B$8-Paramètres!$B$7))^Paramètres!$B$6)*INDEX(Rôles!$D$5:$D$13,AY74)*INDEX(Rôles!$D$18:$D$22,AZ74),0)</f>
        <v>227</v>
      </c>
      <c r="P74" s="29" t="n">
        <f aca="false" t="array" ref="P74:P74">ROUND(Paramètres!$B$19*(Paramètres!$B$5+(1-Paramètres!$B$5)*((K74-Paramètres!$B$7)/(Paramètres!$B$8-Paramètres!$B$7))^Paramètres!$B$6)*INDEX(Rôles!$E$5:$E$13,AY74)*INDEX(Rôles!$D$18:$D$22,AZ74),0)</f>
        <v>173</v>
      </c>
      <c r="Q74" s="29" t="n">
        <f aca="false" t="array" ref="Q74:Q74">ROUND(Paramètres!$B$20*(Paramètres!$B$5+(1-Paramètres!$B$5)*((K74-Paramètres!$B$7)/(Paramètres!$B$8-Paramètres!$B$7))^Paramètres!$B$6)*INDEX(Rôles!$F$5:$F$13,AY74),0)</f>
        <v>95</v>
      </c>
      <c r="R74" s="29" t="n">
        <f aca="false">ROUND(Paramètres!$B$64*$AX74*INDEX(Rôles!$N$5:$N$13,$AY74)*INDEX(Rôles!$I$18:$I$22,$AZ74),0)</f>
        <v>79</v>
      </c>
      <c r="S74" s="30" t="n">
        <f aca="false" t="array" ref="S74:S74">MIN(1,ROUND(Paramètres!$B$21*INDEX(Rôles!$G$5:$G$13,AY74),3))</f>
        <v>1</v>
      </c>
      <c r="T74" s="30" t="n">
        <f aca="false" t="array" ref="T74:T74">MIN(Paramètres!$B$28,ROUND(Paramètres!$B$22*INDEX(Rôles!$H$5:$H$13,AY74),3))</f>
        <v>0.075</v>
      </c>
      <c r="U74" s="30" t="n">
        <f aca="false" t="array" ref="U74:U74">ROUND(Paramètres!$B$23*INDEX(Rôles!$I$5:$I$13,AY74),3)</f>
        <v>0.65</v>
      </c>
      <c r="V74" s="30" t="n">
        <f aca="false" t="array" ref="V74:V74">MIN(Paramètres!$B$29,ROUND(Paramètres!$B$24*INDEX(Rôles!$J$5:$J$13,AY74),3))</f>
        <v>0.07</v>
      </c>
      <c r="W74" s="30" t="n">
        <f aca="false" t="array" ref="W74:W74">MIN(Paramètres!$B$27,ROUND((Paramètres!$B$25+(Paramètres!$B$26-Paramètres!$B$25)*(K74-Paramètres!$B$7)/(Paramètres!$B$8-Paramètres!$B$7))*INDEX(Rôles!$K$5:$K$13,AY74)+INDEX(Rôles!$G$18:$G$22,AZ74),3))</f>
        <v>0.189</v>
      </c>
      <c r="X74" s="30" t="n">
        <f aca="false">ROUND(1-(1-P74/(P74+(Paramètres!$B$19*(Paramètres!$B$5+(1-Paramètres!$B$5)*((K74-Paramètres!$B$7)/(Paramètres!$B$8-Paramètres!$B$7))^Paramètres!$B$6)*(1-Paramètres!$B$30)/Paramètres!$B$30)))*(1-O74/(O74+(Paramètres!$B$18*(Paramètres!$B$5+(1-Paramètres!$B$5)*((K74-Paramètres!$B$7)/(Paramètres!$B$8-Paramètres!$B$7))^Paramètres!$B$6)*(1-Paramètres!$B$31)/Paramètres!$B$31))),3)</f>
        <v>0.226</v>
      </c>
      <c r="Y74" s="30" t="n">
        <f aca="false">ROUND(O74/(O74+(Paramètres!$B$18*(Paramètres!$B$5+(1-Paramètres!$B$5)*((K74-Paramètres!$B$7)/(Paramètres!$B$8-Paramètres!$B$7))^Paramètres!$B$6)*(1-Paramètres!$B$31)/Paramètres!$B$31)),3)</f>
        <v>0.11</v>
      </c>
      <c r="Z74" s="31" t="n">
        <f aca="false" t="array" ref="Z74:Z74">IF(E74="Neutre",0,MIN(1,INDEX(Rôles!$L$5:$L$13,AY74)+INDEX(Rôles!$F$18:$F$22,AZ74)))</f>
        <v>0.6</v>
      </c>
      <c r="AA74" s="32" t="n">
        <f aca="false" t="array" ref="AA74:AA74">ROUND(INDEX(Rôles!$C$18:$C$22,AZ74)*INDEX(Rôles!$C$5:$C$13,AY74),4)</f>
        <v>0.0165</v>
      </c>
      <c r="AB74" s="33" t="n">
        <f aca="false" t="array" ref="AB74:AB74">ROUND(INDEX(Rôles!$B$18:$B$22,AZ74)*INDEX(Rôles!$B$5:$B$13,AY74),2)</f>
        <v>1.6</v>
      </c>
      <c r="AC74" s="33" t="n">
        <f aca="false" t="array" ref="AC74:AC74">INDEX(Rôles!$E$18:$E$22,AZ74)</f>
        <v>1</v>
      </c>
      <c r="AD74" s="23" t="str">
        <f aca="false" t="array" ref="AD74:AD74">INDEX(Éléments!$F$5:$F$14,MATCH(E74,Éléments!$A$5:$A$14,0))</f>
        <v>Terre</v>
      </c>
      <c r="AE74" s="23" t="str">
        <f aca="false" t="array" ref="AE74:AE74">INDEX(Éléments!$G$5:$G$14,MATCH(E74,Éléments!$A$5:$A$14,0))</f>
        <v>Eau</v>
      </c>
      <c r="AF74" s="34" t="s">
        <v>320</v>
      </c>
      <c r="AG74" s="35" t="n">
        <v>0.25</v>
      </c>
      <c r="AH74" s="34" t="s">
        <v>325</v>
      </c>
      <c r="AI74" s="35" t="n">
        <v>0.2</v>
      </c>
      <c r="AJ74" s="29" t="n">
        <f aca="false" t="array" ref="AJ74:AJ74">ROUND(ROUND(Paramètres!$B$49*K74^Paramètres!$B$50,0)*INDEX(Rôles!$E$18:$E$22,AZ74),0)</f>
        <v>1324</v>
      </c>
      <c r="AK74" s="29" t="n">
        <f aca="false" t="array" ref="AK74:AK74">ROUND(ROUND(Paramètres!$B$53*K74^Paramètres!$B$54,0)*INDEX(Rôles!$E$18:$E$22,AZ74),0)</f>
        <v>1020</v>
      </c>
      <c r="AL74" s="36" t="n">
        <f aca="false">INDEX(Butin!$B$7:$B$11,AZ74)</f>
        <v>0.05</v>
      </c>
      <c r="AM74" s="37" t="n">
        <f aca="false">INDEX(Butin!$E$7:$E$11,AZ74)</f>
        <v>0.05</v>
      </c>
      <c r="AN74" s="30" t="n">
        <f aca="false">IF($H74="Boss",INDEX(Butin!$E$28:$K$37,MATCH($B74,Éléments!$C$5:$C$14,1),1),IF($H74="Dragon",INDEX(Butin!$E$41:$K$50,MATCH($B74,Éléments!$C$5:$C$14,1),1),INDEX(Butin!$E$15:$K$24,MATCH($B74,Éléments!$C$5:$C$14,1),1)))</f>
        <v>0.16</v>
      </c>
      <c r="AO74" s="30" t="n">
        <f aca="false">IF($H74="Boss",INDEX(Butin!$E$28:$K$37,MATCH($B74,Éléments!$C$5:$C$14,1),2),IF($H74="Dragon",INDEX(Butin!$E$41:$K$50,MATCH($B74,Éléments!$C$5:$C$14,1),2),INDEX(Butin!$E$15:$K$24,MATCH($B74,Éléments!$C$5:$C$14,1),2)))</f>
        <v>0.25</v>
      </c>
      <c r="AP74" s="30" t="n">
        <f aca="false">IF($H74="Boss",INDEX(Butin!$E$28:$K$37,MATCH($B74,Éléments!$C$5:$C$14,1),3),IF($H74="Dragon",INDEX(Butin!$E$41:$K$50,MATCH($B74,Éléments!$C$5:$C$14,1),3),INDEX(Butin!$E$15:$K$24,MATCH($B74,Éléments!$C$5:$C$14,1),3)))</f>
        <v>0.28</v>
      </c>
      <c r="AQ74" s="30" t="n">
        <f aca="false">IF($H74="Boss",INDEX(Butin!$E$28:$K$37,MATCH($B74,Éléments!$C$5:$C$14,1),4),IF($H74="Dragon",INDEX(Butin!$E$41:$K$50,MATCH($B74,Éléments!$C$5:$C$14,1),4),INDEX(Butin!$E$15:$K$24,MATCH($B74,Éléments!$C$5:$C$14,1),4)))</f>
        <v>0.19</v>
      </c>
      <c r="AR74" s="30" t="n">
        <f aca="false">IF($H74="Boss",INDEX(Butin!$E$28:$K$37,MATCH($B74,Éléments!$C$5:$C$14,1),5),IF($H74="Dragon",INDEX(Butin!$E$41:$K$50,MATCH($B74,Éléments!$C$5:$C$14,1),5),INDEX(Butin!$E$15:$K$24,MATCH($B74,Éléments!$C$5:$C$14,1),5)))</f>
        <v>0.092</v>
      </c>
      <c r="AS74" s="30" t="n">
        <f aca="false">IF($H74="Boss",INDEX(Butin!$E$28:$K$37,MATCH($B74,Éléments!$C$5:$C$14,1),6),IF($H74="Dragon",INDEX(Butin!$E$41:$K$50,MATCH($B74,Éléments!$C$5:$C$14,1),6),INDEX(Butin!$E$15:$K$24,MATCH($B74,Éléments!$C$5:$C$14,1),6)))</f>
        <v>0.024</v>
      </c>
      <c r="AT74" s="30" t="n">
        <f aca="false">IF($H74="Boss",INDEX(Butin!$E$28:$K$37,MATCH($B74,Éléments!$C$5:$C$14,1),7),IF($H74="Dragon",INDEX(Butin!$E$41:$K$50,MATCH($B74,Éléments!$C$5:$C$14,1),7),INDEX(Butin!$E$15:$K$24,MATCH($B74,Éléments!$C$5:$C$14,1),7)))</f>
        <v>0.004</v>
      </c>
      <c r="AU74" s="38" t="str">
        <f aca="false">IF(AT74=0,"—",INDEX(Butin!$D$54:$D$63,MATCH($B74,Éléments!$C$5:$C$14,1))&amp;" · "&amp;INDEX(Butin!$F$54:$F$63,MATCH($B74,Éléments!$C$5:$C$14,1))&amp;" · "&amp;INDEX(Butin!$H$54:$H$63,MATCH($B74,Éléments!$C$5:$C$14,1)))</f>
        <v>Ceinturon du Tonnerre Rugissant · Pantalon du Tisseur de Tempêtes · Bottes du Chasseur de Foudre</v>
      </c>
      <c r="AV74" s="20" t="s">
        <v>326</v>
      </c>
      <c r="AW74" s="39" t="str">
        <f aca="false">B74&amp;IF(G74="Oui","|B","|N")</f>
        <v>75|N</v>
      </c>
      <c r="AX74" s="40" t="n">
        <f aca="false">(Paramètres!$B$5+(1-Paramètres!$B$5)*((K74-Paramètres!$B$7)/(Paramètres!$B$8-Paramètres!$B$7))^Paramètres!$B$6)</f>
        <v>0.719945440029963</v>
      </c>
      <c r="AY74" s="39" t="n">
        <f aca="false">MATCH(I74,Rôles!$A$5:$A$13,0)</f>
        <v>4</v>
      </c>
      <c r="AZ74" s="39" t="n">
        <f aca="false">MATCH(H74,Rôles!$A$18:$A$22,0)</f>
        <v>2</v>
      </c>
    </row>
    <row r="75" customFormat="false" ht="15.75" hidden="false" customHeight="true" outlineLevel="0" collapsed="false">
      <c r="A75" s="20" t="s">
        <v>327</v>
      </c>
      <c r="B75" s="21" t="n">
        <v>79</v>
      </c>
      <c r="C75" s="22" t="str">
        <f aca="false" t="array" ref="C75:C75">INDEX(Zones!$B$6:$B$35,MATCH(B75,Zones!$A$6:$A$35,0))</f>
        <v>Tannière du dragon (79)</v>
      </c>
      <c r="D75" s="23" t="str">
        <f aca="false" t="array" ref="D75:D75">INDEX(Éléments!$B$5:$B$14,MATCH(B75,Éléments!$C$5:$C$14,1))</f>
        <v>Haute montagne</v>
      </c>
      <c r="E75" s="47" t="str">
        <f aca="false" t="array" ref="E75:E75">INDEX(Éléments!$A$5:$A$14,MATCH(B75,Éléments!$C$5:$C$14,1))</f>
        <v>Électricité</v>
      </c>
      <c r="F75" s="25" t="s">
        <v>328</v>
      </c>
      <c r="G75" s="23" t="str">
        <f aca="false">IF(OR(H75="Boss",H75="Dragon"),"Oui","Non")</f>
        <v>Oui</v>
      </c>
      <c r="H75" s="26" t="s">
        <v>156</v>
      </c>
      <c r="I75" s="26" t="s">
        <v>156</v>
      </c>
      <c r="J75" s="26" t="s">
        <v>157</v>
      </c>
      <c r="K75" s="27" t="n">
        <f aca="false">IF($F$3="",B75,$F$3)</f>
        <v>79</v>
      </c>
      <c r="L75" s="28" t="n">
        <f aca="false" t="array" ref="L75:L75">ROUND(Paramètres!$B$16*(Paramètres!$B$5+(1-Paramètres!$B$5)*((K75-Paramètres!$B$7)/(Paramètres!$B$8-Paramètres!$B$7))^Paramètres!$B$6)*INDEX(Rôles!$B$18:$B$22,AZ75)*INDEX(Rôles!$B$5:$B$13,AY75),0)</f>
        <v>12027</v>
      </c>
      <c r="M75" s="29" t="n">
        <f aca="false" t="array" ref="M75:M75">ROUND(IF(J75="Physique",1,IF(J75="Mixte",Paramètres!$B$32,0))*Paramètres!$B$12*(Paramètres!$B$5+(1-Paramètres!$B$5)*((K75-Paramètres!$B$7)/(Paramètres!$B$8-Paramètres!$B$7))^Paramètres!$B$6)*INDEX(Rôles!$C$18:$C$22,AZ75)*INDEX(Rôles!$C$5:$C$13,AY75)/(Paramètres!$B$35*(1-Paramètres!$B$36)),0)</f>
        <v>393</v>
      </c>
      <c r="N75" s="29" t="n">
        <f aca="false" t="array" ref="N75:N75">ROUND(IF(J75="Magique",1,IF(J75="Mixte",Paramètres!$B$32,0))*Paramètres!$B$12*(Paramètres!$B$5+(1-Paramètres!$B$5)*((K75-Paramètres!$B$7)/(Paramètres!$B$8-Paramètres!$B$7))^Paramètres!$B$6)*INDEX(Rôles!$C$18:$C$22,AZ75)*INDEX(Rôles!$C$5:$C$13,AY75)/(Paramètres!$B$35*(1-Paramètres!$B$36)),0)</f>
        <v>393</v>
      </c>
      <c r="O75" s="29" t="n">
        <f aca="false" t="array" ref="O75:O75">ROUND(Paramètres!$B$18*(Paramètres!$B$5+(1-Paramètres!$B$5)*((K75-Paramètres!$B$7)/(Paramètres!$B$8-Paramètres!$B$7))^Paramètres!$B$6)*INDEX(Rôles!$D$5:$D$13,AY75)*INDEX(Rôles!$D$18:$D$22,AZ75),0)</f>
        <v>581</v>
      </c>
      <c r="P75" s="29" t="n">
        <f aca="false" t="array" ref="P75:P75">ROUND(Paramètres!$B$19*(Paramètres!$B$5+(1-Paramètres!$B$5)*((K75-Paramètres!$B$7)/(Paramètres!$B$8-Paramètres!$B$7))^Paramètres!$B$6)*INDEX(Rôles!$E$5:$E$13,AY75)*INDEX(Rôles!$D$18:$D$22,AZ75),0)</f>
        <v>556</v>
      </c>
      <c r="Q75" s="29" t="n">
        <f aca="false" t="array" ref="Q75:Q75">ROUND(Paramètres!$B$20*(Paramètres!$B$5+(1-Paramètres!$B$5)*((K75-Paramètres!$B$7)/(Paramètres!$B$8-Paramètres!$B$7))^Paramètres!$B$6)*INDEX(Rôles!$F$5:$F$13,AY75),0)</f>
        <v>73</v>
      </c>
      <c r="R75" s="29" t="n">
        <f aca="false">ROUND(Paramètres!$B$64*$AX75*INDEX(Rôles!$N$5:$N$13,$AY75)*INDEX(Rôles!$I$18:$I$22,$AZ75),0)</f>
        <v>61</v>
      </c>
      <c r="S75" s="30" t="n">
        <f aca="false" t="array" ref="S75:S75">MIN(1,ROUND(Paramètres!$B$21*INDEX(Rôles!$G$5:$G$13,AY75),3))</f>
        <v>0.9</v>
      </c>
      <c r="T75" s="30" t="n">
        <f aca="false" t="array" ref="T75:T75">MIN(Paramètres!$B$28,ROUND(Paramètres!$B$22*INDEX(Rôles!$H$5:$H$13,AY75),3))</f>
        <v>0.05</v>
      </c>
      <c r="U75" s="30" t="n">
        <f aca="false" t="array" ref="U75:U75">ROUND(Paramètres!$B$23*INDEX(Rôles!$I$5:$I$13,AY75),3)</f>
        <v>0.5</v>
      </c>
      <c r="V75" s="30" t="n">
        <f aca="false" t="array" ref="V75:V75">MIN(Paramètres!$B$29,ROUND(Paramètres!$B$24*INDEX(Rôles!$J$5:$J$13,AY75),3))</f>
        <v>0.05</v>
      </c>
      <c r="W75" s="30" t="n">
        <f aca="false" t="array" ref="W75:W75">MIN(Paramètres!$B$27,ROUND((Paramètres!$B$25+(Paramètres!$B$26-Paramètres!$B$25)*(K75-Paramètres!$B$7)/(Paramètres!$B$8-Paramètres!$B$7))*INDEX(Rôles!$K$5:$K$13,AY75)+INDEX(Rôles!$G$18:$G$22,AZ75),3))</f>
        <v>0.521</v>
      </c>
      <c r="X75" s="30" t="n">
        <f aca="false">ROUND(1-(1-P75/(P75+(Paramètres!$B$19*(Paramètres!$B$5+(1-Paramètres!$B$5)*((K75-Paramètres!$B$7)/(Paramètres!$B$8-Paramètres!$B$7))^Paramètres!$B$6)*(1-Paramètres!$B$30)/Paramètres!$B$30)))*(1-O75/(O75+(Paramètres!$B$18*(Paramètres!$B$5+(1-Paramètres!$B$5)*((K75-Paramètres!$B$7)/(Paramètres!$B$8-Paramètres!$B$7))^Paramètres!$B$6)*(1-Paramètres!$B$31)/Paramètres!$B$31))),3)</f>
        <v>0.471</v>
      </c>
      <c r="Y75" s="30" t="n">
        <f aca="false">ROUND(O75/(O75+(Paramètres!$B$18*(Paramètres!$B$5+(1-Paramètres!$B$5)*((K75-Paramètres!$B$7)/(Paramètres!$B$8-Paramètres!$B$7))^Paramètres!$B$6)*(1-Paramètres!$B$31)/Paramètres!$B$31)),3)</f>
        <v>0.23</v>
      </c>
      <c r="Z75" s="31" t="n">
        <f aca="false" t="array" ref="Z75:Z75">IF(E75="Neutre",0,MIN(1,INDEX(Rôles!$L$5:$L$13,AY75)+INDEX(Rôles!$F$18:$F$22,AZ75)))</f>
        <v>1</v>
      </c>
      <c r="AA75" s="32" t="n">
        <f aca="false" t="array" ref="AA75:AA75">ROUND(INDEX(Rôles!$C$18:$C$22,AZ75)*INDEX(Rôles!$C$5:$C$13,AY75),4)</f>
        <v>0.03</v>
      </c>
      <c r="AB75" s="33" t="n">
        <f aca="false" t="array" ref="AB75:AB75">ROUND(INDEX(Rôles!$B$18:$B$22,AZ75)*INDEX(Rôles!$B$5:$B$13,AY75),2)</f>
        <v>20</v>
      </c>
      <c r="AC75" s="33" t="n">
        <f aca="false" t="array" ref="AC75:AC75">INDEX(Rôles!$E$18:$E$22,AZ75)</f>
        <v>12</v>
      </c>
      <c r="AD75" s="23" t="str">
        <f aca="false" t="array" ref="AD75:AD75">INDEX(Éléments!$F$5:$F$14,MATCH(E75,Éléments!$A$5:$A$14,0))</f>
        <v>Terre</v>
      </c>
      <c r="AE75" s="23" t="str">
        <f aca="false" t="array" ref="AE75:AE75">INDEX(Éléments!$G$5:$G$14,MATCH(E75,Éléments!$A$5:$A$14,0))</f>
        <v>Eau</v>
      </c>
      <c r="AF75" s="34" t="s">
        <v>320</v>
      </c>
      <c r="AG75" s="35" t="n">
        <v>0.35</v>
      </c>
      <c r="AH75" s="34" t="s">
        <v>325</v>
      </c>
      <c r="AI75" s="35" t="n">
        <v>0.25</v>
      </c>
      <c r="AJ75" s="29" t="n">
        <f aca="false" t="array" ref="AJ75:AJ75">ROUND(ROUND(Paramètres!$B$49*K75^Paramètres!$B$50,0)*INDEX(Rôles!$E$18:$E$22,AZ75),0)</f>
        <v>16956</v>
      </c>
      <c r="AK75" s="29" t="n">
        <f aca="false" t="array" ref="AK75:AK75">ROUND(ROUND(Paramètres!$B$53*K75^Paramètres!$B$54,0)*INDEX(Rôles!$E$18:$E$22,AZ75),0)</f>
        <v>13128</v>
      </c>
      <c r="AL75" s="36" t="n">
        <f aca="false">INDEX(Butin!$B$7:$B$11,AZ75)</f>
        <v>1</v>
      </c>
      <c r="AM75" s="37" t="n">
        <f aca="false">INDEX(Butin!$E$7:$E$11,AZ75)</f>
        <v>2.5</v>
      </c>
      <c r="AN75" s="30" t="n">
        <f aca="false">IF($H75="Boss",INDEX(Butin!$E$28:$K$37,MATCH($B75,Éléments!$C$5:$C$14,1),1),IF($H75="Dragon",INDEX(Butin!$E$41:$K$50,MATCH($B75,Éléments!$C$5:$C$14,1),1),INDEX(Butin!$E$15:$K$24,MATCH($B75,Éléments!$C$5:$C$14,1),1)))</f>
        <v>0</v>
      </c>
      <c r="AO75" s="30" t="n">
        <f aca="false">IF($H75="Boss",INDEX(Butin!$E$28:$K$37,MATCH($B75,Éléments!$C$5:$C$14,1),2),IF($H75="Dragon",INDEX(Butin!$E$41:$K$50,MATCH($B75,Éléments!$C$5:$C$14,1),2),INDEX(Butin!$E$15:$K$24,MATCH($B75,Éléments!$C$5:$C$14,1),2)))</f>
        <v>0.07</v>
      </c>
      <c r="AP75" s="30" t="n">
        <f aca="false">IF($H75="Boss",INDEX(Butin!$E$28:$K$37,MATCH($B75,Éléments!$C$5:$C$14,1),3),IF($H75="Dragon",INDEX(Butin!$E$41:$K$50,MATCH($B75,Éléments!$C$5:$C$14,1),3),INDEX(Butin!$E$15:$K$24,MATCH($B75,Éléments!$C$5:$C$14,1),3)))</f>
        <v>0.18</v>
      </c>
      <c r="AQ75" s="30" t="n">
        <f aca="false">IF($H75="Boss",INDEX(Butin!$E$28:$K$37,MATCH($B75,Éléments!$C$5:$C$14,1),4),IF($H75="Dragon",INDEX(Butin!$E$41:$K$50,MATCH($B75,Éléments!$C$5:$C$14,1),4),INDEX(Butin!$E$15:$K$24,MATCH($B75,Éléments!$C$5:$C$14,1),4)))</f>
        <v>0.33</v>
      </c>
      <c r="AR75" s="30" t="n">
        <f aca="false">IF($H75="Boss",INDEX(Butin!$E$28:$K$37,MATCH($B75,Éléments!$C$5:$C$14,1),5),IF($H75="Dragon",INDEX(Butin!$E$41:$K$50,MATCH($B75,Éléments!$C$5:$C$14,1),5),INDEX(Butin!$E$15:$K$24,MATCH($B75,Éléments!$C$5:$C$14,1),5)))</f>
        <v>0.245</v>
      </c>
      <c r="AS75" s="30" t="n">
        <f aca="false">IF($H75="Boss",INDEX(Butin!$E$28:$K$37,MATCH($B75,Éléments!$C$5:$C$14,1),6),IF($H75="Dragon",INDEX(Butin!$E$41:$K$50,MATCH($B75,Éléments!$C$5:$C$14,1),6),INDEX(Butin!$E$15:$K$24,MATCH($B75,Éléments!$C$5:$C$14,1),6)))</f>
        <v>0.09</v>
      </c>
      <c r="AT75" s="30" t="n">
        <f aca="false">IF($H75="Boss",INDEX(Butin!$E$28:$K$37,MATCH($B75,Éléments!$C$5:$C$14,1),7),IF($H75="Dragon",INDEX(Butin!$E$41:$K$50,MATCH($B75,Éléments!$C$5:$C$14,1),7),INDEX(Butin!$E$15:$K$24,MATCH($B75,Éléments!$C$5:$C$14,1),7)))</f>
        <v>0.085</v>
      </c>
      <c r="AU75" s="38" t="str">
        <f aca="false">IF(AT75=0,"—",INDEX(Butin!$D$54:$D$63,MATCH($B75,Éléments!$C$5:$C$14,1))&amp;" · "&amp;INDEX(Butin!$F$54:$F$63,MATCH($B75,Éléments!$C$5:$C$14,1))&amp;" · "&amp;INDEX(Butin!$H$54:$H$63,MATCH($B75,Éléments!$C$5:$C$14,1)))</f>
        <v>Ceinturon du Tonnerre Rugissant · Pantalon du Tisseur de Tempêtes · Bottes du Chasseur de Foudre</v>
      </c>
      <c r="AV75" s="20" t="s">
        <v>328</v>
      </c>
      <c r="AW75" s="39" t="str">
        <f aca="false">B75&amp;IF(G75="Oui","|B","|N")</f>
        <v>79|B</v>
      </c>
      <c r="AX75" s="40" t="n">
        <f aca="false">(Paramètres!$B$5+(1-Paramètres!$B$5)*((K75-Paramètres!$B$7)/(Paramètres!$B$8-Paramètres!$B$7))^Paramètres!$B$6)</f>
        <v>0.763632951379764</v>
      </c>
      <c r="AY75" s="39" t="n">
        <f aca="false">MATCH(I75,Rôles!$A$5:$A$13,0)</f>
        <v>9</v>
      </c>
      <c r="AZ75" s="39" t="n">
        <f aca="false">MATCH(H75,Rôles!$A$18:$A$22,0)</f>
        <v>5</v>
      </c>
    </row>
    <row r="76" customFormat="false" ht="15.75" hidden="false" customHeight="true" outlineLevel="0" collapsed="false">
      <c r="A76" s="20" t="s">
        <v>329</v>
      </c>
      <c r="B76" s="21" t="n">
        <v>80</v>
      </c>
      <c r="C76" s="22" t="str">
        <f aca="false" t="array" ref="C76:C76">INDEX(Zones!$B$6:$B$35,MATCH(B76,Zones!$A$6:$A$35,0))</f>
        <v>Orage (80)</v>
      </c>
      <c r="D76" s="23" t="str">
        <f aca="false" t="array" ref="D76:D76">INDEX(Éléments!$B$5:$B$14,MATCH(B76,Éléments!$C$5:$C$14,1))</f>
        <v>Haute montagne</v>
      </c>
      <c r="E76" s="47" t="str">
        <f aca="false" t="array" ref="E76:E76">INDEX(Éléments!$A$5:$A$14,MATCH(B76,Éléments!$C$5:$C$14,1))</f>
        <v>Électricité</v>
      </c>
      <c r="F76" s="25" t="s">
        <v>330</v>
      </c>
      <c r="G76" s="23" t="str">
        <f aca="false">IF(OR(H76="Boss",H76="Dragon"),"Oui","Non")</f>
        <v>Oui</v>
      </c>
      <c r="H76" s="26" t="s">
        <v>152</v>
      </c>
      <c r="I76" s="26" t="s">
        <v>145</v>
      </c>
      <c r="J76" s="26" t="s">
        <v>157</v>
      </c>
      <c r="K76" s="27" t="n">
        <f aca="false">IF($F$3="",B76,$F$3)</f>
        <v>80</v>
      </c>
      <c r="L76" s="28" t="n">
        <f aca="false" t="array" ref="L76:L76">ROUND(Paramètres!$B$16*(Paramètres!$B$5+(1-Paramètres!$B$5)*((K76-Paramètres!$B$7)/(Paramètres!$B$8-Paramètres!$B$7))^Paramètres!$B$6)*INDEX(Rôles!$B$18:$B$22,AZ76)*INDEX(Rôles!$B$5:$B$13,AY76),0)</f>
        <v>5490</v>
      </c>
      <c r="M76" s="29" t="n">
        <f aca="false" t="array" ref="M76:M76">ROUND(IF(J76="Physique",1,IF(J76="Mixte",Paramètres!$B$32,0))*Paramètres!$B$12*(Paramètres!$B$5+(1-Paramètres!$B$5)*((K76-Paramètres!$B$7)/(Paramètres!$B$8-Paramètres!$B$7))^Paramètres!$B$6)*INDEX(Rôles!$C$18:$C$22,AZ76)*INDEX(Rôles!$C$5:$C$13,AY76)/(Paramètres!$B$35*(1-Paramètres!$B$36)),0)</f>
        <v>478</v>
      </c>
      <c r="N76" s="29" t="n">
        <f aca="false" t="array" ref="N76:N76">ROUND(IF(J76="Magique",1,IF(J76="Mixte",Paramètres!$B$32,0))*Paramètres!$B$12*(Paramètres!$B$5+(1-Paramètres!$B$5)*((K76-Paramètres!$B$7)/(Paramètres!$B$8-Paramètres!$B$7))^Paramètres!$B$6)*INDEX(Rôles!$C$18:$C$22,AZ76)*INDEX(Rôles!$C$5:$C$13,AY76)/(Paramètres!$B$35*(1-Paramètres!$B$36)),0)</f>
        <v>478</v>
      </c>
      <c r="O76" s="29" t="n">
        <f aca="false" t="array" ref="O76:O76">ROUND(Paramètres!$B$18*(Paramètres!$B$5+(1-Paramètres!$B$5)*((K76-Paramètres!$B$7)/(Paramètres!$B$8-Paramètres!$B$7))^Paramètres!$B$6)*INDEX(Rôles!$D$5:$D$13,AY76)*INDEX(Rôles!$D$18:$D$22,AZ76),0)</f>
        <v>272</v>
      </c>
      <c r="P76" s="29" t="n">
        <f aca="false" t="array" ref="P76:P76">ROUND(Paramètres!$B$19*(Paramètres!$B$5+(1-Paramètres!$B$5)*((K76-Paramètres!$B$7)/(Paramètres!$B$8-Paramètres!$B$7))^Paramètres!$B$6)*INDEX(Rôles!$E$5:$E$13,AY76)*INDEX(Rôles!$D$18:$D$22,AZ76),0)</f>
        <v>201</v>
      </c>
      <c r="Q76" s="29" t="n">
        <f aca="false" t="array" ref="Q76:Q76">ROUND(Paramètres!$B$20*(Paramètres!$B$5+(1-Paramètres!$B$5)*((K76-Paramètres!$B$7)/(Paramètres!$B$8-Paramètres!$B$7))^Paramètres!$B$6)*INDEX(Rôles!$F$5:$F$13,AY76),0)</f>
        <v>149</v>
      </c>
      <c r="R76" s="29" t="n">
        <f aca="false">ROUND(Paramètres!$B$64*$AX76*INDEX(Rôles!$N$5:$N$13,$AY76)*INDEX(Rôles!$I$18:$I$22,$AZ76),0)</f>
        <v>134</v>
      </c>
      <c r="S76" s="30" t="n">
        <f aca="false" t="array" ref="S76:S76">MIN(1,ROUND(Paramètres!$B$21*INDEX(Rôles!$G$5:$G$13,AY76),3))</f>
        <v>1</v>
      </c>
      <c r="T76" s="30" t="n">
        <f aca="false" t="array" ref="T76:T76">MIN(Paramètres!$B$28,ROUND(Paramètres!$B$22*INDEX(Rôles!$H$5:$H$13,AY76),3))</f>
        <v>0.08</v>
      </c>
      <c r="U76" s="30" t="n">
        <f aca="false" t="array" ref="U76:U76">ROUND(Paramètres!$B$23*INDEX(Rôles!$I$5:$I$13,AY76),3)</f>
        <v>0.7</v>
      </c>
      <c r="V76" s="30" t="n">
        <f aca="false" t="array" ref="V76:V76">MIN(Paramètres!$B$29,ROUND(Paramètres!$B$24*INDEX(Rôles!$J$5:$J$13,AY76),3))</f>
        <v>0.06</v>
      </c>
      <c r="W76" s="30" t="n">
        <f aca="false" t="array" ref="W76:W76">MIN(Paramètres!$B$27,ROUND((Paramètres!$B$25+(Paramètres!$B$26-Paramètres!$B$25)*(K76-Paramètres!$B$7)/(Paramètres!$B$8-Paramètres!$B$7))*INDEX(Rôles!$K$5:$K$13,AY76)+INDEX(Rôles!$G$18:$G$22,AZ76),3))</f>
        <v>0.4</v>
      </c>
      <c r="X76" s="30" t="n">
        <f aca="false">ROUND(1-(1-P76/(P76+(Paramètres!$B$19*(Paramètres!$B$5+(1-Paramètres!$B$5)*((K76-Paramètres!$B$7)/(Paramètres!$B$8-Paramètres!$B$7))^Paramètres!$B$6)*(1-Paramètres!$B$30)/Paramètres!$B$30)))*(1-O76/(O76+(Paramètres!$B$18*(Paramètres!$B$5+(1-Paramètres!$B$5)*((K76-Paramètres!$B$7)/(Paramètres!$B$8-Paramètres!$B$7))^Paramètres!$B$6)*(1-Paramètres!$B$31)/Paramètres!$B$31))),3)</f>
        <v>0.244</v>
      </c>
      <c r="Y76" s="30" t="n">
        <f aca="false">ROUND(O76/(O76+(Paramètres!$B$18*(Paramètres!$B$5+(1-Paramètres!$B$5)*((K76-Paramètres!$B$7)/(Paramètres!$B$8-Paramètres!$B$7))^Paramètres!$B$6)*(1-Paramètres!$B$31)/Paramètres!$B$31)),3)</f>
        <v>0.121</v>
      </c>
      <c r="Z76" s="31" t="n">
        <f aca="false" t="array" ref="Z76:Z76">IF(E76="Neutre",0,MIN(1,INDEX(Rôles!$L$5:$L$13,AY76)+INDEX(Rôles!$F$18:$F$22,AZ76)))</f>
        <v>0.7</v>
      </c>
      <c r="AA76" s="32" t="n">
        <f aca="false" t="array" ref="AA76:AA76">ROUND(INDEX(Rôles!$C$18:$C$22,AZ76)*INDEX(Rôles!$C$5:$C$13,AY76),4)</f>
        <v>0.036</v>
      </c>
      <c r="AB76" s="33" t="n">
        <f aca="false" t="array" ref="AB76:AB76">ROUND(INDEX(Rôles!$B$18:$B$22,AZ76)*INDEX(Rôles!$B$5:$B$13,AY76),2)</f>
        <v>9</v>
      </c>
      <c r="AC76" s="33" t="n">
        <f aca="false" t="array" ref="AC76:AC76">INDEX(Rôles!$E$18:$E$22,AZ76)</f>
        <v>8</v>
      </c>
      <c r="AD76" s="23" t="str">
        <f aca="false" t="array" ref="AD76:AD76">INDEX(Éléments!$F$5:$F$14,MATCH(E76,Éléments!$A$5:$A$14,0))</f>
        <v>Terre</v>
      </c>
      <c r="AE76" s="23" t="str">
        <f aca="false" t="array" ref="AE76:AE76">INDEX(Éléments!$G$5:$G$14,MATCH(E76,Éléments!$A$5:$A$14,0))</f>
        <v>Eau</v>
      </c>
      <c r="AF76" s="34" t="s">
        <v>320</v>
      </c>
      <c r="AG76" s="35" t="n">
        <v>0.35</v>
      </c>
      <c r="AH76" s="34" t="s">
        <v>141</v>
      </c>
      <c r="AI76" s="35" t="n">
        <v>0.3</v>
      </c>
      <c r="AJ76" s="29" t="n">
        <f aca="false" t="array" ref="AJ76:AJ76">ROUND(ROUND(Paramètres!$B$49*K76^Paramètres!$B$50,0)*INDEX(Rôles!$E$18:$E$22,AZ76),0)</f>
        <v>11488</v>
      </c>
      <c r="AK76" s="29" t="n">
        <f aca="false" t="array" ref="AK76:AK76">ROUND(ROUND(Paramètres!$B$53*K76^Paramètres!$B$54,0)*INDEX(Rôles!$E$18:$E$22,AZ76),0)</f>
        <v>8896</v>
      </c>
      <c r="AL76" s="36" t="n">
        <f aca="false">INDEX(Butin!$B$7:$B$11,AZ76)</f>
        <v>1</v>
      </c>
      <c r="AM76" s="37" t="n">
        <f aca="false">INDEX(Butin!$E$7:$E$11,AZ76)</f>
        <v>1.4</v>
      </c>
      <c r="AN76" s="30" t="n">
        <f aca="false">IF($H76="Boss",INDEX(Butin!$E$28:$K$37,MATCH($B76,Éléments!$C$5:$C$14,1),1),IF($H76="Dragon",INDEX(Butin!$E$41:$K$50,MATCH($B76,Éléments!$C$5:$C$14,1),1),INDEX(Butin!$E$15:$K$24,MATCH($B76,Éléments!$C$5:$C$14,1),1)))</f>
        <v>0.02</v>
      </c>
      <c r="AO76" s="30" t="n">
        <f aca="false">IF($H76="Boss",INDEX(Butin!$E$28:$K$37,MATCH($B76,Éléments!$C$5:$C$14,1),2),IF($H76="Dragon",INDEX(Butin!$E$41:$K$50,MATCH($B76,Éléments!$C$5:$C$14,1),2),INDEX(Butin!$E$15:$K$24,MATCH($B76,Éléments!$C$5:$C$14,1),2)))</f>
        <v>0.1</v>
      </c>
      <c r="AP76" s="30" t="n">
        <f aca="false">IF($H76="Boss",INDEX(Butin!$E$28:$K$37,MATCH($B76,Éléments!$C$5:$C$14,1),3),IF($H76="Dragon",INDEX(Butin!$E$41:$K$50,MATCH($B76,Éléments!$C$5:$C$14,1),3),INDEX(Butin!$E$15:$K$24,MATCH($B76,Éléments!$C$5:$C$14,1),3)))</f>
        <v>0.24</v>
      </c>
      <c r="AQ76" s="30" t="n">
        <f aca="false">IF($H76="Boss",INDEX(Butin!$E$28:$K$37,MATCH($B76,Éléments!$C$5:$C$14,1),4),IF($H76="Dragon",INDEX(Butin!$E$41:$K$50,MATCH($B76,Éléments!$C$5:$C$14,1),4),INDEX(Butin!$E$15:$K$24,MATCH($B76,Éléments!$C$5:$C$14,1),4)))</f>
        <v>0.29</v>
      </c>
      <c r="AR76" s="30" t="n">
        <f aca="false">IF($H76="Boss",INDEX(Butin!$E$28:$K$37,MATCH($B76,Éléments!$C$5:$C$14,1),5),IF($H76="Dragon",INDEX(Butin!$E$41:$K$50,MATCH($B76,Éléments!$C$5:$C$14,1),5),INDEX(Butin!$E$15:$K$24,MATCH($B76,Éléments!$C$5:$C$14,1),5)))</f>
        <v>0.21</v>
      </c>
      <c r="AS76" s="30" t="n">
        <f aca="false">IF($H76="Boss",INDEX(Butin!$E$28:$K$37,MATCH($B76,Éléments!$C$5:$C$14,1),6),IF($H76="Dragon",INDEX(Butin!$E$41:$K$50,MATCH($B76,Éléments!$C$5:$C$14,1),6),INDEX(Butin!$E$15:$K$24,MATCH($B76,Éléments!$C$5:$C$14,1),6)))</f>
        <v>0.08</v>
      </c>
      <c r="AT76" s="30" t="n">
        <f aca="false">IF($H76="Boss",INDEX(Butin!$E$28:$K$37,MATCH($B76,Éléments!$C$5:$C$14,1),7),IF($H76="Dragon",INDEX(Butin!$E$41:$K$50,MATCH($B76,Éléments!$C$5:$C$14,1),7),INDEX(Butin!$E$15:$K$24,MATCH($B76,Éléments!$C$5:$C$14,1),7)))</f>
        <v>0.06</v>
      </c>
      <c r="AU76" s="38" t="str">
        <f aca="false">IF(AT76=0,"—",INDEX(Butin!$D$54:$D$63,MATCH($B76,Éléments!$C$5:$C$14,1))&amp;" · "&amp;INDEX(Butin!$F$54:$F$63,MATCH($B76,Éléments!$C$5:$C$14,1))&amp;" · "&amp;INDEX(Butin!$H$54:$H$63,MATCH($B76,Éléments!$C$5:$C$14,1)))</f>
        <v>Ceinturon du Tonnerre Rugissant · Pantalon du Tisseur de Tempêtes · Bottes du Chasseur de Foudre</v>
      </c>
      <c r="AV76" s="20" t="s">
        <v>330</v>
      </c>
      <c r="AW76" s="39" t="str">
        <f aca="false">B76&amp;IF(G76="Oui","|B","|N")</f>
        <v>80|B</v>
      </c>
      <c r="AX76" s="40" t="n">
        <f aca="false">(Paramètres!$B$5+(1-Paramètres!$B$5)*((K76-Paramètres!$B$7)/(Paramètres!$B$8-Paramètres!$B$7))^Paramètres!$B$6)</f>
        <v>0.774625947617085</v>
      </c>
      <c r="AY76" s="39" t="n">
        <f aca="false">MATCH(I76,Rôles!$A$5:$A$13,0)</f>
        <v>7</v>
      </c>
      <c r="AZ76" s="39" t="n">
        <f aca="false">MATCH(H76,Rôles!$A$18:$A$22,0)</f>
        <v>4</v>
      </c>
    </row>
    <row r="77" customFormat="false" ht="15.75" hidden="false" customHeight="true" outlineLevel="0" collapsed="false">
      <c r="A77" s="20" t="s">
        <v>331</v>
      </c>
      <c r="B77" s="21" t="n">
        <v>80</v>
      </c>
      <c r="C77" s="22" t="str">
        <f aca="false" t="array" ref="C77:C77">INDEX(Zones!$B$6:$B$35,MATCH(B77,Zones!$A$6:$A$35,0))</f>
        <v>Orage (80)</v>
      </c>
      <c r="D77" s="23" t="str">
        <f aca="false" t="array" ref="D77:D77">INDEX(Éléments!$B$5:$B$14,MATCH(B77,Éléments!$C$5:$C$14,1))</f>
        <v>Haute montagne</v>
      </c>
      <c r="E77" s="47" t="str">
        <f aca="false" t="array" ref="E77:E77">INDEX(Éléments!$A$5:$A$14,MATCH(B77,Éléments!$C$5:$C$14,1))</f>
        <v>Électricité</v>
      </c>
      <c r="F77" s="25" t="s">
        <v>332</v>
      </c>
      <c r="G77" s="23" t="str">
        <f aca="false">IF(OR(H77="Boss",H77="Dragon"),"Oui","Non")</f>
        <v>Non</v>
      </c>
      <c r="H77" s="26" t="s">
        <v>138</v>
      </c>
      <c r="I77" s="26" t="s">
        <v>145</v>
      </c>
      <c r="J77" s="26" t="s">
        <v>140</v>
      </c>
      <c r="K77" s="27" t="n">
        <f aca="false">IF($F$3="",B77,$F$3)</f>
        <v>80</v>
      </c>
      <c r="L77" s="28" t="n">
        <f aca="false" t="array" ref="L77:L77">ROUND(Paramètres!$B$16*(Paramètres!$B$5+(1-Paramètres!$B$5)*((K77-Paramètres!$B$7)/(Paramètres!$B$8-Paramètres!$B$7))^Paramètres!$B$6)*INDEX(Rôles!$B$18:$B$22,AZ77)*INDEX(Rôles!$B$5:$B$13,AY77),0)</f>
        <v>915</v>
      </c>
      <c r="M77" s="29" t="n">
        <f aca="false" t="array" ref="M77:M77">ROUND(IF(J77="Physique",1,IF(J77="Mixte",Paramètres!$B$32,0))*Paramètres!$B$12*(Paramètres!$B$5+(1-Paramètres!$B$5)*((K77-Paramètres!$B$7)/(Paramètres!$B$8-Paramètres!$B$7))^Paramètres!$B$6)*INDEX(Rôles!$C$18:$C$22,AZ77)*INDEX(Rôles!$C$5:$C$13,AY77)/(Paramètres!$B$35*(1-Paramètres!$B$36)),0)</f>
        <v>319</v>
      </c>
      <c r="N77" s="29" t="n">
        <f aca="false" t="array" ref="N77:N77">ROUND(IF(J77="Magique",1,IF(J77="Mixte",Paramètres!$B$32,0))*Paramètres!$B$12*(Paramètres!$B$5+(1-Paramètres!$B$5)*((K77-Paramètres!$B$7)/(Paramètres!$B$8-Paramètres!$B$7))^Paramètres!$B$6)*INDEX(Rôles!$C$18:$C$22,AZ77)*INDEX(Rôles!$C$5:$C$13,AY77)/(Paramètres!$B$35*(1-Paramètres!$B$36)),0)</f>
        <v>0</v>
      </c>
      <c r="O77" s="29" t="n">
        <f aca="false" t="array" ref="O77:O77">ROUND(Paramètres!$B$18*(Paramètres!$B$5+(1-Paramètres!$B$5)*((K77-Paramètres!$B$7)/(Paramètres!$B$8-Paramètres!$B$7))^Paramètres!$B$6)*INDEX(Rôles!$D$5:$D$13,AY77)*INDEX(Rôles!$D$18:$D$22,AZ77),0)</f>
        <v>209</v>
      </c>
      <c r="P77" s="29" t="n">
        <f aca="false" t="array" ref="P77:P77">ROUND(Paramètres!$B$19*(Paramètres!$B$5+(1-Paramètres!$B$5)*((K77-Paramètres!$B$7)/(Paramètres!$B$8-Paramètres!$B$7))^Paramètres!$B$6)*INDEX(Rôles!$E$5:$E$13,AY77)*INDEX(Rôles!$D$18:$D$22,AZ77),0)</f>
        <v>155</v>
      </c>
      <c r="Q77" s="29" t="n">
        <f aca="false" t="array" ref="Q77:Q77">ROUND(Paramètres!$B$20*(Paramètres!$B$5+(1-Paramètres!$B$5)*((K77-Paramètres!$B$7)/(Paramètres!$B$8-Paramètres!$B$7))^Paramètres!$B$6)*INDEX(Rôles!$F$5:$F$13,AY77),0)</f>
        <v>149</v>
      </c>
      <c r="R77" s="29" t="n">
        <f aca="false">ROUND(Paramètres!$B$64*$AX77*INDEX(Rôles!$N$5:$N$13,$AY77)*INDEX(Rôles!$I$18:$I$22,$AZ77),0)</f>
        <v>116</v>
      </c>
      <c r="S77" s="30" t="n">
        <f aca="false" t="array" ref="S77:S77">MIN(1,ROUND(Paramètres!$B$21*INDEX(Rôles!$G$5:$G$13,AY77),3))</f>
        <v>1</v>
      </c>
      <c r="T77" s="30" t="n">
        <f aca="false" t="array" ref="T77:T77">MIN(Paramètres!$B$28,ROUND(Paramètres!$B$22*INDEX(Rôles!$H$5:$H$13,AY77),3))</f>
        <v>0.08</v>
      </c>
      <c r="U77" s="30" t="n">
        <f aca="false" t="array" ref="U77:U77">ROUND(Paramètres!$B$23*INDEX(Rôles!$I$5:$I$13,AY77),3)</f>
        <v>0.7</v>
      </c>
      <c r="V77" s="30" t="n">
        <f aca="false" t="array" ref="V77:V77">MIN(Paramètres!$B$29,ROUND(Paramètres!$B$24*INDEX(Rôles!$J$5:$J$13,AY77),3))</f>
        <v>0.06</v>
      </c>
      <c r="W77" s="30" t="n">
        <f aca="false" t="array" ref="W77:W77">MIN(Paramètres!$B$27,ROUND((Paramètres!$B$25+(Paramètres!$B$26-Paramètres!$B$25)*(K77-Paramètres!$B$7)/(Paramètres!$B$8-Paramètres!$B$7))*INDEX(Rôles!$K$5:$K$13,AY77)+INDEX(Rôles!$G$18:$G$22,AZ77),3))</f>
        <v>0.2</v>
      </c>
      <c r="X77" s="30" t="n">
        <f aca="false">ROUND(1-(1-P77/(P77+(Paramètres!$B$19*(Paramètres!$B$5+(1-Paramètres!$B$5)*((K77-Paramètres!$B$7)/(Paramètres!$B$8-Paramètres!$B$7))^Paramètres!$B$6)*(1-Paramètres!$B$30)/Paramètres!$B$30)))*(1-O77/(O77+(Paramètres!$B$18*(Paramètres!$B$5+(1-Paramètres!$B$5)*((K77-Paramètres!$B$7)/(Paramètres!$B$8-Paramètres!$B$7))^Paramètres!$B$6)*(1-Paramètres!$B$31)/Paramètres!$B$31))),3)</f>
        <v>0.196</v>
      </c>
      <c r="Y77" s="30" t="n">
        <f aca="false">ROUND(O77/(O77+(Paramètres!$B$18*(Paramètres!$B$5+(1-Paramètres!$B$5)*((K77-Paramètres!$B$7)/(Paramètres!$B$8-Paramètres!$B$7))^Paramètres!$B$6)*(1-Paramètres!$B$31)/Paramètres!$B$31)),3)</f>
        <v>0.096</v>
      </c>
      <c r="Z77" s="31" t="n">
        <f aca="false" t="array" ref="Z77:Z77">IF(E77="Neutre",0,MIN(1,INDEX(Rôles!$L$5:$L$13,AY77)+INDEX(Rôles!$F$18:$F$22,AZ77)))</f>
        <v>0.5</v>
      </c>
      <c r="AA77" s="32" t="n">
        <f aca="false" t="array" ref="AA77:AA77">ROUND(INDEX(Rôles!$C$18:$C$22,AZ77)*INDEX(Rôles!$C$5:$C$13,AY77),4)</f>
        <v>0.018</v>
      </c>
      <c r="AB77" s="33" t="n">
        <f aca="false" t="array" ref="AB77:AB77">ROUND(INDEX(Rôles!$B$18:$B$22,AZ77)*INDEX(Rôles!$B$5:$B$13,AY77),2)</f>
        <v>1.5</v>
      </c>
      <c r="AC77" s="33" t="n">
        <f aca="false" t="array" ref="AC77:AC77">INDEX(Rôles!$E$18:$E$22,AZ77)</f>
        <v>1</v>
      </c>
      <c r="AD77" s="23" t="str">
        <f aca="false" t="array" ref="AD77:AD77">INDEX(Éléments!$F$5:$F$14,MATCH(E77,Éléments!$A$5:$A$14,0))</f>
        <v>Terre</v>
      </c>
      <c r="AE77" s="23" t="str">
        <f aca="false" t="array" ref="AE77:AE77">INDEX(Éléments!$G$5:$G$14,MATCH(E77,Éléments!$A$5:$A$14,0))</f>
        <v>Eau</v>
      </c>
      <c r="AF77" s="34" t="s">
        <v>141</v>
      </c>
      <c r="AG77" s="35" t="n">
        <v>0.25</v>
      </c>
      <c r="AH77" s="34" t="s">
        <v>320</v>
      </c>
      <c r="AI77" s="35" t="n">
        <v>0.15</v>
      </c>
      <c r="AJ77" s="29" t="n">
        <f aca="false" t="array" ref="AJ77:AJ77">ROUND(ROUND(Paramètres!$B$49*K77^Paramètres!$B$50,0)*INDEX(Rôles!$E$18:$E$22,AZ77),0)</f>
        <v>1436</v>
      </c>
      <c r="AK77" s="29" t="n">
        <f aca="false" t="array" ref="AK77:AK77">ROUND(ROUND(Paramètres!$B$53*K77^Paramètres!$B$54,0)*INDEX(Rôles!$E$18:$E$22,AZ77),0)</f>
        <v>1112</v>
      </c>
      <c r="AL77" s="36" t="n">
        <f aca="false">INDEX(Butin!$B$7:$B$11,AZ77)</f>
        <v>0.05</v>
      </c>
      <c r="AM77" s="37" t="n">
        <f aca="false">INDEX(Butin!$E$7:$E$11,AZ77)</f>
        <v>0.05</v>
      </c>
      <c r="AN77" s="30" t="n">
        <f aca="false">IF($H77="Boss",INDEX(Butin!$E$28:$K$37,MATCH($B77,Éléments!$C$5:$C$14,1),1),IF($H77="Dragon",INDEX(Butin!$E$41:$K$50,MATCH($B77,Éléments!$C$5:$C$14,1),1),INDEX(Butin!$E$15:$K$24,MATCH($B77,Éléments!$C$5:$C$14,1),1)))</f>
        <v>0.16</v>
      </c>
      <c r="AO77" s="30" t="n">
        <f aca="false">IF($H77="Boss",INDEX(Butin!$E$28:$K$37,MATCH($B77,Éléments!$C$5:$C$14,1),2),IF($H77="Dragon",INDEX(Butin!$E$41:$K$50,MATCH($B77,Éléments!$C$5:$C$14,1),2),INDEX(Butin!$E$15:$K$24,MATCH($B77,Éléments!$C$5:$C$14,1),2)))</f>
        <v>0.25</v>
      </c>
      <c r="AP77" s="30" t="n">
        <f aca="false">IF($H77="Boss",INDEX(Butin!$E$28:$K$37,MATCH($B77,Éléments!$C$5:$C$14,1),3),IF($H77="Dragon",INDEX(Butin!$E$41:$K$50,MATCH($B77,Éléments!$C$5:$C$14,1),3),INDEX(Butin!$E$15:$K$24,MATCH($B77,Éléments!$C$5:$C$14,1),3)))</f>
        <v>0.28</v>
      </c>
      <c r="AQ77" s="30" t="n">
        <f aca="false">IF($H77="Boss",INDEX(Butin!$E$28:$K$37,MATCH($B77,Éléments!$C$5:$C$14,1),4),IF($H77="Dragon",INDEX(Butin!$E$41:$K$50,MATCH($B77,Éléments!$C$5:$C$14,1),4),INDEX(Butin!$E$15:$K$24,MATCH($B77,Éléments!$C$5:$C$14,1),4)))</f>
        <v>0.19</v>
      </c>
      <c r="AR77" s="30" t="n">
        <f aca="false">IF($H77="Boss",INDEX(Butin!$E$28:$K$37,MATCH($B77,Éléments!$C$5:$C$14,1),5),IF($H77="Dragon",INDEX(Butin!$E$41:$K$50,MATCH($B77,Éléments!$C$5:$C$14,1),5),INDEX(Butin!$E$15:$K$24,MATCH($B77,Éléments!$C$5:$C$14,1),5)))</f>
        <v>0.092</v>
      </c>
      <c r="AS77" s="30" t="n">
        <f aca="false">IF($H77="Boss",INDEX(Butin!$E$28:$K$37,MATCH($B77,Éléments!$C$5:$C$14,1),6),IF($H77="Dragon",INDEX(Butin!$E$41:$K$50,MATCH($B77,Éléments!$C$5:$C$14,1),6),INDEX(Butin!$E$15:$K$24,MATCH($B77,Éléments!$C$5:$C$14,1),6)))</f>
        <v>0.024</v>
      </c>
      <c r="AT77" s="30" t="n">
        <f aca="false">IF($H77="Boss",INDEX(Butin!$E$28:$K$37,MATCH($B77,Éléments!$C$5:$C$14,1),7),IF($H77="Dragon",INDEX(Butin!$E$41:$K$50,MATCH($B77,Éléments!$C$5:$C$14,1),7),INDEX(Butin!$E$15:$K$24,MATCH($B77,Éléments!$C$5:$C$14,1),7)))</f>
        <v>0.004</v>
      </c>
      <c r="AU77" s="38" t="str">
        <f aca="false">IF(AT77=0,"—",INDEX(Butin!$D$54:$D$63,MATCH($B77,Éléments!$C$5:$C$14,1))&amp;" · "&amp;INDEX(Butin!$F$54:$F$63,MATCH($B77,Éléments!$C$5:$C$14,1))&amp;" · "&amp;INDEX(Butin!$H$54:$H$63,MATCH($B77,Éléments!$C$5:$C$14,1)))</f>
        <v>Ceinturon du Tonnerre Rugissant · Pantalon du Tisseur de Tempêtes · Bottes du Chasseur de Foudre</v>
      </c>
      <c r="AV77" s="20" t="s">
        <v>332</v>
      </c>
      <c r="AW77" s="39" t="str">
        <f aca="false">B77&amp;IF(G77="Oui","|B","|N")</f>
        <v>80|N</v>
      </c>
      <c r="AX77" s="40" t="n">
        <f aca="false">(Paramètres!$B$5+(1-Paramètres!$B$5)*((K77-Paramètres!$B$7)/(Paramètres!$B$8-Paramètres!$B$7))^Paramètres!$B$6)</f>
        <v>0.774625947617085</v>
      </c>
      <c r="AY77" s="39" t="n">
        <f aca="false">MATCH(I77,Rôles!$A$5:$A$13,0)</f>
        <v>7</v>
      </c>
      <c r="AZ77" s="39" t="n">
        <f aca="false">MATCH(H77,Rôles!$A$18:$A$22,0)</f>
        <v>2</v>
      </c>
    </row>
    <row r="78" customFormat="false" ht="15.75" hidden="false" customHeight="true" outlineLevel="0" collapsed="false">
      <c r="A78" s="20" t="s">
        <v>333</v>
      </c>
      <c r="B78" s="21" t="n">
        <v>80</v>
      </c>
      <c r="C78" s="22" t="str">
        <f aca="false" t="array" ref="C78:C78">INDEX(Zones!$B$6:$B$35,MATCH(B78,Zones!$A$6:$A$35,0))</f>
        <v>Orage (80)</v>
      </c>
      <c r="D78" s="23" t="str">
        <f aca="false" t="array" ref="D78:D78">INDEX(Éléments!$B$5:$B$14,MATCH(B78,Éléments!$C$5:$C$14,1))</f>
        <v>Haute montagne</v>
      </c>
      <c r="E78" s="47" t="str">
        <f aca="false" t="array" ref="E78:E78">INDEX(Éléments!$A$5:$A$14,MATCH(B78,Éléments!$C$5:$C$14,1))</f>
        <v>Électricité</v>
      </c>
      <c r="F78" s="25" t="s">
        <v>334</v>
      </c>
      <c r="G78" s="23" t="str">
        <f aca="false">IF(OR(H78="Boss",H78="Dragon"),"Oui","Non")</f>
        <v>Non</v>
      </c>
      <c r="H78" s="26" t="s">
        <v>138</v>
      </c>
      <c r="I78" s="26" t="s">
        <v>139</v>
      </c>
      <c r="J78" s="26" t="s">
        <v>173</v>
      </c>
      <c r="K78" s="27" t="n">
        <f aca="false">IF($F$3="",B78,$F$3)</f>
        <v>80</v>
      </c>
      <c r="L78" s="28" t="n">
        <f aca="false" t="array" ref="L78:L78">ROUND(Paramètres!$B$16*(Paramètres!$B$5+(1-Paramètres!$B$5)*((K78-Paramètres!$B$7)/(Paramètres!$B$8-Paramètres!$B$7))^Paramètres!$B$6)*INDEX(Rôles!$B$18:$B$22,AZ78)*INDEX(Rôles!$B$5:$B$13,AY78),0)</f>
        <v>1159</v>
      </c>
      <c r="M78" s="29" t="n">
        <f aca="false" t="array" ref="M78:M78">ROUND(IF(J78="Physique",1,IF(J78="Mixte",Paramètres!$B$32,0))*Paramètres!$B$12*(Paramètres!$B$5+(1-Paramètres!$B$5)*((K78-Paramètres!$B$7)/(Paramètres!$B$8-Paramètres!$B$7))^Paramètres!$B$6)*INDEX(Rôles!$C$18:$C$22,AZ78)*INDEX(Rôles!$C$5:$C$13,AY78)/(Paramètres!$B$35*(1-Paramètres!$B$36)),0)</f>
        <v>0</v>
      </c>
      <c r="N78" s="29" t="n">
        <f aca="false" t="array" ref="N78:N78">ROUND(IF(J78="Magique",1,IF(J78="Mixte",Paramètres!$B$32,0))*Paramètres!$B$12*(Paramètres!$B$5+(1-Paramètres!$B$5)*((K78-Paramètres!$B$7)/(Paramètres!$B$8-Paramètres!$B$7))^Paramètres!$B$6)*INDEX(Rôles!$C$18:$C$22,AZ78)*INDEX(Rôles!$C$5:$C$13,AY78)/(Paramètres!$B$35*(1-Paramètres!$B$36)),0)</f>
        <v>279</v>
      </c>
      <c r="O78" s="29" t="n">
        <f aca="false" t="array" ref="O78:O78">ROUND(Paramètres!$B$18*(Paramètres!$B$5+(1-Paramètres!$B$5)*((K78-Paramètres!$B$7)/(Paramètres!$B$8-Paramètres!$B$7))^Paramètres!$B$6)*INDEX(Rôles!$D$5:$D$13,AY78)*INDEX(Rôles!$D$18:$D$22,AZ78),0)</f>
        <v>209</v>
      </c>
      <c r="P78" s="29" t="n">
        <f aca="false" t="array" ref="P78:P78">ROUND(Paramètres!$B$19*(Paramètres!$B$5+(1-Paramètres!$B$5)*((K78-Paramètres!$B$7)/(Paramètres!$B$8-Paramètres!$B$7))^Paramètres!$B$6)*INDEX(Rôles!$E$5:$E$13,AY78)*INDEX(Rôles!$D$18:$D$22,AZ78),0)</f>
        <v>217</v>
      </c>
      <c r="Q78" s="29" t="n">
        <f aca="false" t="array" ref="Q78:Q78">ROUND(Paramètres!$B$20*(Paramètres!$B$5+(1-Paramètres!$B$5)*((K78-Paramètres!$B$7)/(Paramètres!$B$8-Paramètres!$B$7))^Paramètres!$B$6)*INDEX(Rôles!$F$5:$F$13,AY78),0)</f>
        <v>112</v>
      </c>
      <c r="R78" s="29" t="n">
        <f aca="false">ROUND(Paramètres!$B$64*$AX78*INDEX(Rôles!$N$5:$N$13,$AY78)*INDEX(Rôles!$I$18:$I$22,$AZ78),0)</f>
        <v>93</v>
      </c>
      <c r="S78" s="30" t="n">
        <f aca="false" t="array" ref="S78:S78">MIN(1,ROUND(Paramètres!$B$21*INDEX(Rôles!$G$5:$G$13,AY78),3))</f>
        <v>0.9</v>
      </c>
      <c r="T78" s="30" t="n">
        <f aca="false" t="array" ref="T78:T78">MIN(Paramètres!$B$28,ROUND(Paramètres!$B$22*INDEX(Rôles!$H$5:$H$13,AY78),3))</f>
        <v>0.05</v>
      </c>
      <c r="U78" s="30" t="n">
        <f aca="false" t="array" ref="U78:U78">ROUND(Paramètres!$B$23*INDEX(Rôles!$I$5:$I$13,AY78),3)</f>
        <v>0.5</v>
      </c>
      <c r="V78" s="30" t="n">
        <f aca="false" t="array" ref="V78:V78">MIN(Paramètres!$B$29,ROUND(Paramètres!$B$24*INDEX(Rôles!$J$5:$J$13,AY78),3))</f>
        <v>0.025</v>
      </c>
      <c r="W78" s="30" t="n">
        <f aca="false" t="array" ref="W78:W78">MIN(Paramètres!$B$27,ROUND((Paramètres!$B$25+(Paramètres!$B$26-Paramètres!$B$25)*(K78-Paramètres!$B$7)/(Paramètres!$B$8-Paramètres!$B$7))*INDEX(Rôles!$K$5:$K$13,AY78)+INDEX(Rôles!$G$18:$G$22,AZ78),3))</f>
        <v>0.2</v>
      </c>
      <c r="X78" s="30" t="n">
        <f aca="false">ROUND(1-(1-P78/(P78+(Paramètres!$B$19*(Paramètres!$B$5+(1-Paramètres!$B$5)*((K78-Paramètres!$B$7)/(Paramètres!$B$8-Paramètres!$B$7))^Paramètres!$B$6)*(1-Paramètres!$B$30)/Paramètres!$B$30)))*(1-O78/(O78+(Paramètres!$B$18*(Paramètres!$B$5+(1-Paramètres!$B$5)*((K78-Paramètres!$B$7)/(Paramètres!$B$8-Paramètres!$B$7))^Paramètres!$B$6)*(1-Paramètres!$B$31)/Paramètres!$B$31))),3)</f>
        <v>0.23</v>
      </c>
      <c r="Y78" s="30" t="n">
        <f aca="false">ROUND(O78/(O78+(Paramètres!$B$18*(Paramètres!$B$5+(1-Paramètres!$B$5)*((K78-Paramètres!$B$7)/(Paramètres!$B$8-Paramètres!$B$7))^Paramètres!$B$6)*(1-Paramètres!$B$31)/Paramètres!$B$31)),3)</f>
        <v>0.096</v>
      </c>
      <c r="Z78" s="31" t="n">
        <f aca="false" t="array" ref="Z78:Z78">IF(E78="Neutre",0,MIN(1,INDEX(Rôles!$L$5:$L$13,AY78)+INDEX(Rôles!$F$18:$F$22,AZ78)))</f>
        <v>0.5</v>
      </c>
      <c r="AA78" s="32" t="n">
        <f aca="false" t="array" ref="AA78:AA78">ROUND(INDEX(Rôles!$C$18:$C$22,AZ78)*INDEX(Rôles!$C$5:$C$13,AY78),4)</f>
        <v>0.0158</v>
      </c>
      <c r="AB78" s="33" t="n">
        <f aca="false" t="array" ref="AB78:AB78">ROUND(INDEX(Rôles!$B$18:$B$22,AZ78)*INDEX(Rôles!$B$5:$B$13,AY78),2)</f>
        <v>1.9</v>
      </c>
      <c r="AC78" s="33" t="n">
        <f aca="false" t="array" ref="AC78:AC78">INDEX(Rôles!$E$18:$E$22,AZ78)</f>
        <v>1</v>
      </c>
      <c r="AD78" s="23" t="str">
        <f aca="false" t="array" ref="AD78:AD78">INDEX(Éléments!$F$5:$F$14,MATCH(E78,Éléments!$A$5:$A$14,0))</f>
        <v>Terre</v>
      </c>
      <c r="AE78" s="23" t="str">
        <f aca="false" t="array" ref="AE78:AE78">INDEX(Éléments!$G$5:$G$14,MATCH(E78,Éléments!$A$5:$A$14,0))</f>
        <v>Eau</v>
      </c>
      <c r="AF78" s="34" t="s">
        <v>320</v>
      </c>
      <c r="AG78" s="35" t="n">
        <v>0.3</v>
      </c>
      <c r="AH78" s="34" t="s">
        <v>325</v>
      </c>
      <c r="AI78" s="35" t="n">
        <v>0.2</v>
      </c>
      <c r="AJ78" s="29" t="n">
        <f aca="false" t="array" ref="AJ78:AJ78">ROUND(ROUND(Paramètres!$B$49*K78^Paramètres!$B$50,0)*INDEX(Rôles!$E$18:$E$22,AZ78),0)</f>
        <v>1436</v>
      </c>
      <c r="AK78" s="29" t="n">
        <f aca="false" t="array" ref="AK78:AK78">ROUND(ROUND(Paramètres!$B$53*K78^Paramètres!$B$54,0)*INDEX(Rôles!$E$18:$E$22,AZ78),0)</f>
        <v>1112</v>
      </c>
      <c r="AL78" s="36" t="n">
        <f aca="false">INDEX(Butin!$B$7:$B$11,AZ78)</f>
        <v>0.05</v>
      </c>
      <c r="AM78" s="37" t="n">
        <f aca="false">INDEX(Butin!$E$7:$E$11,AZ78)</f>
        <v>0.05</v>
      </c>
      <c r="AN78" s="30" t="n">
        <f aca="false">IF($H78="Boss",INDEX(Butin!$E$28:$K$37,MATCH($B78,Éléments!$C$5:$C$14,1),1),IF($H78="Dragon",INDEX(Butin!$E$41:$K$50,MATCH($B78,Éléments!$C$5:$C$14,1),1),INDEX(Butin!$E$15:$K$24,MATCH($B78,Éléments!$C$5:$C$14,1),1)))</f>
        <v>0.16</v>
      </c>
      <c r="AO78" s="30" t="n">
        <f aca="false">IF($H78="Boss",INDEX(Butin!$E$28:$K$37,MATCH($B78,Éléments!$C$5:$C$14,1),2),IF($H78="Dragon",INDEX(Butin!$E$41:$K$50,MATCH($B78,Éléments!$C$5:$C$14,1),2),INDEX(Butin!$E$15:$K$24,MATCH($B78,Éléments!$C$5:$C$14,1),2)))</f>
        <v>0.25</v>
      </c>
      <c r="AP78" s="30" t="n">
        <f aca="false">IF($H78="Boss",INDEX(Butin!$E$28:$K$37,MATCH($B78,Éléments!$C$5:$C$14,1),3),IF($H78="Dragon",INDEX(Butin!$E$41:$K$50,MATCH($B78,Éléments!$C$5:$C$14,1),3),INDEX(Butin!$E$15:$K$24,MATCH($B78,Éléments!$C$5:$C$14,1),3)))</f>
        <v>0.28</v>
      </c>
      <c r="AQ78" s="30" t="n">
        <f aca="false">IF($H78="Boss",INDEX(Butin!$E$28:$K$37,MATCH($B78,Éléments!$C$5:$C$14,1),4),IF($H78="Dragon",INDEX(Butin!$E$41:$K$50,MATCH($B78,Éléments!$C$5:$C$14,1),4),INDEX(Butin!$E$15:$K$24,MATCH($B78,Éléments!$C$5:$C$14,1),4)))</f>
        <v>0.19</v>
      </c>
      <c r="AR78" s="30" t="n">
        <f aca="false">IF($H78="Boss",INDEX(Butin!$E$28:$K$37,MATCH($B78,Éléments!$C$5:$C$14,1),5),IF($H78="Dragon",INDEX(Butin!$E$41:$K$50,MATCH($B78,Éléments!$C$5:$C$14,1),5),INDEX(Butin!$E$15:$K$24,MATCH($B78,Éléments!$C$5:$C$14,1),5)))</f>
        <v>0.092</v>
      </c>
      <c r="AS78" s="30" t="n">
        <f aca="false">IF($H78="Boss",INDEX(Butin!$E$28:$K$37,MATCH($B78,Éléments!$C$5:$C$14,1),6),IF($H78="Dragon",INDEX(Butin!$E$41:$K$50,MATCH($B78,Éléments!$C$5:$C$14,1),6),INDEX(Butin!$E$15:$K$24,MATCH($B78,Éléments!$C$5:$C$14,1),6)))</f>
        <v>0.024</v>
      </c>
      <c r="AT78" s="30" t="n">
        <f aca="false">IF($H78="Boss",INDEX(Butin!$E$28:$K$37,MATCH($B78,Éléments!$C$5:$C$14,1),7),IF($H78="Dragon",INDEX(Butin!$E$41:$K$50,MATCH($B78,Éléments!$C$5:$C$14,1),7),INDEX(Butin!$E$15:$K$24,MATCH($B78,Éléments!$C$5:$C$14,1),7)))</f>
        <v>0.004</v>
      </c>
      <c r="AU78" s="38" t="str">
        <f aca="false">IF(AT78=0,"—",INDEX(Butin!$D$54:$D$63,MATCH($B78,Éléments!$C$5:$C$14,1))&amp;" · "&amp;INDEX(Butin!$F$54:$F$63,MATCH($B78,Éléments!$C$5:$C$14,1))&amp;" · "&amp;INDEX(Butin!$H$54:$H$63,MATCH($B78,Éléments!$C$5:$C$14,1)))</f>
        <v>Ceinturon du Tonnerre Rugissant · Pantalon du Tisseur de Tempêtes · Bottes du Chasseur de Foudre</v>
      </c>
      <c r="AV78" s="20" t="s">
        <v>334</v>
      </c>
      <c r="AW78" s="39" t="str">
        <f aca="false">B78&amp;IF(G78="Oui","|B","|N")</f>
        <v>80|N</v>
      </c>
      <c r="AX78" s="40" t="n">
        <f aca="false">(Paramètres!$B$5+(1-Paramètres!$B$5)*((K78-Paramètres!$B$7)/(Paramètres!$B$8-Paramètres!$B$7))^Paramètres!$B$6)</f>
        <v>0.774625947617085</v>
      </c>
      <c r="AY78" s="39" t="n">
        <f aca="false">MATCH(I78,Rôles!$A$5:$A$13,0)</f>
        <v>1</v>
      </c>
      <c r="AZ78" s="39" t="n">
        <f aca="false">MATCH(H78,Rôles!$A$18:$A$22,0)</f>
        <v>2</v>
      </c>
    </row>
    <row r="79" customFormat="false" ht="15.75" hidden="false" customHeight="true" outlineLevel="0" collapsed="false">
      <c r="A79" s="20" t="s">
        <v>335</v>
      </c>
      <c r="B79" s="21" t="n">
        <v>85</v>
      </c>
      <c r="C79" s="22" t="str">
        <f aca="false" t="array" ref="C79:C79">INDEX(Zones!$B$6:$B$35,MATCH(B79,Zones!$A$6:$A$35,0))</f>
        <v>Ciel</v>
      </c>
      <c r="D79" s="23" t="str">
        <f aca="false" t="array" ref="D79:D79">INDEX(Éléments!$B$5:$B$14,MATCH(B79,Éléments!$C$5:$C$14,1))</f>
        <v>Palais céleste</v>
      </c>
      <c r="E79" s="48" t="str">
        <f aca="false" t="array" ref="E79:E79">INDEX(Éléments!$A$5:$A$14,MATCH(B79,Éléments!$C$5:$C$14,1))</f>
        <v>Lumière</v>
      </c>
      <c r="F79" s="25" t="s">
        <v>336</v>
      </c>
      <c r="G79" s="23" t="str">
        <f aca="false">IF(OR(H79="Boss",H79="Dragon"),"Oui","Non")</f>
        <v>Oui</v>
      </c>
      <c r="H79" s="26" t="s">
        <v>152</v>
      </c>
      <c r="I79" s="26" t="s">
        <v>172</v>
      </c>
      <c r="J79" s="26" t="s">
        <v>173</v>
      </c>
      <c r="K79" s="27" t="n">
        <f aca="false">IF($F$3="",B79,$F$3)</f>
        <v>85</v>
      </c>
      <c r="L79" s="28" t="n">
        <f aca="false" t="array" ref="L79:L79">ROUND(Paramètres!$B$16*(Paramètres!$B$5+(1-Paramètres!$B$5)*((K79-Paramètres!$B$7)/(Paramètres!$B$8-Paramètres!$B$7))^Paramètres!$B$6)*INDEX(Rôles!$B$18:$B$22,AZ79)*INDEX(Rôles!$B$5:$B$13,AY79),0)</f>
        <v>6667</v>
      </c>
      <c r="M79" s="29" t="n">
        <f aca="false" t="array" ref="M79:M79">ROUND(IF(J79="Physique",1,IF(J79="Mixte",Paramètres!$B$32,0))*Paramètres!$B$12*(Paramètres!$B$5+(1-Paramètres!$B$5)*((K79-Paramètres!$B$7)/(Paramètres!$B$8-Paramètres!$B$7))^Paramètres!$B$6)*INDEX(Rôles!$C$18:$C$22,AZ79)*INDEX(Rôles!$C$5:$C$13,AY79)/(Paramètres!$B$35*(1-Paramètres!$B$36)),0)</f>
        <v>0</v>
      </c>
      <c r="N79" s="29" t="n">
        <f aca="false" t="array" ref="N79:N79">ROUND(IF(J79="Magique",1,IF(J79="Mixte",Paramètres!$B$32,0))*Paramètres!$B$12*(Paramètres!$B$5+(1-Paramètres!$B$5)*((K79-Paramètres!$B$7)/(Paramètres!$B$8-Paramètres!$B$7))^Paramètres!$B$6)*INDEX(Rôles!$C$18:$C$22,AZ79)*INDEX(Rôles!$C$5:$C$13,AY79)/(Paramètres!$B$35*(1-Paramètres!$B$36)),0)</f>
        <v>455</v>
      </c>
      <c r="O79" s="29" t="n">
        <f aca="false" t="array" ref="O79:O79">ROUND(Paramètres!$B$18*(Paramètres!$B$5+(1-Paramètres!$B$5)*((K79-Paramètres!$B$7)/(Paramètres!$B$8-Paramètres!$B$7))^Paramètres!$B$6)*INDEX(Rôles!$D$5:$D$13,AY79)*INDEX(Rôles!$D$18:$D$22,AZ79),0)</f>
        <v>583</v>
      </c>
      <c r="P79" s="29" t="n">
        <f aca="false" t="array" ref="P79:P79">ROUND(Paramètres!$B$19*(Paramètres!$B$5+(1-Paramètres!$B$5)*((K79-Paramètres!$B$7)/(Paramètres!$B$8-Paramètres!$B$7))^Paramètres!$B$6)*INDEX(Rôles!$E$5:$E$13,AY79)*INDEX(Rôles!$D$18:$D$22,AZ79),0)</f>
        <v>216</v>
      </c>
      <c r="Q79" s="29" t="n">
        <f aca="false" t="array" ref="Q79:Q79">ROUND(Paramètres!$B$20*(Paramètres!$B$5+(1-Paramètres!$B$5)*((K79-Paramètres!$B$7)/(Paramètres!$B$8-Paramètres!$B$7))^Paramètres!$B$6)*INDEX(Rôles!$F$5:$F$13,AY79),0)</f>
        <v>90</v>
      </c>
      <c r="R79" s="29" t="n">
        <f aca="false">ROUND(Paramètres!$B$64*$AX79*INDEX(Rôles!$N$5:$N$13,$AY79)*INDEX(Rôles!$I$18:$I$22,$AZ79),0)</f>
        <v>95</v>
      </c>
      <c r="S79" s="30" t="n">
        <f aca="false" t="array" ref="S79:S79">MIN(1,ROUND(Paramètres!$B$21*INDEX(Rôles!$G$5:$G$13,AY79),3))</f>
        <v>0.9</v>
      </c>
      <c r="T79" s="30" t="n">
        <f aca="false" t="array" ref="T79:T79">MIN(Paramètres!$B$28,ROUND(Paramètres!$B$22*INDEX(Rôles!$H$5:$H$13,AY79),3))</f>
        <v>0.04</v>
      </c>
      <c r="U79" s="30" t="n">
        <f aca="false" t="array" ref="U79:U79">ROUND(Paramètres!$B$23*INDEX(Rôles!$I$5:$I$13,AY79),3)</f>
        <v>0.5</v>
      </c>
      <c r="V79" s="30" t="n">
        <f aca="false" t="array" ref="V79:V79">MIN(Paramètres!$B$29,ROUND(Paramètres!$B$24*INDEX(Rôles!$J$5:$J$13,AY79),3))</f>
        <v>0.04</v>
      </c>
      <c r="W79" s="30" t="n">
        <f aca="false" t="array" ref="W79:W79">MIN(Paramètres!$B$27,ROUND((Paramètres!$B$25+(Paramètres!$B$26-Paramètres!$B$25)*(K79-Paramètres!$B$7)/(Paramètres!$B$8-Paramètres!$B$7))*INDEX(Rôles!$K$5:$K$13,AY79)+INDEX(Rôles!$G$18:$G$22,AZ79),3))</f>
        <v>0.541</v>
      </c>
      <c r="X79" s="30" t="n">
        <f aca="false">ROUND(1-(1-P79/(P79+(Paramètres!$B$19*(Paramètres!$B$5+(1-Paramètres!$B$5)*((K79-Paramètres!$B$7)/(Paramètres!$B$8-Paramètres!$B$7))^Paramètres!$B$6)*(1-Paramètres!$B$30)/Paramètres!$B$30)))*(1-O79/(O79+(Paramètres!$B$18*(Paramètres!$B$5+(1-Paramètres!$B$5)*((K79-Paramètres!$B$7)/(Paramètres!$B$8-Paramètres!$B$7))^Paramètres!$B$6)*(1-Paramètres!$B$31)/Paramètres!$B$31))),3)</f>
        <v>0.326</v>
      </c>
      <c r="Y79" s="30" t="n">
        <f aca="false">ROUND(O79/(O79+(Paramètres!$B$18*(Paramètres!$B$5+(1-Paramètres!$B$5)*((K79-Paramètres!$B$7)/(Paramètres!$B$8-Paramètres!$B$7))^Paramètres!$B$6)*(1-Paramètres!$B$31)/Paramètres!$B$31)),3)</f>
        <v>0.216</v>
      </c>
      <c r="Z79" s="31" t="n">
        <f aca="false" t="array" ref="Z79:Z79">IF(E79="Neutre",0,MIN(1,INDEX(Rôles!$L$5:$L$13,AY79)+INDEX(Rôles!$F$18:$F$22,AZ79)))</f>
        <v>0.9</v>
      </c>
      <c r="AA79" s="32" t="n">
        <f aca="false" t="array" ref="AA79:AA79">ROUND(INDEX(Rôles!$C$18:$C$22,AZ79)*INDEX(Rôles!$C$5:$C$13,AY79),4)</f>
        <v>0.024</v>
      </c>
      <c r="AB79" s="33" t="n">
        <f aca="false" t="array" ref="AB79:AB79">ROUND(INDEX(Rôles!$B$18:$B$22,AZ79)*INDEX(Rôles!$B$5:$B$13,AY79),2)</f>
        <v>10.2</v>
      </c>
      <c r="AC79" s="33" t="n">
        <f aca="false" t="array" ref="AC79:AC79">INDEX(Rôles!$E$18:$E$22,AZ79)</f>
        <v>8</v>
      </c>
      <c r="AD79" s="23" t="str">
        <f aca="false" t="array" ref="AD79:AD79">INDEX(Éléments!$F$5:$F$14,MATCH(E79,Éléments!$A$5:$A$14,0))</f>
        <v>Ombre</v>
      </c>
      <c r="AE79" s="23" t="str">
        <f aca="false" t="array" ref="AE79:AE79">INDEX(Éléments!$G$5:$G$14,MATCH(E79,Éléments!$A$5:$A$14,0))</f>
        <v>Acide</v>
      </c>
      <c r="AF79" s="34" t="s">
        <v>325</v>
      </c>
      <c r="AG79" s="35" t="n">
        <v>0.4</v>
      </c>
      <c r="AH79" s="34" t="s">
        <v>337</v>
      </c>
      <c r="AI79" s="35" t="n">
        <v>0.3</v>
      </c>
      <c r="AJ79" s="29" t="n">
        <f aca="false" t="array" ref="AJ79:AJ79">ROUND(ROUND(Paramètres!$B$49*K79^Paramètres!$B$50,0)*INDEX(Rôles!$E$18:$E$22,AZ79),0)</f>
        <v>12392</v>
      </c>
      <c r="AK79" s="29" t="n">
        <f aca="false" t="array" ref="AK79:AK79">ROUND(ROUND(Paramètres!$B$53*K79^Paramètres!$B$54,0)*INDEX(Rôles!$E$18:$E$22,AZ79),0)</f>
        <v>9656</v>
      </c>
      <c r="AL79" s="36" t="n">
        <f aca="false">INDEX(Butin!$B$7:$B$11,AZ79)</f>
        <v>1</v>
      </c>
      <c r="AM79" s="37" t="n">
        <f aca="false">INDEX(Butin!$E$7:$E$11,AZ79)</f>
        <v>1.4</v>
      </c>
      <c r="AN79" s="30" t="n">
        <f aca="false">IF($H79="Boss",INDEX(Butin!$E$28:$K$37,MATCH($B79,Éléments!$C$5:$C$14,1),1),IF($H79="Dragon",INDEX(Butin!$E$41:$K$50,MATCH($B79,Éléments!$C$5:$C$14,1),1),INDEX(Butin!$E$15:$K$24,MATCH($B79,Éléments!$C$5:$C$14,1),1)))</f>
        <v>0.01</v>
      </c>
      <c r="AO79" s="30" t="n">
        <f aca="false">IF($H79="Boss",INDEX(Butin!$E$28:$K$37,MATCH($B79,Éléments!$C$5:$C$14,1),2),IF($H79="Dragon",INDEX(Butin!$E$41:$K$50,MATCH($B79,Éléments!$C$5:$C$14,1),2),INDEX(Butin!$E$15:$K$24,MATCH($B79,Éléments!$C$5:$C$14,1),2)))</f>
        <v>0.08</v>
      </c>
      <c r="AP79" s="30" t="n">
        <f aca="false">IF($H79="Boss",INDEX(Butin!$E$28:$K$37,MATCH($B79,Éléments!$C$5:$C$14,1),3),IF($H79="Dragon",INDEX(Butin!$E$41:$K$50,MATCH($B79,Éléments!$C$5:$C$14,1),3),INDEX(Butin!$E$15:$K$24,MATCH($B79,Éléments!$C$5:$C$14,1),3)))</f>
        <v>0.21</v>
      </c>
      <c r="AQ79" s="30" t="n">
        <f aca="false">IF($H79="Boss",INDEX(Butin!$E$28:$K$37,MATCH($B79,Éléments!$C$5:$C$14,1),4),IF($H79="Dragon",INDEX(Butin!$E$41:$K$50,MATCH($B79,Éléments!$C$5:$C$14,1),4),INDEX(Butin!$E$15:$K$24,MATCH($B79,Éléments!$C$5:$C$14,1),4)))</f>
        <v>0.3</v>
      </c>
      <c r="AR79" s="30" t="n">
        <f aca="false">IF($H79="Boss",INDEX(Butin!$E$28:$K$37,MATCH($B79,Éléments!$C$5:$C$14,1),5),IF($H79="Dragon",INDEX(Butin!$E$41:$K$50,MATCH($B79,Éléments!$C$5:$C$14,1),5),INDEX(Butin!$E$15:$K$24,MATCH($B79,Éléments!$C$5:$C$14,1),5)))</f>
        <v>0.24</v>
      </c>
      <c r="AS79" s="30" t="n">
        <f aca="false">IF($H79="Boss",INDEX(Butin!$E$28:$K$37,MATCH($B79,Éléments!$C$5:$C$14,1),6),IF($H79="Dragon",INDEX(Butin!$E$41:$K$50,MATCH($B79,Éléments!$C$5:$C$14,1),6),INDEX(Butin!$E$15:$K$24,MATCH($B79,Éléments!$C$5:$C$14,1),6)))</f>
        <v>0.095</v>
      </c>
      <c r="AT79" s="30" t="n">
        <f aca="false">IF($H79="Boss",INDEX(Butin!$E$28:$K$37,MATCH($B79,Éléments!$C$5:$C$14,1),7),IF($H79="Dragon",INDEX(Butin!$E$41:$K$50,MATCH($B79,Éléments!$C$5:$C$14,1),7),INDEX(Butin!$E$15:$K$24,MATCH($B79,Éléments!$C$5:$C$14,1),7)))</f>
        <v>0.065</v>
      </c>
      <c r="AU79" s="38" t="str">
        <f aca="false">IF(AT79=0,"—",INDEX(Butin!$D$54:$D$63,MATCH($B79,Éléments!$C$5:$C$14,1))&amp;" · "&amp;INDEX(Butin!$F$54:$F$63,MATCH($B79,Éléments!$C$5:$C$14,1))&amp;" · "&amp;INDEX(Butin!$H$54:$H$63,MATCH($B79,Éléments!$C$5:$C$14,1)))</f>
        <v>Rempart de l'Aube Éternelle · Orbe de l'Éclipse · Capuche de l'Œil du Faucon</v>
      </c>
      <c r="AV79" s="20" t="s">
        <v>338</v>
      </c>
      <c r="AW79" s="39" t="str">
        <f aca="false">B79&amp;IF(G79="Oui","|B","|N")</f>
        <v>85|B</v>
      </c>
      <c r="AX79" s="40" t="n">
        <f aca="false">(Paramètres!$B$5+(1-Paramètres!$B$5)*((K79-Paramètres!$B$7)/(Paramètres!$B$8-Paramètres!$B$7))^Paramètres!$B$6)</f>
        <v>0.830003434629468</v>
      </c>
      <c r="AY79" s="39" t="n">
        <f aca="false">MATCH(I79,Rôles!$A$5:$A$13,0)</f>
        <v>6</v>
      </c>
      <c r="AZ79" s="39" t="n">
        <f aca="false">MATCH(H79,Rôles!$A$18:$A$22,0)</f>
        <v>4</v>
      </c>
    </row>
    <row r="80" customFormat="false" ht="15.75" hidden="false" customHeight="true" outlineLevel="0" collapsed="false">
      <c r="A80" s="20" t="s">
        <v>339</v>
      </c>
      <c r="B80" s="21" t="n">
        <v>85</v>
      </c>
      <c r="C80" s="22" t="str">
        <f aca="false" t="array" ref="C80:C80">INDEX(Zones!$B$6:$B$35,MATCH(B80,Zones!$A$6:$A$35,0))</f>
        <v>Ciel</v>
      </c>
      <c r="D80" s="23" t="str">
        <f aca="false" t="array" ref="D80:D80">INDEX(Éléments!$B$5:$B$14,MATCH(B80,Éléments!$C$5:$C$14,1))</f>
        <v>Palais céleste</v>
      </c>
      <c r="E80" s="48" t="str">
        <f aca="false" t="array" ref="E80:E80">INDEX(Éléments!$A$5:$A$14,MATCH(B80,Éléments!$C$5:$C$14,1))</f>
        <v>Lumière</v>
      </c>
      <c r="F80" s="25" t="s">
        <v>340</v>
      </c>
      <c r="G80" s="23" t="str">
        <f aca="false">IF(OR(H80="Boss",H80="Dragon"),"Oui","Non")</f>
        <v>Non</v>
      </c>
      <c r="H80" s="26" t="s">
        <v>165</v>
      </c>
      <c r="I80" s="26" t="s">
        <v>172</v>
      </c>
      <c r="J80" s="26" t="s">
        <v>173</v>
      </c>
      <c r="K80" s="27" t="n">
        <f aca="false">IF($F$3="",B80,$F$3)</f>
        <v>85</v>
      </c>
      <c r="L80" s="28" t="n">
        <f aca="false" t="array" ref="L80:L80">ROUND(Paramètres!$B$16*(Paramètres!$B$5+(1-Paramètres!$B$5)*((K80-Paramètres!$B$7)/(Paramètres!$B$8-Paramètres!$B$7))^Paramètres!$B$6)*INDEX(Rôles!$B$18:$B$22,AZ80)*INDEX(Rôles!$B$5:$B$13,AY80),0)</f>
        <v>833</v>
      </c>
      <c r="M80" s="29" t="n">
        <f aca="false" t="array" ref="M80:M80">ROUND(IF(J80="Physique",1,IF(J80="Mixte",Paramètres!$B$32,0))*Paramètres!$B$12*(Paramètres!$B$5+(1-Paramètres!$B$5)*((K80-Paramètres!$B$7)/(Paramètres!$B$8-Paramètres!$B$7))^Paramètres!$B$6)*INDEX(Rôles!$C$18:$C$22,AZ80)*INDEX(Rôles!$C$5:$C$13,AY80)/(Paramètres!$B$35*(1-Paramètres!$B$36)),0)</f>
        <v>0</v>
      </c>
      <c r="N80" s="29" t="n">
        <f aca="false" t="array" ref="N80:N80">ROUND(IF(J80="Magique",1,IF(J80="Mixte",Paramètres!$B$32,0))*Paramètres!$B$12*(Paramètres!$B$5+(1-Paramètres!$B$5)*((K80-Paramètres!$B$7)/(Paramètres!$B$8-Paramètres!$B$7))^Paramètres!$B$6)*INDEX(Rôles!$C$18:$C$22,AZ80)*INDEX(Rôles!$C$5:$C$13,AY80)/(Paramètres!$B$35*(1-Paramètres!$B$36)),0)</f>
        <v>152</v>
      </c>
      <c r="O80" s="29" t="n">
        <f aca="false" t="array" ref="O80:O80">ROUND(Paramètres!$B$18*(Paramètres!$B$5+(1-Paramètres!$B$5)*((K80-Paramètres!$B$7)/(Paramètres!$B$8-Paramètres!$B$7))^Paramètres!$B$6)*INDEX(Rôles!$D$5:$D$13,AY80)*INDEX(Rôles!$D$18:$D$22,AZ80),0)</f>
        <v>359</v>
      </c>
      <c r="P80" s="29" t="n">
        <f aca="false" t="array" ref="P80:P80">ROUND(Paramètres!$B$19*(Paramètres!$B$5+(1-Paramètres!$B$5)*((K80-Paramètres!$B$7)/(Paramètres!$B$8-Paramètres!$B$7))^Paramètres!$B$6)*INDEX(Rôles!$E$5:$E$13,AY80)*INDEX(Rôles!$D$18:$D$22,AZ80),0)</f>
        <v>133</v>
      </c>
      <c r="Q80" s="29" t="n">
        <f aca="false" t="array" ref="Q80:Q80">ROUND(Paramètres!$B$20*(Paramètres!$B$5+(1-Paramètres!$B$5)*((K80-Paramètres!$B$7)/(Paramètres!$B$8-Paramètres!$B$7))^Paramètres!$B$6)*INDEX(Rôles!$F$5:$F$13,AY80),0)</f>
        <v>90</v>
      </c>
      <c r="R80" s="29" t="n">
        <f aca="false">ROUND(Paramètres!$B$64*$AX80*INDEX(Rôles!$N$5:$N$13,$AY80)*INDEX(Rôles!$I$18:$I$22,$AZ80),0)</f>
        <v>75</v>
      </c>
      <c r="S80" s="30" t="n">
        <f aca="false" t="array" ref="S80:S80">MIN(1,ROUND(Paramètres!$B$21*INDEX(Rôles!$G$5:$G$13,AY80),3))</f>
        <v>0.9</v>
      </c>
      <c r="T80" s="30" t="n">
        <f aca="false" t="array" ref="T80:T80">MIN(Paramètres!$B$28,ROUND(Paramètres!$B$22*INDEX(Rôles!$H$5:$H$13,AY80),3))</f>
        <v>0.04</v>
      </c>
      <c r="U80" s="30" t="n">
        <f aca="false" t="array" ref="U80:U80">ROUND(Paramètres!$B$23*INDEX(Rôles!$I$5:$I$13,AY80),3)</f>
        <v>0.5</v>
      </c>
      <c r="V80" s="30" t="n">
        <f aca="false" t="array" ref="V80:V80">MIN(Paramètres!$B$29,ROUND(Paramètres!$B$24*INDEX(Rôles!$J$5:$J$13,AY80),3))</f>
        <v>0.04</v>
      </c>
      <c r="W80" s="30" t="n">
        <f aca="false" t="array" ref="W80:W80">MIN(Paramètres!$B$27,ROUND((Paramètres!$B$25+(Paramètres!$B$26-Paramètres!$B$25)*(K80-Paramètres!$B$7)/(Paramètres!$B$8-Paramètres!$B$7))*INDEX(Rôles!$K$5:$K$13,AY80)+INDEX(Rôles!$G$18:$G$22,AZ80),3))</f>
        <v>0.341</v>
      </c>
      <c r="X80" s="30" t="n">
        <f aca="false">ROUND(1-(1-P80/(P80+(Paramètres!$B$19*(Paramètres!$B$5+(1-Paramètres!$B$5)*((K80-Paramètres!$B$7)/(Paramètres!$B$8-Paramètres!$B$7))^Paramètres!$B$6)*(1-Paramètres!$B$30)/Paramètres!$B$30)))*(1-O80/(O80+(Paramètres!$B$18*(Paramètres!$B$5+(1-Paramètres!$B$5)*((K80-Paramètres!$B$7)/(Paramètres!$B$8-Paramètres!$B$7))^Paramètres!$B$6)*(1-Paramètres!$B$31)/Paramètres!$B$31))),3)</f>
        <v>0.223</v>
      </c>
      <c r="Y80" s="30" t="n">
        <f aca="false">ROUND(O80/(O80+(Paramètres!$B$18*(Paramètres!$B$5+(1-Paramètres!$B$5)*((K80-Paramètres!$B$7)/(Paramètres!$B$8-Paramètres!$B$7))^Paramètres!$B$6)*(1-Paramètres!$B$31)/Paramètres!$B$31)),3)</f>
        <v>0.145</v>
      </c>
      <c r="Z80" s="31" t="n">
        <f aca="false" t="array" ref="Z80:Z80">IF(E80="Neutre",0,MIN(1,INDEX(Rôles!$L$5:$L$13,AY80)+INDEX(Rôles!$F$18:$F$22,AZ80)))</f>
        <v>0.7</v>
      </c>
      <c r="AA80" s="32" t="n">
        <f aca="false" t="array" ref="AA80:AA80">ROUND(INDEX(Rôles!$C$18:$C$22,AZ80)*INDEX(Rôles!$C$5:$C$13,AY80),4)</f>
        <v>0.008</v>
      </c>
      <c r="AB80" s="33" t="n">
        <f aca="false" t="array" ref="AB80:AB80">ROUND(INDEX(Rôles!$B$18:$B$22,AZ80)*INDEX(Rôles!$B$5:$B$13,AY80),2)</f>
        <v>1.28</v>
      </c>
      <c r="AC80" s="33" t="n">
        <f aca="false" t="array" ref="AC80:AC80">INDEX(Rôles!$E$18:$E$22,AZ80)</f>
        <v>0.7</v>
      </c>
      <c r="AD80" s="23" t="str">
        <f aca="false" t="array" ref="AD80:AD80">INDEX(Éléments!$F$5:$F$14,MATCH(E80,Éléments!$A$5:$A$14,0))</f>
        <v>Ombre</v>
      </c>
      <c r="AE80" s="23" t="str">
        <f aca="false" t="array" ref="AE80:AE80">INDEX(Éléments!$G$5:$G$14,MATCH(E80,Éléments!$A$5:$A$14,0))</f>
        <v>Acide</v>
      </c>
      <c r="AF80" s="34" t="s">
        <v>325</v>
      </c>
      <c r="AG80" s="35" t="n">
        <v>0.2</v>
      </c>
      <c r="AH80" s="34" t="s">
        <v>337</v>
      </c>
      <c r="AI80" s="35" t="n">
        <v>0.15</v>
      </c>
      <c r="AJ80" s="29" t="n">
        <f aca="false" t="array" ref="AJ80:AJ80">ROUND(ROUND(Paramètres!$B$49*K80^Paramètres!$B$50,0)*INDEX(Rôles!$E$18:$E$22,AZ80),0)</f>
        <v>1084</v>
      </c>
      <c r="AK80" s="29" t="n">
        <f aca="false" t="array" ref="AK80:AK80">ROUND(ROUND(Paramètres!$B$53*K80^Paramètres!$B$54,0)*INDEX(Rôles!$E$18:$E$22,AZ80),0)</f>
        <v>845</v>
      </c>
      <c r="AL80" s="36" t="n">
        <f aca="false">INDEX(Butin!$B$7:$B$11,AZ80)</f>
        <v>0.03</v>
      </c>
      <c r="AM80" s="37" t="n">
        <f aca="false">INDEX(Butin!$E$7:$E$11,AZ80)</f>
        <v>0.03</v>
      </c>
      <c r="AN80" s="30" t="n">
        <f aca="false">IF($H80="Boss",INDEX(Butin!$E$28:$K$37,MATCH($B80,Éléments!$C$5:$C$14,1),1),IF($H80="Dragon",INDEX(Butin!$E$41:$K$50,MATCH($B80,Éléments!$C$5:$C$14,1),1),INDEX(Butin!$E$15:$K$24,MATCH($B80,Éléments!$C$5:$C$14,1),1)))</f>
        <v>0.12</v>
      </c>
      <c r="AO80" s="30" t="n">
        <f aca="false">IF($H80="Boss",INDEX(Butin!$E$28:$K$37,MATCH($B80,Éléments!$C$5:$C$14,1),2),IF($H80="Dragon",INDEX(Butin!$E$41:$K$50,MATCH($B80,Éléments!$C$5:$C$14,1),2),INDEX(Butin!$E$15:$K$24,MATCH($B80,Éléments!$C$5:$C$14,1),2)))</f>
        <v>0.22</v>
      </c>
      <c r="AP80" s="30" t="n">
        <f aca="false">IF($H80="Boss",INDEX(Butin!$E$28:$K$37,MATCH($B80,Éléments!$C$5:$C$14,1),3),IF($H80="Dragon",INDEX(Butin!$E$41:$K$50,MATCH($B80,Éléments!$C$5:$C$14,1),3),INDEX(Butin!$E$15:$K$24,MATCH($B80,Éléments!$C$5:$C$14,1),3)))</f>
        <v>0.28</v>
      </c>
      <c r="AQ80" s="30" t="n">
        <f aca="false">IF($H80="Boss",INDEX(Butin!$E$28:$K$37,MATCH($B80,Éléments!$C$5:$C$14,1),4),IF($H80="Dragon",INDEX(Butin!$E$41:$K$50,MATCH($B80,Éléments!$C$5:$C$14,1),4),INDEX(Butin!$E$15:$K$24,MATCH($B80,Éléments!$C$5:$C$14,1),4)))</f>
        <v>0.22</v>
      </c>
      <c r="AR80" s="30" t="n">
        <f aca="false">IF($H80="Boss",INDEX(Butin!$E$28:$K$37,MATCH($B80,Éléments!$C$5:$C$14,1),5),IF($H80="Dragon",INDEX(Butin!$E$41:$K$50,MATCH($B80,Éléments!$C$5:$C$14,1),5),INDEX(Butin!$E$15:$K$24,MATCH($B80,Éléments!$C$5:$C$14,1),5)))</f>
        <v>0.116</v>
      </c>
      <c r="AS80" s="30" t="n">
        <f aca="false">IF($H80="Boss",INDEX(Butin!$E$28:$K$37,MATCH($B80,Éléments!$C$5:$C$14,1),6),IF($H80="Dragon",INDEX(Butin!$E$41:$K$50,MATCH($B80,Éléments!$C$5:$C$14,1),6),INDEX(Butin!$E$15:$K$24,MATCH($B80,Éléments!$C$5:$C$14,1),6)))</f>
        <v>0.039</v>
      </c>
      <c r="AT80" s="30" t="n">
        <f aca="false">IF($H80="Boss",INDEX(Butin!$E$28:$K$37,MATCH($B80,Éléments!$C$5:$C$14,1),7),IF($H80="Dragon",INDEX(Butin!$E$41:$K$50,MATCH($B80,Éléments!$C$5:$C$14,1),7),INDEX(Butin!$E$15:$K$24,MATCH($B80,Éléments!$C$5:$C$14,1),7)))</f>
        <v>0.005</v>
      </c>
      <c r="AU80" s="38" t="str">
        <f aca="false">IF(AT80=0,"—",INDEX(Butin!$D$54:$D$63,MATCH($B80,Éléments!$C$5:$C$14,1))&amp;" · "&amp;INDEX(Butin!$F$54:$F$63,MATCH($B80,Éléments!$C$5:$C$14,1))&amp;" · "&amp;INDEX(Butin!$H$54:$H$63,MATCH($B80,Éléments!$C$5:$C$14,1)))</f>
        <v>Rempart de l'Aube Éternelle · Orbe de l'Éclipse · Capuche de l'Œil du Faucon</v>
      </c>
      <c r="AV80" s="20" t="s">
        <v>340</v>
      </c>
      <c r="AW80" s="39" t="str">
        <f aca="false">B80&amp;IF(G80="Oui","|B","|N")</f>
        <v>85|N</v>
      </c>
      <c r="AX80" s="40" t="n">
        <f aca="false">(Paramètres!$B$5+(1-Paramètres!$B$5)*((K80-Paramètres!$B$7)/(Paramètres!$B$8-Paramètres!$B$7))^Paramètres!$B$6)</f>
        <v>0.830003434629468</v>
      </c>
      <c r="AY80" s="39" t="n">
        <f aca="false">MATCH(I80,Rôles!$A$5:$A$13,0)</f>
        <v>6</v>
      </c>
      <c r="AZ80" s="39" t="n">
        <f aca="false">MATCH(H80,Rôles!$A$18:$A$22,0)</f>
        <v>1</v>
      </c>
    </row>
    <row r="81" customFormat="false" ht="15.75" hidden="false" customHeight="true" outlineLevel="0" collapsed="false">
      <c r="A81" s="20" t="s">
        <v>341</v>
      </c>
      <c r="B81" s="21" t="n">
        <v>85</v>
      </c>
      <c r="C81" s="22" t="str">
        <f aca="false" t="array" ref="C81:C81">INDEX(Zones!$B$6:$B$35,MATCH(B81,Zones!$A$6:$A$35,0))</f>
        <v>Ciel</v>
      </c>
      <c r="D81" s="23" t="str">
        <f aca="false" t="array" ref="D81:D81">INDEX(Éléments!$B$5:$B$14,MATCH(B81,Éléments!$C$5:$C$14,1))</f>
        <v>Palais céleste</v>
      </c>
      <c r="E81" s="48" t="str">
        <f aca="false" t="array" ref="E81:E81">INDEX(Éléments!$A$5:$A$14,MATCH(B81,Éléments!$C$5:$C$14,1))</f>
        <v>Lumière</v>
      </c>
      <c r="F81" s="25" t="s">
        <v>342</v>
      </c>
      <c r="G81" s="23" t="str">
        <f aca="false">IF(OR(H81="Boss",H81="Dragon"),"Oui","Non")</f>
        <v>Non</v>
      </c>
      <c r="H81" s="26" t="s">
        <v>138</v>
      </c>
      <c r="I81" s="26" t="s">
        <v>160</v>
      </c>
      <c r="J81" s="26" t="s">
        <v>157</v>
      </c>
      <c r="K81" s="27" t="n">
        <f aca="false">IF($F$3="",B81,$F$3)</f>
        <v>85</v>
      </c>
      <c r="L81" s="28" t="n">
        <f aca="false" t="array" ref="L81:L81">ROUND(Paramètres!$B$16*(Paramètres!$B$5+(1-Paramètres!$B$5)*((K81-Paramètres!$B$7)/(Paramètres!$B$8-Paramètres!$B$7))^Paramètres!$B$6)*INDEX(Rôles!$B$18:$B$22,AZ81)*INDEX(Rôles!$B$5:$B$13,AY81),0)</f>
        <v>1503</v>
      </c>
      <c r="M81" s="29" t="n">
        <f aca="false" t="array" ref="M81:M81">ROUND(IF(J81="Physique",1,IF(J81="Mixte",Paramètres!$B$32,0))*Paramètres!$B$12*(Paramètres!$B$5+(1-Paramètres!$B$5)*((K81-Paramètres!$B$7)/(Paramètres!$B$8-Paramètres!$B$7))^Paramètres!$B$6)*INDEX(Rôles!$C$18:$C$22,AZ81)*INDEX(Rôles!$C$5:$C$13,AY81)/(Paramètres!$B$35*(1-Paramètres!$B$36)),0)</f>
        <v>213</v>
      </c>
      <c r="N81" s="29" t="n">
        <f aca="false" t="array" ref="N81:N81">ROUND(IF(J81="Magique",1,IF(J81="Mixte",Paramètres!$B$32,0))*Paramètres!$B$12*(Paramètres!$B$5+(1-Paramètres!$B$5)*((K81-Paramètres!$B$7)/(Paramètres!$B$8-Paramètres!$B$7))^Paramètres!$B$6)*INDEX(Rôles!$C$18:$C$22,AZ81)*INDEX(Rôles!$C$5:$C$13,AY81)/(Paramètres!$B$35*(1-Paramètres!$B$36)),0)</f>
        <v>213</v>
      </c>
      <c r="O81" s="29" t="n">
        <f aca="false" t="array" ref="O81:O81">ROUND(Paramètres!$B$18*(Paramètres!$B$5+(1-Paramètres!$B$5)*((K81-Paramètres!$B$7)/(Paramètres!$B$8-Paramètres!$B$7))^Paramètres!$B$6)*INDEX(Rôles!$D$5:$D$13,AY81)*INDEX(Rôles!$D$18:$D$22,AZ81),0)</f>
        <v>374</v>
      </c>
      <c r="P81" s="29" t="n">
        <f aca="false" t="array" ref="P81:P81">ROUND(Paramètres!$B$19*(Paramètres!$B$5+(1-Paramètres!$B$5)*((K81-Paramètres!$B$7)/(Paramètres!$B$8-Paramètres!$B$7))^Paramètres!$B$6)*INDEX(Rôles!$E$5:$E$13,AY81)*INDEX(Rôles!$D$18:$D$22,AZ81),0)</f>
        <v>398</v>
      </c>
      <c r="Q81" s="29" t="n">
        <f aca="false" t="array" ref="Q81:Q81">ROUND(Paramètres!$B$20*(Paramètres!$B$5+(1-Paramètres!$B$5)*((K81-Paramètres!$B$7)/(Paramètres!$B$8-Paramètres!$B$7))^Paramètres!$B$6)*INDEX(Rôles!$F$5:$F$13,AY81),0)</f>
        <v>90</v>
      </c>
      <c r="R81" s="29" t="n">
        <f aca="false">ROUND(Paramètres!$B$64*$AX81*INDEX(Rôles!$N$5:$N$13,$AY81)*INDEX(Rôles!$I$18:$I$22,$AZ81),0)</f>
        <v>79</v>
      </c>
      <c r="S81" s="30" t="n">
        <f aca="false" t="array" ref="S81:S81">MIN(1,ROUND(Paramètres!$B$21*INDEX(Rôles!$G$5:$G$13,AY81),3))</f>
        <v>0.9</v>
      </c>
      <c r="T81" s="30" t="n">
        <f aca="false" t="array" ref="T81:T81">MIN(Paramètres!$B$28,ROUND(Paramètres!$B$22*INDEX(Rôles!$H$5:$H$13,AY81),3))</f>
        <v>0.05</v>
      </c>
      <c r="U81" s="30" t="n">
        <f aca="false" t="array" ref="U81:U81">ROUND(Paramètres!$B$23*INDEX(Rôles!$I$5:$I$13,AY81),3)</f>
        <v>0.5</v>
      </c>
      <c r="V81" s="30" t="n">
        <f aca="false" t="array" ref="V81:V81">MIN(Paramètres!$B$29,ROUND(Paramètres!$B$24*INDEX(Rôles!$J$5:$J$13,AY81),3))</f>
        <v>0.05</v>
      </c>
      <c r="W81" s="30" t="n">
        <f aca="false" t="array" ref="W81:W81">MIN(Paramètres!$B$27,ROUND((Paramètres!$B$25+(Paramètres!$B$26-Paramètres!$B$25)*(K81-Paramètres!$B$7)/(Paramètres!$B$8-Paramètres!$B$7))*INDEX(Rôles!$K$5:$K$13,AY81)+INDEX(Rôles!$G$18:$G$22,AZ81),3))</f>
        <v>0.262</v>
      </c>
      <c r="X81" s="30" t="n">
        <f aca="false">ROUND(1-(1-P81/(P81+(Paramètres!$B$19*(Paramètres!$B$5+(1-Paramètres!$B$5)*((K81-Paramètres!$B$7)/(Paramètres!$B$8-Paramètres!$B$7))^Paramètres!$B$6)*(1-Paramètres!$B$30)/Paramètres!$B$30)))*(1-O81/(O81+(Paramètres!$B$18*(Paramètres!$B$5+(1-Paramètres!$B$5)*((K81-Paramètres!$B$7)/(Paramètres!$B$8-Paramètres!$B$7))^Paramètres!$B$6)*(1-Paramètres!$B$31)/Paramètres!$B$31))),3)</f>
        <v>0.346</v>
      </c>
      <c r="Y81" s="30" t="n">
        <f aca="false">ROUND(O81/(O81+(Paramètres!$B$18*(Paramètres!$B$5+(1-Paramètres!$B$5)*((K81-Paramètres!$B$7)/(Paramètres!$B$8-Paramètres!$B$7))^Paramètres!$B$6)*(1-Paramètres!$B$31)/Paramètres!$B$31)),3)</f>
        <v>0.15</v>
      </c>
      <c r="Z81" s="31" t="n">
        <f aca="false" t="array" ref="Z81:Z81">IF(E81="Neutre",0,MIN(1,INDEX(Rôles!$L$5:$L$13,AY81)+INDEX(Rôles!$F$18:$F$22,AZ81)))</f>
        <v>0.5</v>
      </c>
      <c r="AA81" s="32" t="n">
        <f aca="false" t="array" ref="AA81:AA81">ROUND(INDEX(Rôles!$C$18:$C$22,AZ81)*INDEX(Rôles!$C$5:$C$13,AY81),4)</f>
        <v>0.015</v>
      </c>
      <c r="AB81" s="33" t="n">
        <f aca="false" t="array" ref="AB81:AB81">ROUND(INDEX(Rôles!$B$18:$B$22,AZ81)*INDEX(Rôles!$B$5:$B$13,AY81),2)</f>
        <v>2.3</v>
      </c>
      <c r="AC81" s="33" t="n">
        <f aca="false" t="array" ref="AC81:AC81">INDEX(Rôles!$E$18:$E$22,AZ81)</f>
        <v>1</v>
      </c>
      <c r="AD81" s="23" t="str">
        <f aca="false" t="array" ref="AD81:AD81">INDEX(Éléments!$F$5:$F$14,MATCH(E81,Éléments!$A$5:$A$14,0))</f>
        <v>Ombre</v>
      </c>
      <c r="AE81" s="23" t="str">
        <f aca="false" t="array" ref="AE81:AE81">INDEX(Éléments!$G$5:$G$14,MATCH(E81,Éléments!$A$5:$A$14,0))</f>
        <v>Acide</v>
      </c>
      <c r="AF81" s="34" t="s">
        <v>325</v>
      </c>
      <c r="AG81" s="35" t="n">
        <v>0.3</v>
      </c>
      <c r="AH81" s="34" t="s">
        <v>337</v>
      </c>
      <c r="AI81" s="35" t="n">
        <v>0.2</v>
      </c>
      <c r="AJ81" s="29" t="n">
        <f aca="false" t="array" ref="AJ81:AJ81">ROUND(ROUND(Paramètres!$B$49*K81^Paramètres!$B$50,0)*INDEX(Rôles!$E$18:$E$22,AZ81),0)</f>
        <v>1549</v>
      </c>
      <c r="AK81" s="29" t="n">
        <f aca="false" t="array" ref="AK81:AK81">ROUND(ROUND(Paramètres!$B$53*K81^Paramètres!$B$54,0)*INDEX(Rôles!$E$18:$E$22,AZ81),0)</f>
        <v>1207</v>
      </c>
      <c r="AL81" s="36" t="n">
        <f aca="false">INDEX(Butin!$B$7:$B$11,AZ81)</f>
        <v>0.05</v>
      </c>
      <c r="AM81" s="37" t="n">
        <f aca="false">INDEX(Butin!$E$7:$E$11,AZ81)</f>
        <v>0.05</v>
      </c>
      <c r="AN81" s="30" t="n">
        <f aca="false">IF($H81="Boss",INDEX(Butin!$E$28:$K$37,MATCH($B81,Éléments!$C$5:$C$14,1),1),IF($H81="Dragon",INDEX(Butin!$E$41:$K$50,MATCH($B81,Éléments!$C$5:$C$14,1),1),INDEX(Butin!$E$15:$K$24,MATCH($B81,Éléments!$C$5:$C$14,1),1)))</f>
        <v>0.12</v>
      </c>
      <c r="AO81" s="30" t="n">
        <f aca="false">IF($H81="Boss",INDEX(Butin!$E$28:$K$37,MATCH($B81,Éléments!$C$5:$C$14,1),2),IF($H81="Dragon",INDEX(Butin!$E$41:$K$50,MATCH($B81,Éléments!$C$5:$C$14,1),2),INDEX(Butin!$E$15:$K$24,MATCH($B81,Éléments!$C$5:$C$14,1),2)))</f>
        <v>0.22</v>
      </c>
      <c r="AP81" s="30" t="n">
        <f aca="false">IF($H81="Boss",INDEX(Butin!$E$28:$K$37,MATCH($B81,Éléments!$C$5:$C$14,1),3),IF($H81="Dragon",INDEX(Butin!$E$41:$K$50,MATCH($B81,Éléments!$C$5:$C$14,1),3),INDEX(Butin!$E$15:$K$24,MATCH($B81,Éléments!$C$5:$C$14,1),3)))</f>
        <v>0.28</v>
      </c>
      <c r="AQ81" s="30" t="n">
        <f aca="false">IF($H81="Boss",INDEX(Butin!$E$28:$K$37,MATCH($B81,Éléments!$C$5:$C$14,1),4),IF($H81="Dragon",INDEX(Butin!$E$41:$K$50,MATCH($B81,Éléments!$C$5:$C$14,1),4),INDEX(Butin!$E$15:$K$24,MATCH($B81,Éléments!$C$5:$C$14,1),4)))</f>
        <v>0.22</v>
      </c>
      <c r="AR81" s="30" t="n">
        <f aca="false">IF($H81="Boss",INDEX(Butin!$E$28:$K$37,MATCH($B81,Éléments!$C$5:$C$14,1),5),IF($H81="Dragon",INDEX(Butin!$E$41:$K$50,MATCH($B81,Éléments!$C$5:$C$14,1),5),INDEX(Butin!$E$15:$K$24,MATCH($B81,Éléments!$C$5:$C$14,1),5)))</f>
        <v>0.116</v>
      </c>
      <c r="AS81" s="30" t="n">
        <f aca="false">IF($H81="Boss",INDEX(Butin!$E$28:$K$37,MATCH($B81,Éléments!$C$5:$C$14,1),6),IF($H81="Dragon",INDEX(Butin!$E$41:$K$50,MATCH($B81,Éléments!$C$5:$C$14,1),6),INDEX(Butin!$E$15:$K$24,MATCH($B81,Éléments!$C$5:$C$14,1),6)))</f>
        <v>0.039</v>
      </c>
      <c r="AT81" s="30" t="n">
        <f aca="false">IF($H81="Boss",INDEX(Butin!$E$28:$K$37,MATCH($B81,Éléments!$C$5:$C$14,1),7),IF($H81="Dragon",INDEX(Butin!$E$41:$K$50,MATCH($B81,Éléments!$C$5:$C$14,1),7),INDEX(Butin!$E$15:$K$24,MATCH($B81,Éléments!$C$5:$C$14,1),7)))</f>
        <v>0.005</v>
      </c>
      <c r="AU81" s="38" t="str">
        <f aca="false">IF(AT81=0,"—",INDEX(Butin!$D$54:$D$63,MATCH($B81,Éléments!$C$5:$C$14,1))&amp;" · "&amp;INDEX(Butin!$F$54:$F$63,MATCH($B81,Éléments!$C$5:$C$14,1))&amp;" · "&amp;INDEX(Butin!$H$54:$H$63,MATCH($B81,Éléments!$C$5:$C$14,1)))</f>
        <v>Rempart de l'Aube Éternelle · Orbe de l'Éclipse · Capuche de l'Œil du Faucon</v>
      </c>
      <c r="AV81" s="20" t="s">
        <v>343</v>
      </c>
      <c r="AW81" s="39" t="str">
        <f aca="false">B81&amp;IF(G81="Oui","|B","|N")</f>
        <v>85|N</v>
      </c>
      <c r="AX81" s="40" t="n">
        <f aca="false">(Paramètres!$B$5+(1-Paramètres!$B$5)*((K81-Paramètres!$B$7)/(Paramètres!$B$8-Paramètres!$B$7))^Paramètres!$B$6)</f>
        <v>0.830003434629468</v>
      </c>
      <c r="AY81" s="39" t="n">
        <f aca="false">MATCH(I81,Rôles!$A$5:$A$13,0)</f>
        <v>3</v>
      </c>
      <c r="AZ81" s="39" t="n">
        <f aca="false">MATCH(H81,Rôles!$A$18:$A$22,0)</f>
        <v>2</v>
      </c>
    </row>
    <row r="82" customFormat="false" ht="15.75" hidden="false" customHeight="true" outlineLevel="0" collapsed="false">
      <c r="A82" s="20" t="s">
        <v>344</v>
      </c>
      <c r="B82" s="21" t="n">
        <v>89</v>
      </c>
      <c r="C82" s="22" t="str">
        <f aca="false" t="array" ref="C82:C82">INDEX(Zones!$B$6:$B$35,MATCH(B82,Zones!$A$6:$A$35,0))</f>
        <v>Tannière du dragon (89)</v>
      </c>
      <c r="D82" s="23" t="str">
        <f aca="false" t="array" ref="D82:D82">INDEX(Éléments!$B$5:$B$14,MATCH(B82,Éléments!$C$5:$C$14,1))</f>
        <v>Palais céleste</v>
      </c>
      <c r="E82" s="48" t="str">
        <f aca="false" t="array" ref="E82:E82">INDEX(Éléments!$A$5:$A$14,MATCH(B82,Éléments!$C$5:$C$14,1))</f>
        <v>Lumière</v>
      </c>
      <c r="F82" s="25" t="s">
        <v>345</v>
      </c>
      <c r="G82" s="23" t="str">
        <f aca="false">IF(OR(H82="Boss",H82="Dragon"),"Oui","Non")</f>
        <v>Oui</v>
      </c>
      <c r="H82" s="26" t="s">
        <v>156</v>
      </c>
      <c r="I82" s="26" t="s">
        <v>156</v>
      </c>
      <c r="J82" s="26" t="s">
        <v>157</v>
      </c>
      <c r="K82" s="27" t="n">
        <f aca="false">IF($F$3="",B82,$F$3)</f>
        <v>89</v>
      </c>
      <c r="L82" s="28" t="n">
        <f aca="false" t="array" ref="L82:L82">ROUND(Paramètres!$B$16*(Paramètres!$B$5+(1-Paramètres!$B$5)*((K82-Paramètres!$B$7)/(Paramètres!$B$8-Paramètres!$B$7))^Paramètres!$B$6)*INDEX(Rôles!$B$18:$B$22,AZ82)*INDEX(Rôles!$B$5:$B$13,AY82),0)</f>
        <v>13778</v>
      </c>
      <c r="M82" s="29" t="n">
        <f aca="false" t="array" ref="M82:M82">ROUND(IF(J82="Physique",1,IF(J82="Mixte",Paramètres!$B$32,0))*Paramètres!$B$12*(Paramètres!$B$5+(1-Paramètres!$B$5)*((K82-Paramètres!$B$7)/(Paramètres!$B$8-Paramètres!$B$7))^Paramètres!$B$6)*INDEX(Rôles!$C$18:$C$22,AZ82)*INDEX(Rôles!$C$5:$C$13,AY82)/(Paramètres!$B$35*(1-Paramètres!$B$36)),0)</f>
        <v>450</v>
      </c>
      <c r="N82" s="29" t="n">
        <f aca="false" t="array" ref="N82:N82">ROUND(IF(J82="Magique",1,IF(J82="Mixte",Paramètres!$B$32,0))*Paramètres!$B$12*(Paramètres!$B$5+(1-Paramètres!$B$5)*((K82-Paramètres!$B$7)/(Paramètres!$B$8-Paramètres!$B$7))^Paramètres!$B$6)*INDEX(Rôles!$C$18:$C$22,AZ82)*INDEX(Rôles!$C$5:$C$13,AY82)/(Paramètres!$B$35*(1-Paramètres!$B$36)),0)</f>
        <v>450</v>
      </c>
      <c r="O82" s="29" t="n">
        <f aca="false" t="array" ref="O82:O82">ROUND(Paramètres!$B$18*(Paramètres!$B$5+(1-Paramètres!$B$5)*((K82-Paramètres!$B$7)/(Paramètres!$B$8-Paramètres!$B$7))^Paramètres!$B$6)*INDEX(Rôles!$D$5:$D$13,AY82)*INDEX(Rôles!$D$18:$D$22,AZ82),0)</f>
        <v>665</v>
      </c>
      <c r="P82" s="29" t="n">
        <f aca="false" t="array" ref="P82:P82">ROUND(Paramètres!$B$19*(Paramètres!$B$5+(1-Paramètres!$B$5)*((K82-Paramètres!$B$7)/(Paramètres!$B$8-Paramètres!$B$7))^Paramètres!$B$6)*INDEX(Rôles!$E$5:$E$13,AY82)*INDEX(Rôles!$D$18:$D$22,AZ82),0)</f>
        <v>637</v>
      </c>
      <c r="Q82" s="29" t="n">
        <f aca="false" t="array" ref="Q82:Q82">ROUND(Paramètres!$B$20*(Paramètres!$B$5+(1-Paramètres!$B$5)*((K82-Paramètres!$B$7)/(Paramètres!$B$8-Paramètres!$B$7))^Paramètres!$B$6)*INDEX(Rôles!$F$5:$F$13,AY82),0)</f>
        <v>84</v>
      </c>
      <c r="R82" s="29" t="n">
        <f aca="false">ROUND(Paramètres!$B$64*$AX82*INDEX(Rôles!$N$5:$N$13,$AY82)*INDEX(Rôles!$I$18:$I$22,$AZ82),0)</f>
        <v>70</v>
      </c>
      <c r="S82" s="30" t="n">
        <f aca="false" t="array" ref="S82:S82">MIN(1,ROUND(Paramètres!$B$21*INDEX(Rôles!$G$5:$G$13,AY82),3))</f>
        <v>0.9</v>
      </c>
      <c r="T82" s="30" t="n">
        <f aca="false" t="array" ref="T82:T82">MIN(Paramètres!$B$28,ROUND(Paramètres!$B$22*INDEX(Rôles!$H$5:$H$13,AY82),3))</f>
        <v>0.05</v>
      </c>
      <c r="U82" s="30" t="n">
        <f aca="false" t="array" ref="U82:U82">ROUND(Paramètres!$B$23*INDEX(Rôles!$I$5:$I$13,AY82),3)</f>
        <v>0.5</v>
      </c>
      <c r="V82" s="30" t="n">
        <f aca="false" t="array" ref="V82:V82">MIN(Paramètres!$B$29,ROUND(Paramètres!$B$24*INDEX(Rôles!$J$5:$J$13,AY82),3))</f>
        <v>0.05</v>
      </c>
      <c r="W82" s="30" t="n">
        <f aca="false" t="array" ref="W82:W82">MIN(Paramètres!$B$27,ROUND((Paramètres!$B$25+(Paramètres!$B$26-Paramètres!$B$25)*(K82-Paramètres!$B$7)/(Paramètres!$B$8-Paramètres!$B$7))*INDEX(Rôles!$K$5:$K$13,AY82)+INDEX(Rôles!$G$18:$G$22,AZ82),3))</f>
        <v>0.554</v>
      </c>
      <c r="X82" s="30" t="n">
        <f aca="false">ROUND(1-(1-P82/(P82+(Paramètres!$B$19*(Paramètres!$B$5+(1-Paramètres!$B$5)*((K82-Paramètres!$B$7)/(Paramètres!$B$8-Paramètres!$B$7))^Paramètres!$B$6)*(1-Paramètres!$B$30)/Paramètres!$B$30)))*(1-O82/(O82+(Paramètres!$B$18*(Paramètres!$B$5+(1-Paramètres!$B$5)*((K82-Paramètres!$B$7)/(Paramètres!$B$8-Paramètres!$B$7))^Paramètres!$B$6)*(1-Paramètres!$B$31)/Paramètres!$B$31))),3)</f>
        <v>0.471</v>
      </c>
      <c r="Y82" s="30" t="n">
        <f aca="false">ROUND(O82/(O82+(Paramètres!$B$18*(Paramètres!$B$5+(1-Paramètres!$B$5)*((K82-Paramètres!$B$7)/(Paramètres!$B$8-Paramètres!$B$7))^Paramètres!$B$6)*(1-Paramètres!$B$31)/Paramètres!$B$31)),3)</f>
        <v>0.23</v>
      </c>
      <c r="Z82" s="31" t="n">
        <f aca="false" t="array" ref="Z82:Z82">IF(E82="Neutre",0,MIN(1,INDEX(Rôles!$L$5:$L$13,AY82)+INDEX(Rôles!$F$18:$F$22,AZ82)))</f>
        <v>1</v>
      </c>
      <c r="AA82" s="32" t="n">
        <f aca="false" t="array" ref="AA82:AA82">ROUND(INDEX(Rôles!$C$18:$C$22,AZ82)*INDEX(Rôles!$C$5:$C$13,AY82),4)</f>
        <v>0.03</v>
      </c>
      <c r="AB82" s="33" t="n">
        <f aca="false" t="array" ref="AB82:AB82">ROUND(INDEX(Rôles!$B$18:$B$22,AZ82)*INDEX(Rôles!$B$5:$B$13,AY82),2)</f>
        <v>20</v>
      </c>
      <c r="AC82" s="33" t="n">
        <f aca="false" t="array" ref="AC82:AC82">INDEX(Rôles!$E$18:$E$22,AZ82)</f>
        <v>12</v>
      </c>
      <c r="AD82" s="23" t="str">
        <f aca="false" t="array" ref="AD82:AD82">INDEX(Éléments!$F$5:$F$14,MATCH(E82,Éléments!$A$5:$A$14,0))</f>
        <v>Ombre</v>
      </c>
      <c r="AE82" s="23" t="str">
        <f aca="false" t="array" ref="AE82:AE82">INDEX(Éléments!$G$5:$G$14,MATCH(E82,Éléments!$A$5:$A$14,0))</f>
        <v>Acide</v>
      </c>
      <c r="AF82" s="34" t="s">
        <v>325</v>
      </c>
      <c r="AG82" s="35" t="n">
        <v>0.4</v>
      </c>
      <c r="AH82" s="34" t="s">
        <v>337</v>
      </c>
      <c r="AI82" s="35" t="n">
        <v>0.25</v>
      </c>
      <c r="AJ82" s="29" t="n">
        <f aca="false" t="array" ref="AJ82:AJ82">ROUND(ROUND(Paramètres!$B$49*K82^Paramètres!$B$50,0)*INDEX(Rôles!$E$18:$E$22,AZ82),0)</f>
        <v>19680</v>
      </c>
      <c r="AK82" s="29" t="n">
        <f aca="false" t="array" ref="AK82:AK82">ROUND(ROUND(Paramètres!$B$53*K82^Paramètres!$B$54,0)*INDEX(Rôles!$E$18:$E$22,AZ82),0)</f>
        <v>15420</v>
      </c>
      <c r="AL82" s="36" t="n">
        <f aca="false">INDEX(Butin!$B$7:$B$11,AZ82)</f>
        <v>1</v>
      </c>
      <c r="AM82" s="37" t="n">
        <f aca="false">INDEX(Butin!$E$7:$E$11,AZ82)</f>
        <v>2.5</v>
      </c>
      <c r="AN82" s="30" t="n">
        <f aca="false">IF($H82="Boss",INDEX(Butin!$E$28:$K$37,MATCH($B82,Éléments!$C$5:$C$14,1),1),IF($H82="Dragon",INDEX(Butin!$E$41:$K$50,MATCH($B82,Éléments!$C$5:$C$14,1),1),INDEX(Butin!$E$15:$K$24,MATCH($B82,Éléments!$C$5:$C$14,1),1)))</f>
        <v>0</v>
      </c>
      <c r="AO82" s="30" t="n">
        <f aca="false">IF($H82="Boss",INDEX(Butin!$E$28:$K$37,MATCH($B82,Éléments!$C$5:$C$14,1),2),IF($H82="Dragon",INDEX(Butin!$E$41:$K$50,MATCH($B82,Éléments!$C$5:$C$14,1),2),INDEX(Butin!$E$15:$K$24,MATCH($B82,Éléments!$C$5:$C$14,1),2)))</f>
        <v>0.05</v>
      </c>
      <c r="AP82" s="30" t="n">
        <f aca="false">IF($H82="Boss",INDEX(Butin!$E$28:$K$37,MATCH($B82,Éléments!$C$5:$C$14,1),3),IF($H82="Dragon",INDEX(Butin!$E$41:$K$50,MATCH($B82,Éléments!$C$5:$C$14,1),3),INDEX(Butin!$E$15:$K$24,MATCH($B82,Éléments!$C$5:$C$14,1),3)))</f>
        <v>0.15</v>
      </c>
      <c r="AQ82" s="30" t="n">
        <f aca="false">IF($H82="Boss",INDEX(Butin!$E$28:$K$37,MATCH($B82,Éléments!$C$5:$C$14,1),4),IF($H82="Dragon",INDEX(Butin!$E$41:$K$50,MATCH($B82,Éléments!$C$5:$C$14,1),4),INDEX(Butin!$E$15:$K$24,MATCH($B82,Éléments!$C$5:$C$14,1),4)))</f>
        <v>0.32</v>
      </c>
      <c r="AR82" s="30" t="n">
        <f aca="false">IF($H82="Boss",INDEX(Butin!$E$28:$K$37,MATCH($B82,Éléments!$C$5:$C$14,1),5),IF($H82="Dragon",INDEX(Butin!$E$41:$K$50,MATCH($B82,Éléments!$C$5:$C$14,1),5),INDEX(Butin!$E$15:$K$24,MATCH($B82,Éléments!$C$5:$C$14,1),5)))</f>
        <v>0.28</v>
      </c>
      <c r="AS82" s="30" t="n">
        <f aca="false">IF($H82="Boss",INDEX(Butin!$E$28:$K$37,MATCH($B82,Éléments!$C$5:$C$14,1),6),IF($H82="Dragon",INDEX(Butin!$E$41:$K$50,MATCH($B82,Éléments!$C$5:$C$14,1),6),INDEX(Butin!$E$15:$K$24,MATCH($B82,Éléments!$C$5:$C$14,1),6)))</f>
        <v>0.11</v>
      </c>
      <c r="AT82" s="30" t="n">
        <f aca="false">IF($H82="Boss",INDEX(Butin!$E$28:$K$37,MATCH($B82,Éléments!$C$5:$C$14,1),7),IF($H82="Dragon",INDEX(Butin!$E$41:$K$50,MATCH($B82,Éléments!$C$5:$C$14,1),7),INDEX(Butin!$E$15:$K$24,MATCH($B82,Éléments!$C$5:$C$14,1),7)))</f>
        <v>0.09</v>
      </c>
      <c r="AU82" s="38" t="str">
        <f aca="false">IF(AT82=0,"—",INDEX(Butin!$D$54:$D$63,MATCH($B82,Éléments!$C$5:$C$14,1))&amp;" · "&amp;INDEX(Butin!$F$54:$F$63,MATCH($B82,Éléments!$C$5:$C$14,1))&amp;" · "&amp;INDEX(Butin!$H$54:$H$63,MATCH($B82,Éléments!$C$5:$C$14,1)))</f>
        <v>Rempart de l'Aube Éternelle · Orbe de l'Éclipse · Capuche de l'Œil du Faucon</v>
      </c>
      <c r="AV82" s="20" t="s">
        <v>345</v>
      </c>
      <c r="AW82" s="39" t="str">
        <f aca="false">B82&amp;IF(G82="Oui","|B","|N")</f>
        <v>89|B</v>
      </c>
      <c r="AX82" s="40" t="n">
        <f aca="false">(Paramètres!$B$5+(1-Paramètres!$B$5)*((K82-Paramètres!$B$7)/(Paramètres!$B$8-Paramètres!$B$7))^Paramètres!$B$6)</f>
        <v>0.874784666371658</v>
      </c>
      <c r="AY82" s="39" t="n">
        <f aca="false">MATCH(I82,Rôles!$A$5:$A$13,0)</f>
        <v>9</v>
      </c>
      <c r="AZ82" s="39" t="n">
        <f aca="false">MATCH(H82,Rôles!$A$18:$A$22,0)</f>
        <v>5</v>
      </c>
    </row>
    <row r="83" customFormat="false" ht="15.75" hidden="false" customHeight="true" outlineLevel="0" collapsed="false">
      <c r="A83" s="20" t="s">
        <v>346</v>
      </c>
      <c r="B83" s="21" t="n">
        <v>90</v>
      </c>
      <c r="C83" s="22" t="str">
        <f aca="false" t="array" ref="C83:C83">INDEX(Zones!$B$6:$B$35,MATCH(B83,Zones!$A$6:$A$35,0))</f>
        <v>Paradis(90)</v>
      </c>
      <c r="D83" s="23" t="str">
        <f aca="false" t="array" ref="D83:D83">INDEX(Éléments!$B$5:$B$14,MATCH(B83,Éléments!$C$5:$C$14,1))</f>
        <v>Palais céleste</v>
      </c>
      <c r="E83" s="48" t="str">
        <f aca="false" t="array" ref="E83:E83">INDEX(Éléments!$A$5:$A$14,MATCH(B83,Éléments!$C$5:$C$14,1))</f>
        <v>Lumière</v>
      </c>
      <c r="F83" s="25" t="s">
        <v>347</v>
      </c>
      <c r="G83" s="23" t="str">
        <f aca="false">IF(OR(H83="Boss",H83="Dragon"),"Oui","Non")</f>
        <v>Oui</v>
      </c>
      <c r="H83" s="26" t="s">
        <v>152</v>
      </c>
      <c r="I83" s="26" t="s">
        <v>160</v>
      </c>
      <c r="J83" s="26" t="s">
        <v>157</v>
      </c>
      <c r="K83" s="27" t="n">
        <f aca="false">IF($F$3="",B83,$F$3)</f>
        <v>90</v>
      </c>
      <c r="L83" s="28" t="n">
        <f aca="false" t="array" ref="L83:L83">ROUND(Paramètres!$B$16*(Paramètres!$B$5+(1-Paramètres!$B$5)*((K83-Paramètres!$B$7)/(Paramètres!$B$8-Paramètres!$B$7))^Paramètres!$B$6)*INDEX(Rôles!$B$18:$B$22,AZ83)*INDEX(Rôles!$B$5:$B$13,AY83),0)</f>
        <v>9629</v>
      </c>
      <c r="M83" s="29" t="n">
        <f aca="false" t="array" ref="M83:M83">ROUND(IF(J83="Physique",1,IF(J83="Mixte",Paramètres!$B$32,0))*Paramètres!$B$12*(Paramètres!$B$5+(1-Paramètres!$B$5)*((K83-Paramètres!$B$7)/(Paramètres!$B$8-Paramètres!$B$7))^Paramètres!$B$6)*INDEX(Rôles!$C$18:$C$22,AZ83)*INDEX(Rôles!$C$5:$C$13,AY83)/(Paramètres!$B$35*(1-Paramètres!$B$36)),0)</f>
        <v>456</v>
      </c>
      <c r="N83" s="29" t="n">
        <f aca="false" t="array" ref="N83:N83">ROUND(IF(J83="Magique",1,IF(J83="Mixte",Paramètres!$B$32,0))*Paramètres!$B$12*(Paramètres!$B$5+(1-Paramètres!$B$5)*((K83-Paramètres!$B$7)/(Paramètres!$B$8-Paramètres!$B$7))^Paramètres!$B$6)*INDEX(Rôles!$C$18:$C$22,AZ83)*INDEX(Rôles!$C$5:$C$13,AY83)/(Paramètres!$B$35*(1-Paramètres!$B$36)),0)</f>
        <v>456</v>
      </c>
      <c r="O83" s="29" t="n">
        <f aca="false" t="array" ref="O83:O83">ROUND(Paramètres!$B$18*(Paramètres!$B$5+(1-Paramètres!$B$5)*((K83-Paramètres!$B$7)/(Paramètres!$B$8-Paramètres!$B$7))^Paramètres!$B$6)*INDEX(Rôles!$D$5:$D$13,AY83)*INDEX(Rôles!$D$18:$D$22,AZ83),0)</f>
        <v>518</v>
      </c>
      <c r="P83" s="29" t="n">
        <f aca="false" t="array" ref="P83:P83">ROUND(Paramètres!$B$19*(Paramètres!$B$5+(1-Paramètres!$B$5)*((K83-Paramètres!$B$7)/(Paramètres!$B$8-Paramètres!$B$7))^Paramètres!$B$6)*INDEX(Rôles!$E$5:$E$13,AY83)*INDEX(Rôles!$D$18:$D$22,AZ83),0)</f>
        <v>553</v>
      </c>
      <c r="Q83" s="29" t="n">
        <f aca="false" t="array" ref="Q83:Q83">ROUND(Paramètres!$B$20*(Paramètres!$B$5+(1-Paramètres!$B$5)*((K83-Paramètres!$B$7)/(Paramètres!$B$8-Paramètres!$B$7))^Paramètres!$B$6)*INDEX(Rôles!$F$5:$F$13,AY83),0)</f>
        <v>96</v>
      </c>
      <c r="R83" s="29" t="n">
        <f aca="false">ROUND(Paramètres!$B$64*$AX83*INDEX(Rôles!$N$5:$N$13,$AY83)*INDEX(Rôles!$I$18:$I$22,$AZ83),0)</f>
        <v>97</v>
      </c>
      <c r="S83" s="30" t="n">
        <f aca="false" t="array" ref="S83:S83">MIN(1,ROUND(Paramètres!$B$21*INDEX(Rôles!$G$5:$G$13,AY83),3))</f>
        <v>0.9</v>
      </c>
      <c r="T83" s="30" t="n">
        <f aca="false" t="array" ref="T83:T83">MIN(Paramètres!$B$28,ROUND(Paramètres!$B$22*INDEX(Rôles!$H$5:$H$13,AY83),3))</f>
        <v>0.05</v>
      </c>
      <c r="U83" s="30" t="n">
        <f aca="false" t="array" ref="U83:U83">ROUND(Paramètres!$B$23*INDEX(Rôles!$I$5:$I$13,AY83),3)</f>
        <v>0.5</v>
      </c>
      <c r="V83" s="30" t="n">
        <f aca="false" t="array" ref="V83:V83">MIN(Paramètres!$B$29,ROUND(Paramètres!$B$24*INDEX(Rôles!$J$5:$J$13,AY83),3))</f>
        <v>0.05</v>
      </c>
      <c r="W83" s="30" t="n">
        <f aca="false" t="array" ref="W83:W83">MIN(Paramètres!$B$27,ROUND((Paramètres!$B$25+(Paramètres!$B$26-Paramètres!$B$25)*(K83-Paramètres!$B$7)/(Paramètres!$B$8-Paramètres!$B$7))*INDEX(Rôles!$K$5:$K$13,AY83)+INDEX(Rôles!$G$18:$G$22,AZ83),3))</f>
        <v>0.475</v>
      </c>
      <c r="X83" s="30" t="n">
        <f aca="false">ROUND(1-(1-P83/(P83+(Paramètres!$B$19*(Paramètres!$B$5+(1-Paramètres!$B$5)*((K83-Paramètres!$B$7)/(Paramètres!$B$8-Paramètres!$B$7))^Paramètres!$B$6)*(1-Paramètres!$B$30)/Paramètres!$B$30)))*(1-O83/(O83+(Paramètres!$B$18*(Paramètres!$B$5+(1-Paramètres!$B$5)*((K83-Paramètres!$B$7)/(Paramètres!$B$8-Paramètres!$B$7))^Paramètres!$B$6)*(1-Paramètres!$B$31)/Paramètres!$B$31))),3)</f>
        <v>0.415</v>
      </c>
      <c r="Y83" s="30" t="n">
        <f aca="false">ROUND(O83/(O83+(Paramètres!$B$18*(Paramètres!$B$5+(1-Paramètres!$B$5)*((K83-Paramètres!$B$7)/(Paramètres!$B$8-Paramètres!$B$7))^Paramètres!$B$6)*(1-Paramètres!$B$31)/Paramètres!$B$31)),3)</f>
        <v>0.187</v>
      </c>
      <c r="Z83" s="31" t="n">
        <f aca="false" t="array" ref="Z83:Z83">IF(E83="Neutre",0,MIN(1,INDEX(Rôles!$L$5:$L$13,AY83)+INDEX(Rôles!$F$18:$F$22,AZ83)))</f>
        <v>0.7</v>
      </c>
      <c r="AA83" s="32" t="n">
        <f aca="false" t="array" ref="AA83:AA83">ROUND(INDEX(Rôles!$C$18:$C$22,AZ83)*INDEX(Rôles!$C$5:$C$13,AY83),4)</f>
        <v>0.03</v>
      </c>
      <c r="AB83" s="33" t="n">
        <f aca="false" t="array" ref="AB83:AB83">ROUND(INDEX(Rôles!$B$18:$B$22,AZ83)*INDEX(Rôles!$B$5:$B$13,AY83),2)</f>
        <v>13.8</v>
      </c>
      <c r="AC83" s="33" t="n">
        <f aca="false" t="array" ref="AC83:AC83">INDEX(Rôles!$E$18:$E$22,AZ83)</f>
        <v>8</v>
      </c>
      <c r="AD83" s="23" t="str">
        <f aca="false" t="array" ref="AD83:AD83">INDEX(Éléments!$F$5:$F$14,MATCH(E83,Éléments!$A$5:$A$14,0))</f>
        <v>Ombre</v>
      </c>
      <c r="AE83" s="23" t="str">
        <f aca="false" t="array" ref="AE83:AE83">INDEX(Éléments!$G$5:$G$14,MATCH(E83,Éléments!$A$5:$A$14,0))</f>
        <v>Acide</v>
      </c>
      <c r="AF83" s="34" t="s">
        <v>325</v>
      </c>
      <c r="AG83" s="35" t="n">
        <v>0.35</v>
      </c>
      <c r="AH83" s="34" t="s">
        <v>337</v>
      </c>
      <c r="AI83" s="35" t="n">
        <v>0.35</v>
      </c>
      <c r="AJ83" s="29" t="n">
        <f aca="false" t="array" ref="AJ83:AJ83">ROUND(ROUND(Paramètres!$B$49*K83^Paramètres!$B$50,0)*INDEX(Rôles!$E$18:$E$22,AZ83),0)</f>
        <v>13304</v>
      </c>
      <c r="AK83" s="29" t="n">
        <f aca="false" t="array" ref="AK83:AK83">ROUND(ROUND(Paramètres!$B$53*K83^Paramètres!$B$54,0)*INDEX(Rôles!$E$18:$E$22,AZ83),0)</f>
        <v>10432</v>
      </c>
      <c r="AL83" s="36" t="n">
        <f aca="false">INDEX(Butin!$B$7:$B$11,AZ83)</f>
        <v>1</v>
      </c>
      <c r="AM83" s="37" t="n">
        <f aca="false">INDEX(Butin!$E$7:$E$11,AZ83)</f>
        <v>1.4</v>
      </c>
      <c r="AN83" s="30" t="n">
        <f aca="false">IF($H83="Boss",INDEX(Butin!$E$28:$K$37,MATCH($B83,Éléments!$C$5:$C$14,1),1),IF($H83="Dragon",INDEX(Butin!$E$41:$K$50,MATCH($B83,Éléments!$C$5:$C$14,1),1),INDEX(Butin!$E$15:$K$24,MATCH($B83,Éléments!$C$5:$C$14,1),1)))</f>
        <v>0.01</v>
      </c>
      <c r="AO83" s="30" t="n">
        <f aca="false">IF($H83="Boss",INDEX(Butin!$E$28:$K$37,MATCH($B83,Éléments!$C$5:$C$14,1),2),IF($H83="Dragon",INDEX(Butin!$E$41:$K$50,MATCH($B83,Éléments!$C$5:$C$14,1),2),INDEX(Butin!$E$15:$K$24,MATCH($B83,Éléments!$C$5:$C$14,1),2)))</f>
        <v>0.08</v>
      </c>
      <c r="AP83" s="30" t="n">
        <f aca="false">IF($H83="Boss",INDEX(Butin!$E$28:$K$37,MATCH($B83,Éléments!$C$5:$C$14,1),3),IF($H83="Dragon",INDEX(Butin!$E$41:$K$50,MATCH($B83,Éléments!$C$5:$C$14,1),3),INDEX(Butin!$E$15:$K$24,MATCH($B83,Éléments!$C$5:$C$14,1),3)))</f>
        <v>0.21</v>
      </c>
      <c r="AQ83" s="30" t="n">
        <f aca="false">IF($H83="Boss",INDEX(Butin!$E$28:$K$37,MATCH($B83,Éléments!$C$5:$C$14,1),4),IF($H83="Dragon",INDEX(Butin!$E$41:$K$50,MATCH($B83,Éléments!$C$5:$C$14,1),4),INDEX(Butin!$E$15:$K$24,MATCH($B83,Éléments!$C$5:$C$14,1),4)))</f>
        <v>0.3</v>
      </c>
      <c r="AR83" s="30" t="n">
        <f aca="false">IF($H83="Boss",INDEX(Butin!$E$28:$K$37,MATCH($B83,Éléments!$C$5:$C$14,1),5),IF($H83="Dragon",INDEX(Butin!$E$41:$K$50,MATCH($B83,Éléments!$C$5:$C$14,1),5),INDEX(Butin!$E$15:$K$24,MATCH($B83,Éléments!$C$5:$C$14,1),5)))</f>
        <v>0.24</v>
      </c>
      <c r="AS83" s="30" t="n">
        <f aca="false">IF($H83="Boss",INDEX(Butin!$E$28:$K$37,MATCH($B83,Éléments!$C$5:$C$14,1),6),IF($H83="Dragon",INDEX(Butin!$E$41:$K$50,MATCH($B83,Éléments!$C$5:$C$14,1),6),INDEX(Butin!$E$15:$K$24,MATCH($B83,Éléments!$C$5:$C$14,1),6)))</f>
        <v>0.095</v>
      </c>
      <c r="AT83" s="30" t="n">
        <f aca="false">IF($H83="Boss",INDEX(Butin!$E$28:$K$37,MATCH($B83,Éléments!$C$5:$C$14,1),7),IF($H83="Dragon",INDEX(Butin!$E$41:$K$50,MATCH($B83,Éléments!$C$5:$C$14,1),7),INDEX(Butin!$E$15:$K$24,MATCH($B83,Éléments!$C$5:$C$14,1),7)))</f>
        <v>0.065</v>
      </c>
      <c r="AU83" s="38" t="str">
        <f aca="false">IF(AT83=0,"—",INDEX(Butin!$D$54:$D$63,MATCH($B83,Éléments!$C$5:$C$14,1))&amp;" · "&amp;INDEX(Butin!$F$54:$F$63,MATCH($B83,Éléments!$C$5:$C$14,1))&amp;" · "&amp;INDEX(Butin!$H$54:$H$63,MATCH($B83,Éléments!$C$5:$C$14,1)))</f>
        <v>Rempart de l'Aube Éternelle · Orbe de l'Éclipse · Capuche de l'Œil du Faucon</v>
      </c>
      <c r="AV83" s="20" t="s">
        <v>347</v>
      </c>
      <c r="AW83" s="39" t="str">
        <f aca="false">B83&amp;IF(G83="Oui","|B","|N")</f>
        <v>90|B</v>
      </c>
      <c r="AX83" s="40" t="n">
        <f aca="false">(Paramètres!$B$5+(1-Paramètres!$B$5)*((K83-Paramètres!$B$7)/(Paramètres!$B$8-Paramètres!$B$7))^Paramètres!$B$6)</f>
        <v>0.886044472225366</v>
      </c>
      <c r="AY83" s="39" t="n">
        <f aca="false">MATCH(I83,Rôles!$A$5:$A$13,0)</f>
        <v>3</v>
      </c>
      <c r="AZ83" s="39" t="n">
        <f aca="false">MATCH(H83,Rôles!$A$18:$A$22,0)</f>
        <v>4</v>
      </c>
    </row>
    <row r="84" customFormat="false" ht="15.75" hidden="false" customHeight="true" outlineLevel="0" collapsed="false">
      <c r="A84" s="20" t="s">
        <v>348</v>
      </c>
      <c r="B84" s="21" t="n">
        <v>90</v>
      </c>
      <c r="C84" s="22" t="str">
        <f aca="false" t="array" ref="C84:C84">INDEX(Zones!$B$6:$B$35,MATCH(B84,Zones!$A$6:$A$35,0))</f>
        <v>Paradis(90)</v>
      </c>
      <c r="D84" s="23" t="str">
        <f aca="false" t="array" ref="D84:D84">INDEX(Éléments!$B$5:$B$14,MATCH(B84,Éléments!$C$5:$C$14,1))</f>
        <v>Palais céleste</v>
      </c>
      <c r="E84" s="48" t="str">
        <f aca="false" t="array" ref="E84:E84">INDEX(Éléments!$A$5:$A$14,MATCH(B84,Éléments!$C$5:$C$14,1))</f>
        <v>Lumière</v>
      </c>
      <c r="F84" s="25" t="s">
        <v>349</v>
      </c>
      <c r="G84" s="23" t="str">
        <f aca="false">IF(OR(H84="Boss",H84="Dragon"),"Oui","Non")</f>
        <v>Non</v>
      </c>
      <c r="H84" s="26" t="s">
        <v>138</v>
      </c>
      <c r="I84" s="26" t="s">
        <v>172</v>
      </c>
      <c r="J84" s="26" t="s">
        <v>173</v>
      </c>
      <c r="K84" s="27" t="n">
        <f aca="false">IF($F$3="",B84,$F$3)</f>
        <v>90</v>
      </c>
      <c r="L84" s="28" t="n">
        <f aca="false" t="array" ref="L84:L84">ROUND(Paramètres!$B$16*(Paramètres!$B$5+(1-Paramètres!$B$5)*((K84-Paramètres!$B$7)/(Paramètres!$B$8-Paramètres!$B$7))^Paramètres!$B$6)*INDEX(Rôles!$B$18:$B$22,AZ84)*INDEX(Rôles!$B$5:$B$13,AY84),0)</f>
        <v>1186</v>
      </c>
      <c r="M84" s="29" t="n">
        <f aca="false" t="array" ref="M84:M84">ROUND(IF(J84="Physique",1,IF(J84="Mixte",Paramètres!$B$32,0))*Paramètres!$B$12*(Paramètres!$B$5+(1-Paramètres!$B$5)*((K84-Paramètres!$B$7)/(Paramètres!$B$8-Paramètres!$B$7))^Paramètres!$B$6)*INDEX(Rôles!$C$18:$C$22,AZ84)*INDEX(Rôles!$C$5:$C$13,AY84)/(Paramètres!$B$35*(1-Paramètres!$B$36)),0)</f>
        <v>0</v>
      </c>
      <c r="N84" s="29" t="n">
        <f aca="false" t="array" ref="N84:N84">ROUND(IF(J84="Magique",1,IF(J84="Mixte",Paramètres!$B$32,0))*Paramètres!$B$12*(Paramètres!$B$5+(1-Paramètres!$B$5)*((K84-Paramètres!$B$7)/(Paramètres!$B$8-Paramètres!$B$7))^Paramètres!$B$6)*INDEX(Rôles!$C$18:$C$22,AZ84)*INDEX(Rôles!$C$5:$C$13,AY84)/(Paramètres!$B$35*(1-Paramètres!$B$36)),0)</f>
        <v>243</v>
      </c>
      <c r="O84" s="29" t="n">
        <f aca="false" t="array" ref="O84:O84">ROUND(Paramètres!$B$18*(Paramètres!$B$5+(1-Paramètres!$B$5)*((K84-Paramètres!$B$7)/(Paramètres!$B$8-Paramètres!$B$7))^Paramètres!$B$6)*INDEX(Rôles!$D$5:$D$13,AY84)*INDEX(Rôles!$D$18:$D$22,AZ84),0)</f>
        <v>478</v>
      </c>
      <c r="P84" s="29" t="n">
        <f aca="false" t="array" ref="P84:P84">ROUND(Paramètres!$B$19*(Paramètres!$B$5+(1-Paramètres!$B$5)*((K84-Paramètres!$B$7)/(Paramètres!$B$8-Paramètres!$B$7))^Paramètres!$B$6)*INDEX(Rôles!$E$5:$E$13,AY84)*INDEX(Rôles!$D$18:$D$22,AZ84),0)</f>
        <v>177</v>
      </c>
      <c r="Q84" s="29" t="n">
        <f aca="false" t="array" ref="Q84:Q84">ROUND(Paramètres!$B$20*(Paramètres!$B$5+(1-Paramètres!$B$5)*((K84-Paramètres!$B$7)/(Paramètres!$B$8-Paramètres!$B$7))^Paramètres!$B$6)*INDEX(Rôles!$F$5:$F$13,AY84),0)</f>
        <v>96</v>
      </c>
      <c r="R84" s="29" t="n">
        <f aca="false">ROUND(Paramètres!$B$64*$AX84*INDEX(Rôles!$N$5:$N$13,$AY84)*INDEX(Rôles!$I$18:$I$22,$AZ84),0)</f>
        <v>89</v>
      </c>
      <c r="S84" s="30" t="n">
        <f aca="false" t="array" ref="S84:S84">MIN(1,ROUND(Paramètres!$B$21*INDEX(Rôles!$G$5:$G$13,AY84),3))</f>
        <v>0.9</v>
      </c>
      <c r="T84" s="30" t="n">
        <f aca="false" t="array" ref="T84:T84">MIN(Paramètres!$B$28,ROUND(Paramètres!$B$22*INDEX(Rôles!$H$5:$H$13,AY84),3))</f>
        <v>0.04</v>
      </c>
      <c r="U84" s="30" t="n">
        <f aca="false" t="array" ref="U84:U84">ROUND(Paramètres!$B$23*INDEX(Rôles!$I$5:$I$13,AY84),3)</f>
        <v>0.5</v>
      </c>
      <c r="V84" s="30" t="n">
        <f aca="false" t="array" ref="V84:V84">MIN(Paramètres!$B$29,ROUND(Paramètres!$B$24*INDEX(Rôles!$J$5:$J$13,AY84),3))</f>
        <v>0.04</v>
      </c>
      <c r="W84" s="30" t="n">
        <f aca="false" t="array" ref="W84:W84">MIN(Paramètres!$B$27,ROUND((Paramètres!$B$25+(Paramètres!$B$26-Paramètres!$B$25)*(K84-Paramètres!$B$7)/(Paramètres!$B$8-Paramètres!$B$7))*INDEX(Rôles!$K$5:$K$13,AY84)+INDEX(Rôles!$G$18:$G$22,AZ84),3))</f>
        <v>0.357</v>
      </c>
      <c r="X84" s="30" t="n">
        <f aca="false">ROUND(1-(1-P84/(P84+(Paramètres!$B$19*(Paramètres!$B$5+(1-Paramètres!$B$5)*((K84-Paramètres!$B$7)/(Paramètres!$B$8-Paramètres!$B$7))^Paramètres!$B$6)*(1-Paramètres!$B$30)/Paramètres!$B$30)))*(1-O84/(O84+(Paramètres!$B$18*(Paramètres!$B$5+(1-Paramètres!$B$5)*((K84-Paramètres!$B$7)/(Paramètres!$B$8-Paramètres!$B$7))^Paramètres!$B$6)*(1-Paramètres!$B$31)/Paramètres!$B$31))),3)</f>
        <v>0.266</v>
      </c>
      <c r="Y84" s="30" t="n">
        <f aca="false">ROUND(O84/(O84+(Paramètres!$B$18*(Paramètres!$B$5+(1-Paramètres!$B$5)*((K84-Paramètres!$B$7)/(Paramètres!$B$8-Paramètres!$B$7))^Paramètres!$B$6)*(1-Paramètres!$B$31)/Paramètres!$B$31)),3)</f>
        <v>0.175</v>
      </c>
      <c r="Z84" s="31" t="n">
        <f aca="false" t="array" ref="Z84:Z84">IF(E84="Neutre",0,MIN(1,INDEX(Rôles!$L$5:$L$13,AY84)+INDEX(Rôles!$F$18:$F$22,AZ84)))</f>
        <v>0.7</v>
      </c>
      <c r="AA84" s="32" t="n">
        <f aca="false" t="array" ref="AA84:AA84">ROUND(INDEX(Rôles!$C$18:$C$22,AZ84)*INDEX(Rôles!$C$5:$C$13,AY84),4)</f>
        <v>0.012</v>
      </c>
      <c r="AB84" s="33" t="n">
        <f aca="false" t="array" ref="AB84:AB84">ROUND(INDEX(Rôles!$B$18:$B$22,AZ84)*INDEX(Rôles!$B$5:$B$13,AY84),2)</f>
        <v>1.7</v>
      </c>
      <c r="AC84" s="33" t="n">
        <f aca="false" t="array" ref="AC84:AC84">INDEX(Rôles!$E$18:$E$22,AZ84)</f>
        <v>1</v>
      </c>
      <c r="AD84" s="23" t="str">
        <f aca="false" t="array" ref="AD84:AD84">INDEX(Éléments!$F$5:$F$14,MATCH(E84,Éléments!$A$5:$A$14,0))</f>
        <v>Ombre</v>
      </c>
      <c r="AE84" s="23" t="str">
        <f aca="false" t="array" ref="AE84:AE84">INDEX(Éléments!$G$5:$G$14,MATCH(E84,Éléments!$A$5:$A$14,0))</f>
        <v>Acide</v>
      </c>
      <c r="AF84" s="34" t="s">
        <v>325</v>
      </c>
      <c r="AG84" s="35" t="n">
        <v>0.3</v>
      </c>
      <c r="AH84" s="34" t="s">
        <v>337</v>
      </c>
      <c r="AI84" s="35" t="n">
        <v>0.2</v>
      </c>
      <c r="AJ84" s="29" t="n">
        <f aca="false" t="array" ref="AJ84:AJ84">ROUND(ROUND(Paramètres!$B$49*K84^Paramètres!$B$50,0)*INDEX(Rôles!$E$18:$E$22,AZ84),0)</f>
        <v>1663</v>
      </c>
      <c r="AK84" s="29" t="n">
        <f aca="false" t="array" ref="AK84:AK84">ROUND(ROUND(Paramètres!$B$53*K84^Paramètres!$B$54,0)*INDEX(Rôles!$E$18:$E$22,AZ84),0)</f>
        <v>1304</v>
      </c>
      <c r="AL84" s="36" t="n">
        <f aca="false">INDEX(Butin!$B$7:$B$11,AZ84)</f>
        <v>0.05</v>
      </c>
      <c r="AM84" s="37" t="n">
        <f aca="false">INDEX(Butin!$E$7:$E$11,AZ84)</f>
        <v>0.05</v>
      </c>
      <c r="AN84" s="30" t="n">
        <f aca="false">IF($H84="Boss",INDEX(Butin!$E$28:$K$37,MATCH($B84,Éléments!$C$5:$C$14,1),1),IF($H84="Dragon",INDEX(Butin!$E$41:$K$50,MATCH($B84,Éléments!$C$5:$C$14,1),1),INDEX(Butin!$E$15:$K$24,MATCH($B84,Éléments!$C$5:$C$14,1),1)))</f>
        <v>0.12</v>
      </c>
      <c r="AO84" s="30" t="n">
        <f aca="false">IF($H84="Boss",INDEX(Butin!$E$28:$K$37,MATCH($B84,Éléments!$C$5:$C$14,1),2),IF($H84="Dragon",INDEX(Butin!$E$41:$K$50,MATCH($B84,Éléments!$C$5:$C$14,1),2),INDEX(Butin!$E$15:$K$24,MATCH($B84,Éléments!$C$5:$C$14,1),2)))</f>
        <v>0.22</v>
      </c>
      <c r="AP84" s="30" t="n">
        <f aca="false">IF($H84="Boss",INDEX(Butin!$E$28:$K$37,MATCH($B84,Éléments!$C$5:$C$14,1),3),IF($H84="Dragon",INDEX(Butin!$E$41:$K$50,MATCH($B84,Éléments!$C$5:$C$14,1),3),INDEX(Butin!$E$15:$K$24,MATCH($B84,Éléments!$C$5:$C$14,1),3)))</f>
        <v>0.28</v>
      </c>
      <c r="AQ84" s="30" t="n">
        <f aca="false">IF($H84="Boss",INDEX(Butin!$E$28:$K$37,MATCH($B84,Éléments!$C$5:$C$14,1),4),IF($H84="Dragon",INDEX(Butin!$E$41:$K$50,MATCH($B84,Éléments!$C$5:$C$14,1),4),INDEX(Butin!$E$15:$K$24,MATCH($B84,Éléments!$C$5:$C$14,1),4)))</f>
        <v>0.22</v>
      </c>
      <c r="AR84" s="30" t="n">
        <f aca="false">IF($H84="Boss",INDEX(Butin!$E$28:$K$37,MATCH($B84,Éléments!$C$5:$C$14,1),5),IF($H84="Dragon",INDEX(Butin!$E$41:$K$50,MATCH($B84,Éléments!$C$5:$C$14,1),5),INDEX(Butin!$E$15:$K$24,MATCH($B84,Éléments!$C$5:$C$14,1),5)))</f>
        <v>0.116</v>
      </c>
      <c r="AS84" s="30" t="n">
        <f aca="false">IF($H84="Boss",INDEX(Butin!$E$28:$K$37,MATCH($B84,Éléments!$C$5:$C$14,1),6),IF($H84="Dragon",INDEX(Butin!$E$41:$K$50,MATCH($B84,Éléments!$C$5:$C$14,1),6),INDEX(Butin!$E$15:$K$24,MATCH($B84,Éléments!$C$5:$C$14,1),6)))</f>
        <v>0.039</v>
      </c>
      <c r="AT84" s="30" t="n">
        <f aca="false">IF($H84="Boss",INDEX(Butin!$E$28:$K$37,MATCH($B84,Éléments!$C$5:$C$14,1),7),IF($H84="Dragon",INDEX(Butin!$E$41:$K$50,MATCH($B84,Éléments!$C$5:$C$14,1),7),INDEX(Butin!$E$15:$K$24,MATCH($B84,Éléments!$C$5:$C$14,1),7)))</f>
        <v>0.005</v>
      </c>
      <c r="AU84" s="38" t="str">
        <f aca="false">IF(AT84=0,"—",INDEX(Butin!$D$54:$D$63,MATCH($B84,Éléments!$C$5:$C$14,1))&amp;" · "&amp;INDEX(Butin!$F$54:$F$63,MATCH($B84,Éléments!$C$5:$C$14,1))&amp;" · "&amp;INDEX(Butin!$H$54:$H$63,MATCH($B84,Éléments!$C$5:$C$14,1)))</f>
        <v>Rempart de l'Aube Éternelle · Orbe de l'Éclipse · Capuche de l'Œil du Faucon</v>
      </c>
      <c r="AV84" s="20" t="s">
        <v>349</v>
      </c>
      <c r="AW84" s="39" t="str">
        <f aca="false">B84&amp;IF(G84="Oui","|B","|N")</f>
        <v>90|N</v>
      </c>
      <c r="AX84" s="40" t="n">
        <f aca="false">(Paramètres!$B$5+(1-Paramètres!$B$5)*((K84-Paramètres!$B$7)/(Paramètres!$B$8-Paramètres!$B$7))^Paramètres!$B$6)</f>
        <v>0.886044472225366</v>
      </c>
      <c r="AY84" s="39" t="n">
        <f aca="false">MATCH(I84,Rôles!$A$5:$A$13,0)</f>
        <v>6</v>
      </c>
      <c r="AZ84" s="39" t="n">
        <f aca="false">MATCH(H84,Rôles!$A$18:$A$22,0)</f>
        <v>2</v>
      </c>
    </row>
    <row r="85" customFormat="false" ht="15.75" hidden="false" customHeight="true" outlineLevel="0" collapsed="false">
      <c r="A85" s="20" t="s">
        <v>350</v>
      </c>
      <c r="B85" s="21" t="n">
        <v>90</v>
      </c>
      <c r="C85" s="22" t="str">
        <f aca="false" t="array" ref="C85:C85">INDEX(Zones!$B$6:$B$35,MATCH(B85,Zones!$A$6:$A$35,0))</f>
        <v>Paradis(90)</v>
      </c>
      <c r="D85" s="23" t="str">
        <f aca="false" t="array" ref="D85:D85">INDEX(Éléments!$B$5:$B$14,MATCH(B85,Éléments!$C$5:$C$14,1))</f>
        <v>Palais céleste</v>
      </c>
      <c r="E85" s="48" t="str">
        <f aca="false" t="array" ref="E85:E85">INDEX(Éléments!$A$5:$A$14,MATCH(B85,Éléments!$C$5:$C$14,1))</f>
        <v>Lumière</v>
      </c>
      <c r="F85" s="25" t="s">
        <v>351</v>
      </c>
      <c r="G85" s="23" t="str">
        <f aca="false">IF(OR(H85="Boss",H85="Dragon"),"Oui","Non")</f>
        <v>Non</v>
      </c>
      <c r="H85" s="26" t="s">
        <v>148</v>
      </c>
      <c r="I85" s="26" t="s">
        <v>160</v>
      </c>
      <c r="J85" s="26" t="s">
        <v>157</v>
      </c>
      <c r="K85" s="27" t="n">
        <f aca="false">IF($F$3="",B85,$F$3)</f>
        <v>90</v>
      </c>
      <c r="L85" s="28" t="n">
        <f aca="false" t="array" ref="L85:L85">ROUND(Paramètres!$B$16*(Paramètres!$B$5+(1-Paramètres!$B$5)*((K85-Paramètres!$B$7)/(Paramètres!$B$8-Paramètres!$B$7))^Paramètres!$B$6)*INDEX(Rôles!$B$18:$B$22,AZ85)*INDEX(Rôles!$B$5:$B$13,AY85),0)</f>
        <v>2247</v>
      </c>
      <c r="M85" s="29" t="n">
        <f aca="false" t="array" ref="M85:M85">ROUND(IF(J85="Physique",1,IF(J85="Mixte",Paramètres!$B$32,0))*Paramètres!$B$12*(Paramètres!$B$5+(1-Paramètres!$B$5)*((K85-Paramètres!$B$7)/(Paramètres!$B$8-Paramètres!$B$7))^Paramètres!$B$6)*INDEX(Rôles!$C$18:$C$22,AZ85)*INDEX(Rôles!$C$5:$C$13,AY85)/(Paramètres!$B$35*(1-Paramètres!$B$36)),0)</f>
        <v>289</v>
      </c>
      <c r="N85" s="29" t="n">
        <f aca="false" t="array" ref="N85:N85">ROUND(IF(J85="Magique",1,IF(J85="Mixte",Paramètres!$B$32,0))*Paramètres!$B$12*(Paramètres!$B$5+(1-Paramètres!$B$5)*((K85-Paramètres!$B$7)/(Paramètres!$B$8-Paramètres!$B$7))^Paramètres!$B$6)*INDEX(Rôles!$C$18:$C$22,AZ85)*INDEX(Rôles!$C$5:$C$13,AY85)/(Paramètres!$B$35*(1-Paramètres!$B$36)),0)</f>
        <v>289</v>
      </c>
      <c r="O85" s="29" t="n">
        <f aca="false" t="array" ref="O85:O85">ROUND(Paramètres!$B$18*(Paramètres!$B$5+(1-Paramètres!$B$5)*((K85-Paramètres!$B$7)/(Paramètres!$B$8-Paramètres!$B$7))^Paramètres!$B$6)*INDEX(Rôles!$D$5:$D$13,AY85)*INDEX(Rôles!$D$18:$D$22,AZ85),0)</f>
        <v>459</v>
      </c>
      <c r="P85" s="29" t="n">
        <f aca="false" t="array" ref="P85:P85">ROUND(Paramètres!$B$19*(Paramètres!$B$5+(1-Paramètres!$B$5)*((K85-Paramètres!$B$7)/(Paramètres!$B$8-Paramètres!$B$7))^Paramètres!$B$6)*INDEX(Rôles!$E$5:$E$13,AY85)*INDEX(Rôles!$D$18:$D$22,AZ85),0)</f>
        <v>489</v>
      </c>
      <c r="Q85" s="29" t="n">
        <f aca="false" t="array" ref="Q85:Q85">ROUND(Paramètres!$B$20*(Paramètres!$B$5+(1-Paramètres!$B$5)*((K85-Paramètres!$B$7)/(Paramètres!$B$8-Paramètres!$B$7))^Paramètres!$B$6)*INDEX(Rôles!$F$5:$F$13,AY85),0)</f>
        <v>96</v>
      </c>
      <c r="R85" s="29" t="n">
        <f aca="false">ROUND(Paramètres!$B$64*$AX85*INDEX(Rôles!$N$5:$N$13,$AY85)*INDEX(Rôles!$I$18:$I$22,$AZ85),0)</f>
        <v>88</v>
      </c>
      <c r="S85" s="30" t="n">
        <f aca="false" t="array" ref="S85:S85">MIN(1,ROUND(Paramètres!$B$21*INDEX(Rôles!$G$5:$G$13,AY85),3))</f>
        <v>0.9</v>
      </c>
      <c r="T85" s="30" t="n">
        <f aca="false" t="array" ref="T85:T85">MIN(Paramètres!$B$28,ROUND(Paramètres!$B$22*INDEX(Rôles!$H$5:$H$13,AY85),3))</f>
        <v>0.05</v>
      </c>
      <c r="U85" s="30" t="n">
        <f aca="false" t="array" ref="U85:U85">ROUND(Paramètres!$B$23*INDEX(Rôles!$I$5:$I$13,AY85),3)</f>
        <v>0.5</v>
      </c>
      <c r="V85" s="30" t="n">
        <f aca="false" t="array" ref="V85:V85">MIN(Paramètres!$B$29,ROUND(Paramètres!$B$24*INDEX(Rôles!$J$5:$J$13,AY85),3))</f>
        <v>0.05</v>
      </c>
      <c r="W85" s="30" t="n">
        <f aca="false" t="array" ref="W85:W85">MIN(Paramètres!$B$27,ROUND((Paramètres!$B$25+(Paramètres!$B$26-Paramètres!$B$25)*(K85-Paramètres!$B$7)/(Paramètres!$B$8-Paramètres!$B$7))*INDEX(Rôles!$K$5:$K$13,AY85)+INDEX(Rôles!$G$18:$G$22,AZ85),3))</f>
        <v>0.275</v>
      </c>
      <c r="X85" s="30" t="n">
        <f aca="false">ROUND(1-(1-P85/(P85+(Paramètres!$B$19*(Paramètres!$B$5+(1-Paramètres!$B$5)*((K85-Paramètres!$B$7)/(Paramètres!$B$8-Paramètres!$B$7))^Paramètres!$B$6)*(1-Paramètres!$B$30)/Paramètres!$B$30)))*(1-O85/(O85+(Paramètres!$B$18*(Paramètres!$B$5+(1-Paramètres!$B$5)*((K85-Paramètres!$B$7)/(Paramètres!$B$8-Paramètres!$B$7))^Paramètres!$B$6)*(1-Paramètres!$B$31)/Paramètres!$B$31))),3)</f>
        <v>0.382</v>
      </c>
      <c r="Y85" s="30" t="n">
        <f aca="false">ROUND(O85/(O85+(Paramètres!$B$18*(Paramètres!$B$5+(1-Paramètres!$B$5)*((K85-Paramètres!$B$7)/(Paramètres!$B$8-Paramètres!$B$7))^Paramètres!$B$6)*(1-Paramètres!$B$31)/Paramètres!$B$31)),3)</f>
        <v>0.169</v>
      </c>
      <c r="Z85" s="31" t="n">
        <f aca="false" t="array" ref="Z85:Z85">IF(E85="Neutre",0,MIN(1,INDEX(Rôles!$L$5:$L$13,AY85)+INDEX(Rôles!$F$18:$F$22,AZ85)))</f>
        <v>0.5</v>
      </c>
      <c r="AA85" s="32" t="n">
        <f aca="false" t="array" ref="AA85:AA85">ROUND(INDEX(Rôles!$C$18:$C$22,AZ85)*INDEX(Rôles!$C$5:$C$13,AY85),4)</f>
        <v>0.019</v>
      </c>
      <c r="AB85" s="33" t="n">
        <f aca="false" t="array" ref="AB85:AB85">ROUND(INDEX(Rôles!$B$18:$B$22,AZ85)*INDEX(Rôles!$B$5:$B$13,AY85),2)</f>
        <v>3.22</v>
      </c>
      <c r="AC85" s="33" t="n">
        <f aca="false" t="array" ref="AC85:AC85">INDEX(Rôles!$E$18:$E$22,AZ85)</f>
        <v>1.4</v>
      </c>
      <c r="AD85" s="23" t="str">
        <f aca="false" t="array" ref="AD85:AD85">INDEX(Éléments!$F$5:$F$14,MATCH(E85,Éléments!$A$5:$A$14,0))</f>
        <v>Ombre</v>
      </c>
      <c r="AE85" s="23" t="str">
        <f aca="false" t="array" ref="AE85:AE85">INDEX(Éléments!$G$5:$G$14,MATCH(E85,Éléments!$A$5:$A$14,0))</f>
        <v>Acide</v>
      </c>
      <c r="AF85" s="34" t="s">
        <v>325</v>
      </c>
      <c r="AG85" s="35" t="n">
        <v>0.3</v>
      </c>
      <c r="AH85" s="34" t="s">
        <v>337</v>
      </c>
      <c r="AI85" s="35" t="n">
        <v>0.25</v>
      </c>
      <c r="AJ85" s="29" t="n">
        <f aca="false" t="array" ref="AJ85:AJ85">ROUND(ROUND(Paramètres!$B$49*K85^Paramètres!$B$50,0)*INDEX(Rôles!$E$18:$E$22,AZ85),0)</f>
        <v>2328</v>
      </c>
      <c r="AK85" s="29" t="n">
        <f aca="false" t="array" ref="AK85:AK85">ROUND(ROUND(Paramètres!$B$53*K85^Paramètres!$B$54,0)*INDEX(Rôles!$E$18:$E$22,AZ85),0)</f>
        <v>1826</v>
      </c>
      <c r="AL85" s="36" t="n">
        <f aca="false">INDEX(Butin!$B$7:$B$11,AZ85)</f>
        <v>0.08</v>
      </c>
      <c r="AM85" s="37" t="n">
        <f aca="false">INDEX(Butin!$E$7:$E$11,AZ85)</f>
        <v>0.08</v>
      </c>
      <c r="AN85" s="30" t="n">
        <f aca="false">IF($H85="Boss",INDEX(Butin!$E$28:$K$37,MATCH($B85,Éléments!$C$5:$C$14,1),1),IF($H85="Dragon",INDEX(Butin!$E$41:$K$50,MATCH($B85,Éléments!$C$5:$C$14,1),1),INDEX(Butin!$E$15:$K$24,MATCH($B85,Éléments!$C$5:$C$14,1),1)))</f>
        <v>0.12</v>
      </c>
      <c r="AO85" s="30" t="n">
        <f aca="false">IF($H85="Boss",INDEX(Butin!$E$28:$K$37,MATCH($B85,Éléments!$C$5:$C$14,1),2),IF($H85="Dragon",INDEX(Butin!$E$41:$K$50,MATCH($B85,Éléments!$C$5:$C$14,1),2),INDEX(Butin!$E$15:$K$24,MATCH($B85,Éléments!$C$5:$C$14,1),2)))</f>
        <v>0.22</v>
      </c>
      <c r="AP85" s="30" t="n">
        <f aca="false">IF($H85="Boss",INDEX(Butin!$E$28:$K$37,MATCH($B85,Éléments!$C$5:$C$14,1),3),IF($H85="Dragon",INDEX(Butin!$E$41:$K$50,MATCH($B85,Éléments!$C$5:$C$14,1),3),INDEX(Butin!$E$15:$K$24,MATCH($B85,Éléments!$C$5:$C$14,1),3)))</f>
        <v>0.28</v>
      </c>
      <c r="AQ85" s="30" t="n">
        <f aca="false">IF($H85="Boss",INDEX(Butin!$E$28:$K$37,MATCH($B85,Éléments!$C$5:$C$14,1),4),IF($H85="Dragon",INDEX(Butin!$E$41:$K$50,MATCH($B85,Éléments!$C$5:$C$14,1),4),INDEX(Butin!$E$15:$K$24,MATCH($B85,Éléments!$C$5:$C$14,1),4)))</f>
        <v>0.22</v>
      </c>
      <c r="AR85" s="30" t="n">
        <f aca="false">IF($H85="Boss",INDEX(Butin!$E$28:$K$37,MATCH($B85,Éléments!$C$5:$C$14,1),5),IF($H85="Dragon",INDEX(Butin!$E$41:$K$50,MATCH($B85,Éléments!$C$5:$C$14,1),5),INDEX(Butin!$E$15:$K$24,MATCH($B85,Éléments!$C$5:$C$14,1),5)))</f>
        <v>0.116</v>
      </c>
      <c r="AS85" s="30" t="n">
        <f aca="false">IF($H85="Boss",INDEX(Butin!$E$28:$K$37,MATCH($B85,Éléments!$C$5:$C$14,1),6),IF($H85="Dragon",INDEX(Butin!$E$41:$K$50,MATCH($B85,Éléments!$C$5:$C$14,1),6),INDEX(Butin!$E$15:$K$24,MATCH($B85,Éléments!$C$5:$C$14,1),6)))</f>
        <v>0.039</v>
      </c>
      <c r="AT85" s="30" t="n">
        <f aca="false">IF($H85="Boss",INDEX(Butin!$E$28:$K$37,MATCH($B85,Éléments!$C$5:$C$14,1),7),IF($H85="Dragon",INDEX(Butin!$E$41:$K$50,MATCH($B85,Éléments!$C$5:$C$14,1),7),INDEX(Butin!$E$15:$K$24,MATCH($B85,Éléments!$C$5:$C$14,1),7)))</f>
        <v>0.005</v>
      </c>
      <c r="AU85" s="38" t="str">
        <f aca="false">IF(AT85=0,"—",INDEX(Butin!$D$54:$D$63,MATCH($B85,Éléments!$C$5:$C$14,1))&amp;" · "&amp;INDEX(Butin!$F$54:$F$63,MATCH($B85,Éléments!$C$5:$C$14,1))&amp;" · "&amp;INDEX(Butin!$H$54:$H$63,MATCH($B85,Éléments!$C$5:$C$14,1)))</f>
        <v>Rempart de l'Aube Éternelle · Orbe de l'Éclipse · Capuche de l'Œil du Faucon</v>
      </c>
      <c r="AV85" s="20" t="s">
        <v>351</v>
      </c>
      <c r="AW85" s="39" t="str">
        <f aca="false">B85&amp;IF(G85="Oui","|B","|N")</f>
        <v>90|N</v>
      </c>
      <c r="AX85" s="40" t="n">
        <f aca="false">(Paramètres!$B$5+(1-Paramètres!$B$5)*((K85-Paramètres!$B$7)/(Paramètres!$B$8-Paramètres!$B$7))^Paramètres!$B$6)</f>
        <v>0.886044472225366</v>
      </c>
      <c r="AY85" s="39" t="n">
        <f aca="false">MATCH(I85,Rôles!$A$5:$A$13,0)</f>
        <v>3</v>
      </c>
      <c r="AZ85" s="39" t="n">
        <f aca="false">MATCH(H85,Rôles!$A$18:$A$22,0)</f>
        <v>3</v>
      </c>
    </row>
    <row r="86" customFormat="false" ht="15.75" hidden="false" customHeight="true" outlineLevel="0" collapsed="false">
      <c r="A86" s="20" t="s">
        <v>352</v>
      </c>
      <c r="B86" s="21" t="n">
        <v>90</v>
      </c>
      <c r="C86" s="22" t="str">
        <f aca="false" t="array" ref="C86:C86">INDEX(Zones!$B$6:$B$35,MATCH(B86,Zones!$A$6:$A$35,0))</f>
        <v>Paradis(90)</v>
      </c>
      <c r="D86" s="23" t="str">
        <f aca="false" t="array" ref="D86:D86">INDEX(Éléments!$B$5:$B$14,MATCH(B86,Éléments!$C$5:$C$14,1))</f>
        <v>Palais céleste</v>
      </c>
      <c r="E86" s="48" t="str">
        <f aca="false" t="array" ref="E86:E86">INDEX(Éléments!$A$5:$A$14,MATCH(B86,Éléments!$C$5:$C$14,1))</f>
        <v>Lumière</v>
      </c>
      <c r="F86" s="25" t="s">
        <v>353</v>
      </c>
      <c r="G86" s="23" t="str">
        <f aca="false">IF(OR(H86="Boss",H86="Dragon"),"Oui","Non")</f>
        <v>Non</v>
      </c>
      <c r="H86" s="26" t="s">
        <v>148</v>
      </c>
      <c r="I86" s="26" t="s">
        <v>195</v>
      </c>
      <c r="J86" s="26" t="s">
        <v>173</v>
      </c>
      <c r="K86" s="27" t="n">
        <f aca="false">IF($F$3="",B86,$F$3)</f>
        <v>90</v>
      </c>
      <c r="L86" s="28" t="n">
        <f aca="false" t="array" ref="L86:L86">ROUND(Paramètres!$B$16*(Paramètres!$B$5+(1-Paramètres!$B$5)*((K86-Paramètres!$B$7)/(Paramètres!$B$8-Paramètres!$B$7))^Paramètres!$B$6)*INDEX(Rôles!$B$18:$B$22,AZ86)*INDEX(Rôles!$B$5:$B$13,AY86),0)</f>
        <v>1368</v>
      </c>
      <c r="M86" s="29" t="n">
        <f aca="false" t="array" ref="M86:M86">ROUND(IF(J86="Physique",1,IF(J86="Mixte",Paramètres!$B$32,0))*Paramètres!$B$12*(Paramètres!$B$5+(1-Paramètres!$B$5)*((K86-Paramètres!$B$7)/(Paramètres!$B$8-Paramètres!$B$7))^Paramètres!$B$6)*INDEX(Rôles!$C$18:$C$22,AZ86)*INDEX(Rôles!$C$5:$C$13,AY86)/(Paramètres!$B$35*(1-Paramètres!$B$36)),0)</f>
        <v>0</v>
      </c>
      <c r="N86" s="29" t="n">
        <f aca="false" t="array" ref="N86:N86">ROUND(IF(J86="Magique",1,IF(J86="Mixte",Paramètres!$B$32,0))*Paramètres!$B$12*(Paramètres!$B$5+(1-Paramètres!$B$5)*((K86-Paramètres!$B$7)/(Paramètres!$B$8-Paramètres!$B$7))^Paramètres!$B$6)*INDEX(Rôles!$C$18:$C$22,AZ86)*INDEX(Rôles!$C$5:$C$13,AY86)/(Paramètres!$B$35*(1-Paramètres!$B$36)),0)</f>
        <v>481</v>
      </c>
      <c r="O86" s="29" t="n">
        <f aca="false" t="array" ref="O86:O86">ROUND(Paramètres!$B$18*(Paramètres!$B$5+(1-Paramètres!$B$5)*((K86-Paramètres!$B$7)/(Paramètres!$B$8-Paramètres!$B$7))^Paramètres!$B$6)*INDEX(Rôles!$D$5:$D$13,AY86)*INDEX(Rôles!$D$18:$D$22,AZ86),0)</f>
        <v>504</v>
      </c>
      <c r="P86" s="29" t="n">
        <f aca="false" t="array" ref="P86:P86">ROUND(Paramètres!$B$19*(Paramètres!$B$5+(1-Paramètres!$B$5)*((K86-Paramètres!$B$7)/(Paramètres!$B$8-Paramètres!$B$7))^Paramètres!$B$6)*INDEX(Rôles!$E$5:$E$13,AY86)*INDEX(Rôles!$D$18:$D$22,AZ86),0)</f>
        <v>163</v>
      </c>
      <c r="Q86" s="29" t="n">
        <f aca="false" t="array" ref="Q86:Q86">ROUND(Paramètres!$B$20*(Paramètres!$B$5+(1-Paramètres!$B$5)*((K86-Paramètres!$B$7)/(Paramètres!$B$8-Paramètres!$B$7))^Paramètres!$B$6)*INDEX(Rôles!$F$5:$F$13,AY86),0)</f>
        <v>96</v>
      </c>
      <c r="R86" s="29" t="n">
        <f aca="false">ROUND(Paramètres!$B$64*$AX86*INDEX(Rôles!$N$5:$N$13,$AY86)*INDEX(Rôles!$I$18:$I$22,$AZ86),0)</f>
        <v>84</v>
      </c>
      <c r="S86" s="30" t="n">
        <f aca="false" t="array" ref="S86:S86">MIN(1,ROUND(Paramètres!$B$21*INDEX(Rôles!$G$5:$G$13,AY86),3))</f>
        <v>0.9</v>
      </c>
      <c r="T86" s="30" t="n">
        <f aca="false" t="array" ref="T86:T86">MIN(Paramètres!$B$28,ROUND(Paramètres!$B$22*INDEX(Rôles!$H$5:$H$13,AY86),3))</f>
        <v>0.05</v>
      </c>
      <c r="U86" s="30" t="n">
        <f aca="false" t="array" ref="U86:U86">ROUND(Paramètres!$B$23*INDEX(Rôles!$I$5:$I$13,AY86),3)</f>
        <v>0.5</v>
      </c>
      <c r="V86" s="30" t="n">
        <f aca="false" t="array" ref="V86:V86">MIN(Paramètres!$B$29,ROUND(Paramètres!$B$24*INDEX(Rôles!$J$5:$J$13,AY86),3))</f>
        <v>0.065</v>
      </c>
      <c r="W86" s="30" t="n">
        <f aca="false" t="array" ref="W86:W86">MIN(Paramètres!$B$27,ROUND((Paramètres!$B$25+(Paramètres!$B$26-Paramètres!$B$25)*(K86-Paramètres!$B$7)/(Paramètres!$B$8-Paramètres!$B$7))*INDEX(Rôles!$K$5:$K$13,AY86)+INDEX(Rôles!$G$18:$G$22,AZ86),3))</f>
        <v>0.33</v>
      </c>
      <c r="X86" s="30" t="n">
        <f aca="false">ROUND(1-(1-P86/(P86+(Paramètres!$B$19*(Paramètres!$B$5+(1-Paramètres!$B$5)*((K86-Paramètres!$B$7)/(Paramètres!$B$8-Paramètres!$B$7))^Paramètres!$B$6)*(1-Paramètres!$B$30)/Paramètres!$B$30)))*(1-O86/(O86+(Paramètres!$B$18*(Paramètres!$B$5+(1-Paramètres!$B$5)*((K86-Paramètres!$B$7)/(Paramètres!$B$8-Paramètres!$B$7))^Paramètres!$B$6)*(1-Paramètres!$B$31)/Paramètres!$B$31))),3)</f>
        <v>0.267</v>
      </c>
      <c r="Y86" s="30" t="n">
        <f aca="false">ROUND(O86/(O86+(Paramètres!$B$18*(Paramètres!$B$5+(1-Paramètres!$B$5)*((K86-Paramètres!$B$7)/(Paramètres!$B$8-Paramètres!$B$7))^Paramètres!$B$6)*(1-Paramètres!$B$31)/Paramètres!$B$31)),3)</f>
        <v>0.182</v>
      </c>
      <c r="Z86" s="31" t="n">
        <f aca="false" t="array" ref="Z86:Z86">IF(E86="Neutre",0,MIN(1,INDEX(Rôles!$L$5:$L$13,AY86)+INDEX(Rôles!$F$18:$F$22,AZ86)))</f>
        <v>1</v>
      </c>
      <c r="AA86" s="32" t="n">
        <f aca="false" t="array" ref="AA86:AA86">ROUND(INDEX(Rôles!$C$18:$C$22,AZ86)*INDEX(Rôles!$C$5:$C$13,AY86),4)</f>
        <v>0.0238</v>
      </c>
      <c r="AB86" s="33" t="n">
        <f aca="false" t="array" ref="AB86:AB86">ROUND(INDEX(Rôles!$B$18:$B$22,AZ86)*INDEX(Rôles!$B$5:$B$13,AY86),2)</f>
        <v>1.96</v>
      </c>
      <c r="AC86" s="33" t="n">
        <f aca="false" t="array" ref="AC86:AC86">INDEX(Rôles!$E$18:$E$22,AZ86)</f>
        <v>1.4</v>
      </c>
      <c r="AD86" s="23" t="str">
        <f aca="false" t="array" ref="AD86:AD86">INDEX(Éléments!$F$5:$F$14,MATCH(E86,Éléments!$A$5:$A$14,0))</f>
        <v>Ombre</v>
      </c>
      <c r="AE86" s="23" t="str">
        <f aca="false" t="array" ref="AE86:AE86">INDEX(Éléments!$G$5:$G$14,MATCH(E86,Éléments!$A$5:$A$14,0))</f>
        <v>Acide</v>
      </c>
      <c r="AF86" s="34" t="s">
        <v>325</v>
      </c>
      <c r="AG86" s="35" t="n">
        <v>0.35</v>
      </c>
      <c r="AH86" s="34" t="s">
        <v>337</v>
      </c>
      <c r="AI86" s="35" t="n">
        <v>0.3</v>
      </c>
      <c r="AJ86" s="29" t="n">
        <f aca="false" t="array" ref="AJ86:AJ86">ROUND(ROUND(Paramètres!$B$49*K86^Paramètres!$B$50,0)*INDEX(Rôles!$E$18:$E$22,AZ86),0)</f>
        <v>2328</v>
      </c>
      <c r="AK86" s="29" t="n">
        <f aca="false" t="array" ref="AK86:AK86">ROUND(ROUND(Paramètres!$B$53*K86^Paramètres!$B$54,0)*INDEX(Rôles!$E$18:$E$22,AZ86),0)</f>
        <v>1826</v>
      </c>
      <c r="AL86" s="36" t="n">
        <f aca="false">INDEX(Butin!$B$7:$B$11,AZ86)</f>
        <v>0.08</v>
      </c>
      <c r="AM86" s="37" t="n">
        <f aca="false">INDEX(Butin!$E$7:$E$11,AZ86)</f>
        <v>0.08</v>
      </c>
      <c r="AN86" s="30" t="n">
        <f aca="false">IF($H86="Boss",INDEX(Butin!$E$28:$K$37,MATCH($B86,Éléments!$C$5:$C$14,1),1),IF($H86="Dragon",INDEX(Butin!$E$41:$K$50,MATCH($B86,Éléments!$C$5:$C$14,1),1),INDEX(Butin!$E$15:$K$24,MATCH($B86,Éléments!$C$5:$C$14,1),1)))</f>
        <v>0.12</v>
      </c>
      <c r="AO86" s="30" t="n">
        <f aca="false">IF($H86="Boss",INDEX(Butin!$E$28:$K$37,MATCH($B86,Éléments!$C$5:$C$14,1),2),IF($H86="Dragon",INDEX(Butin!$E$41:$K$50,MATCH($B86,Éléments!$C$5:$C$14,1),2),INDEX(Butin!$E$15:$K$24,MATCH($B86,Éléments!$C$5:$C$14,1),2)))</f>
        <v>0.22</v>
      </c>
      <c r="AP86" s="30" t="n">
        <f aca="false">IF($H86="Boss",INDEX(Butin!$E$28:$K$37,MATCH($B86,Éléments!$C$5:$C$14,1),3),IF($H86="Dragon",INDEX(Butin!$E$41:$K$50,MATCH($B86,Éléments!$C$5:$C$14,1),3),INDEX(Butin!$E$15:$K$24,MATCH($B86,Éléments!$C$5:$C$14,1),3)))</f>
        <v>0.28</v>
      </c>
      <c r="AQ86" s="30" t="n">
        <f aca="false">IF($H86="Boss",INDEX(Butin!$E$28:$K$37,MATCH($B86,Éléments!$C$5:$C$14,1),4),IF($H86="Dragon",INDEX(Butin!$E$41:$K$50,MATCH($B86,Éléments!$C$5:$C$14,1),4),INDEX(Butin!$E$15:$K$24,MATCH($B86,Éléments!$C$5:$C$14,1),4)))</f>
        <v>0.22</v>
      </c>
      <c r="AR86" s="30" t="n">
        <f aca="false">IF($H86="Boss",INDEX(Butin!$E$28:$K$37,MATCH($B86,Éléments!$C$5:$C$14,1),5),IF($H86="Dragon",INDEX(Butin!$E$41:$K$50,MATCH($B86,Éléments!$C$5:$C$14,1),5),INDEX(Butin!$E$15:$K$24,MATCH($B86,Éléments!$C$5:$C$14,1),5)))</f>
        <v>0.116</v>
      </c>
      <c r="AS86" s="30" t="n">
        <f aca="false">IF($H86="Boss",INDEX(Butin!$E$28:$K$37,MATCH($B86,Éléments!$C$5:$C$14,1),6),IF($H86="Dragon",INDEX(Butin!$E$41:$K$50,MATCH($B86,Éléments!$C$5:$C$14,1),6),INDEX(Butin!$E$15:$K$24,MATCH($B86,Éléments!$C$5:$C$14,1),6)))</f>
        <v>0.039</v>
      </c>
      <c r="AT86" s="30" t="n">
        <f aca="false">IF($H86="Boss",INDEX(Butin!$E$28:$K$37,MATCH($B86,Éléments!$C$5:$C$14,1),7),IF($H86="Dragon",INDEX(Butin!$E$41:$K$50,MATCH($B86,Éléments!$C$5:$C$14,1),7),INDEX(Butin!$E$15:$K$24,MATCH($B86,Éléments!$C$5:$C$14,1),7)))</f>
        <v>0.005</v>
      </c>
      <c r="AU86" s="38" t="str">
        <f aca="false">IF(AT86=0,"—",INDEX(Butin!$D$54:$D$63,MATCH($B86,Éléments!$C$5:$C$14,1))&amp;" · "&amp;INDEX(Butin!$F$54:$F$63,MATCH($B86,Éléments!$C$5:$C$14,1))&amp;" · "&amp;INDEX(Butin!$H$54:$H$63,MATCH($B86,Éléments!$C$5:$C$14,1)))</f>
        <v>Rempart de l'Aube Éternelle · Orbe de l'Éclipse · Capuche de l'Œil du Faucon</v>
      </c>
      <c r="AV86" s="20" t="s">
        <v>354</v>
      </c>
      <c r="AW86" s="39" t="str">
        <f aca="false">B86&amp;IF(G86="Oui","|B","|N")</f>
        <v>90|N</v>
      </c>
      <c r="AX86" s="40" t="n">
        <f aca="false">(Paramètres!$B$5+(1-Paramètres!$B$5)*((K86-Paramètres!$B$7)/(Paramètres!$B$8-Paramètres!$B$7))^Paramètres!$B$6)</f>
        <v>0.886044472225366</v>
      </c>
      <c r="AY86" s="39" t="n">
        <f aca="false">MATCH(I86,Rôles!$A$5:$A$13,0)</f>
        <v>5</v>
      </c>
      <c r="AZ86" s="39" t="n">
        <f aca="false">MATCH(H86,Rôles!$A$18:$A$22,0)</f>
        <v>3</v>
      </c>
    </row>
    <row r="87" customFormat="false" ht="15.75" hidden="false" customHeight="true" outlineLevel="0" collapsed="false">
      <c r="A87" s="20" t="s">
        <v>355</v>
      </c>
      <c r="B87" s="21" t="n">
        <v>95</v>
      </c>
      <c r="C87" s="22" t="str">
        <f aca="false" t="array" ref="C87:C87">INDEX(Zones!$B$6:$B$35,MATCH(B87,Zones!$A$6:$A$35,0))</f>
        <v>Plaine démoniaque</v>
      </c>
      <c r="D87" s="23" t="str">
        <f aca="false" t="array" ref="D87:D87">INDEX(Éléments!$B$5:$B$14,MATCH(B87,Éléments!$C$5:$C$14,1))</f>
        <v>Palais démoniaque</v>
      </c>
      <c r="E87" s="49" t="str">
        <f aca="false" t="array" ref="E87:E87">INDEX(Éléments!$A$5:$A$14,MATCH(B87,Éléments!$C$5:$C$14,1))</f>
        <v>Ombre</v>
      </c>
      <c r="F87" s="25" t="s">
        <v>356</v>
      </c>
      <c r="G87" s="23" t="str">
        <f aca="false">IF(OR(H87="Boss",H87="Dragon"),"Oui","Non")</f>
        <v>Oui</v>
      </c>
      <c r="H87" s="26" t="s">
        <v>152</v>
      </c>
      <c r="I87" s="26" t="s">
        <v>145</v>
      </c>
      <c r="J87" s="26" t="s">
        <v>157</v>
      </c>
      <c r="K87" s="27" t="n">
        <f aca="false">IF($F$3="",B87,$F$3)</f>
        <v>95</v>
      </c>
      <c r="L87" s="28" t="n">
        <f aca="false" t="array" ref="L87:L87">ROUND(Paramètres!$B$16*(Paramètres!$B$5+(1-Paramètres!$B$5)*((K87-Paramètres!$B$7)/(Paramètres!$B$8-Paramètres!$B$7))^Paramètres!$B$6)*INDEX(Rôles!$B$18:$B$22,AZ87)*INDEX(Rôles!$B$5:$B$13,AY87),0)</f>
        <v>6682</v>
      </c>
      <c r="M87" s="29" t="n">
        <f aca="false" t="array" ref="M87:M87">ROUND(IF(J87="Physique",1,IF(J87="Mixte",Paramètres!$B$32,0))*Paramètres!$B$12*(Paramètres!$B$5+(1-Paramètres!$B$5)*((K87-Paramètres!$B$7)/(Paramètres!$B$8-Paramètres!$B$7))^Paramètres!$B$6)*INDEX(Rôles!$C$18:$C$22,AZ87)*INDEX(Rôles!$C$5:$C$13,AY87)/(Paramètres!$B$35*(1-Paramètres!$B$36)),0)</f>
        <v>582</v>
      </c>
      <c r="N87" s="29" t="n">
        <f aca="false" t="array" ref="N87:N87">ROUND(IF(J87="Magique",1,IF(J87="Mixte",Paramètres!$B$32,0))*Paramètres!$B$12*(Paramètres!$B$5+(1-Paramètres!$B$5)*((K87-Paramètres!$B$7)/(Paramètres!$B$8-Paramètres!$B$7))^Paramètres!$B$6)*INDEX(Rôles!$C$18:$C$22,AZ87)*INDEX(Rôles!$C$5:$C$13,AY87)/(Paramètres!$B$35*(1-Paramètres!$B$36)),0)</f>
        <v>582</v>
      </c>
      <c r="O87" s="29" t="n">
        <f aca="false" t="array" ref="O87:O87">ROUND(Paramètres!$B$18*(Paramètres!$B$5+(1-Paramètres!$B$5)*((K87-Paramètres!$B$7)/(Paramètres!$B$8-Paramètres!$B$7))^Paramètres!$B$6)*INDEX(Rôles!$D$5:$D$13,AY87)*INDEX(Rôles!$D$18:$D$22,AZ87),0)</f>
        <v>331</v>
      </c>
      <c r="P87" s="29" t="n">
        <f aca="false" t="array" ref="P87:P87">ROUND(Paramètres!$B$19*(Paramètres!$B$5+(1-Paramètres!$B$5)*((K87-Paramètres!$B$7)/(Paramètres!$B$8-Paramètres!$B$7))^Paramètres!$B$6)*INDEX(Rôles!$E$5:$E$13,AY87)*INDEX(Rôles!$D$18:$D$22,AZ87),0)</f>
        <v>245</v>
      </c>
      <c r="Q87" s="29" t="n">
        <f aca="false" t="array" ref="Q87:Q87">ROUND(Paramètres!$B$20*(Paramètres!$B$5+(1-Paramètres!$B$5)*((K87-Paramètres!$B$7)/(Paramètres!$B$8-Paramètres!$B$7))^Paramètres!$B$6)*INDEX(Rôles!$F$5:$F$13,AY87),0)</f>
        <v>181</v>
      </c>
      <c r="R87" s="29" t="n">
        <f aca="false">ROUND(Paramètres!$B$64*$AX87*INDEX(Rôles!$N$5:$N$13,$AY87)*INDEX(Rôles!$I$18:$I$22,$AZ87),0)</f>
        <v>163</v>
      </c>
      <c r="S87" s="30" t="n">
        <f aca="false" t="array" ref="S87:S87">MIN(1,ROUND(Paramètres!$B$21*INDEX(Rôles!$G$5:$G$13,AY87),3))</f>
        <v>1</v>
      </c>
      <c r="T87" s="30" t="n">
        <f aca="false" t="array" ref="T87:T87">MIN(Paramètres!$B$28,ROUND(Paramètres!$B$22*INDEX(Rôles!$H$5:$H$13,AY87),3))</f>
        <v>0.08</v>
      </c>
      <c r="U87" s="30" t="n">
        <f aca="false" t="array" ref="U87:U87">ROUND(Paramètres!$B$23*INDEX(Rôles!$I$5:$I$13,AY87),3)</f>
        <v>0.7</v>
      </c>
      <c r="V87" s="30" t="n">
        <f aca="false" t="array" ref="V87:V87">MIN(Paramètres!$B$29,ROUND(Paramètres!$B$24*INDEX(Rôles!$J$5:$J$13,AY87),3))</f>
        <v>0.06</v>
      </c>
      <c r="W87" s="30" t="n">
        <f aca="false" t="array" ref="W87:W87">MIN(Paramètres!$B$27,ROUND((Paramètres!$B$25+(Paramètres!$B$26-Paramètres!$B$25)*(K87-Paramètres!$B$7)/(Paramètres!$B$8-Paramètres!$B$7))*INDEX(Rôles!$K$5:$K$13,AY87)+INDEX(Rôles!$G$18:$G$22,AZ87),3))</f>
        <v>0.43</v>
      </c>
      <c r="X87" s="30" t="n">
        <f aca="false">ROUND(1-(1-P87/(P87+(Paramètres!$B$19*(Paramètres!$B$5+(1-Paramètres!$B$5)*((K87-Paramètres!$B$7)/(Paramètres!$B$8-Paramètres!$B$7))^Paramètres!$B$6)*(1-Paramètres!$B$30)/Paramètres!$B$30)))*(1-O87/(O87+(Paramètres!$B$18*(Paramètres!$B$5+(1-Paramètres!$B$5)*((K87-Paramètres!$B$7)/(Paramètres!$B$8-Paramètres!$B$7))^Paramètres!$B$6)*(1-Paramètres!$B$31)/Paramètres!$B$31))),3)</f>
        <v>0.244</v>
      </c>
      <c r="Y87" s="30" t="n">
        <f aca="false">ROUND(O87/(O87+(Paramètres!$B$18*(Paramètres!$B$5+(1-Paramètres!$B$5)*((K87-Paramètres!$B$7)/(Paramètres!$B$8-Paramètres!$B$7))^Paramètres!$B$6)*(1-Paramètres!$B$31)/Paramètres!$B$31)),3)</f>
        <v>0.121</v>
      </c>
      <c r="Z87" s="31" t="n">
        <f aca="false" t="array" ref="Z87:Z87">IF(E87="Neutre",0,MIN(1,INDEX(Rôles!$L$5:$L$13,AY87)+INDEX(Rôles!$F$18:$F$22,AZ87)))</f>
        <v>0.7</v>
      </c>
      <c r="AA87" s="32" t="n">
        <f aca="false" t="array" ref="AA87:AA87">ROUND(INDEX(Rôles!$C$18:$C$22,AZ87)*INDEX(Rôles!$C$5:$C$13,AY87),4)</f>
        <v>0.036</v>
      </c>
      <c r="AB87" s="33" t="n">
        <f aca="false" t="array" ref="AB87:AB87">ROUND(INDEX(Rôles!$B$18:$B$22,AZ87)*INDEX(Rôles!$B$5:$B$13,AY87),2)</f>
        <v>9</v>
      </c>
      <c r="AC87" s="33" t="n">
        <f aca="false" t="array" ref="AC87:AC87">INDEX(Rôles!$E$18:$E$22,AZ87)</f>
        <v>8</v>
      </c>
      <c r="AD87" s="23" t="str">
        <f aca="false" t="array" ref="AD87:AD87">INDEX(Éléments!$F$5:$F$14,MATCH(E87,Éléments!$A$5:$A$14,0))</f>
        <v>Lumière</v>
      </c>
      <c r="AE87" s="23" t="str">
        <f aca="false" t="array" ref="AE87:AE87">INDEX(Éléments!$G$5:$G$14,MATCH(E87,Éléments!$A$5:$A$14,0))</f>
        <v>—</v>
      </c>
      <c r="AF87" s="34" t="s">
        <v>357</v>
      </c>
      <c r="AG87" s="35" t="n">
        <v>0.4</v>
      </c>
      <c r="AH87" s="34" t="s">
        <v>358</v>
      </c>
      <c r="AI87" s="35" t="n">
        <v>0.25</v>
      </c>
      <c r="AJ87" s="29" t="n">
        <f aca="false" t="array" ref="AJ87:AJ87">ROUND(ROUND(Paramètres!$B$49*K87^Paramètres!$B$50,0)*INDEX(Rôles!$E$18:$E$22,AZ87),0)</f>
        <v>14240</v>
      </c>
      <c r="AK87" s="29" t="n">
        <f aca="false" t="array" ref="AK87:AK87">ROUND(ROUND(Paramètres!$B$53*K87^Paramètres!$B$54,0)*INDEX(Rôles!$E$18:$E$22,AZ87),0)</f>
        <v>11224</v>
      </c>
      <c r="AL87" s="36" t="n">
        <f aca="false">INDEX(Butin!$B$7:$B$11,AZ87)</f>
        <v>1</v>
      </c>
      <c r="AM87" s="37" t="n">
        <f aca="false">INDEX(Butin!$E$7:$E$11,AZ87)</f>
        <v>1.4</v>
      </c>
      <c r="AN87" s="30" t="n">
        <f aca="false">IF($H87="Boss",INDEX(Butin!$E$28:$K$37,MATCH($B87,Éléments!$C$5:$C$14,1),1),IF($H87="Dragon",INDEX(Butin!$E$41:$K$50,MATCH($B87,Éléments!$C$5:$C$14,1),1),INDEX(Butin!$E$15:$K$24,MATCH($B87,Éléments!$C$5:$C$14,1),1)))</f>
        <v>0</v>
      </c>
      <c r="AO87" s="30" t="n">
        <f aca="false">IF($H87="Boss",INDEX(Butin!$E$28:$K$37,MATCH($B87,Éléments!$C$5:$C$14,1),2),IF($H87="Dragon",INDEX(Butin!$E$41:$K$50,MATCH($B87,Éléments!$C$5:$C$14,1),2),INDEX(Butin!$E$15:$K$24,MATCH($B87,Éléments!$C$5:$C$14,1),2)))</f>
        <v>0.06</v>
      </c>
      <c r="AP87" s="30" t="n">
        <f aca="false">IF($H87="Boss",INDEX(Butin!$E$28:$K$37,MATCH($B87,Éléments!$C$5:$C$14,1),3),IF($H87="Dragon",INDEX(Butin!$E$41:$K$50,MATCH($B87,Éléments!$C$5:$C$14,1),3),INDEX(Butin!$E$15:$K$24,MATCH($B87,Éléments!$C$5:$C$14,1),3)))</f>
        <v>0.18</v>
      </c>
      <c r="AQ87" s="30" t="n">
        <f aca="false">IF($H87="Boss",INDEX(Butin!$E$28:$K$37,MATCH($B87,Éléments!$C$5:$C$14,1),4),IF($H87="Dragon",INDEX(Butin!$E$41:$K$50,MATCH($B87,Éléments!$C$5:$C$14,1),4),INDEX(Butin!$E$15:$K$24,MATCH($B87,Éléments!$C$5:$C$14,1),4)))</f>
        <v>0.3</v>
      </c>
      <c r="AR87" s="30" t="n">
        <f aca="false">IF($H87="Boss",INDEX(Butin!$E$28:$K$37,MATCH($B87,Éléments!$C$5:$C$14,1),5),IF($H87="Dragon",INDEX(Butin!$E$41:$K$50,MATCH($B87,Éléments!$C$5:$C$14,1),5),INDEX(Butin!$E$15:$K$24,MATCH($B87,Éléments!$C$5:$C$14,1),5)))</f>
        <v>0.27</v>
      </c>
      <c r="AS87" s="30" t="n">
        <f aca="false">IF($H87="Boss",INDEX(Butin!$E$28:$K$37,MATCH($B87,Éléments!$C$5:$C$14,1),6),IF($H87="Dragon",INDEX(Butin!$E$41:$K$50,MATCH($B87,Éléments!$C$5:$C$14,1),6),INDEX(Butin!$E$15:$K$24,MATCH($B87,Éléments!$C$5:$C$14,1),6)))</f>
        <v>0.12</v>
      </c>
      <c r="AT87" s="30" t="n">
        <f aca="false">IF($H87="Boss",INDEX(Butin!$E$28:$K$37,MATCH($B87,Éléments!$C$5:$C$14,1),7),IF($H87="Dragon",INDEX(Butin!$E$41:$K$50,MATCH($B87,Éléments!$C$5:$C$14,1),7),INDEX(Butin!$E$15:$K$24,MATCH($B87,Éléments!$C$5:$C$14,1),7)))</f>
        <v>0.07</v>
      </c>
      <c r="AU87" s="38" t="str">
        <f aca="false">IF(AT87=0,"—",INDEX(Butin!$D$54:$D$63,MATCH($B87,Éléments!$C$5:$C$14,1))&amp;" · "&amp;INDEX(Butin!$F$54:$F$63,MATCH($B87,Éléments!$C$5:$C$14,1))&amp;" · "&amp;INDEX(Butin!$H$54:$H$63,MATCH($B87,Éléments!$C$5:$C$14,1)))</f>
        <v>Épée de la Mort · Amulette de l'Œil Maudit · Carquois du Chasseur de Spectres</v>
      </c>
      <c r="AV87" s="20" t="s">
        <v>359</v>
      </c>
      <c r="AW87" s="39" t="str">
        <f aca="false">B87&amp;IF(G87="Oui","|B","|N")</f>
        <v>95|B</v>
      </c>
      <c r="AX87" s="40" t="n">
        <f aca="false">(Paramètres!$B$5+(1-Paramètres!$B$5)*((K87-Paramètres!$B$7)/(Paramètres!$B$8-Paramètres!$B$7))^Paramètres!$B$6)</f>
        <v>0.942719037005277</v>
      </c>
      <c r="AY87" s="39" t="n">
        <f aca="false">MATCH(I87,Rôles!$A$5:$A$13,0)</f>
        <v>7</v>
      </c>
      <c r="AZ87" s="39" t="n">
        <f aca="false">MATCH(H87,Rôles!$A$18:$A$22,0)</f>
        <v>4</v>
      </c>
    </row>
    <row r="88" customFormat="false" ht="15.75" hidden="false" customHeight="true" outlineLevel="0" collapsed="false">
      <c r="A88" s="20" t="s">
        <v>360</v>
      </c>
      <c r="B88" s="21" t="n">
        <v>95</v>
      </c>
      <c r="C88" s="22" t="str">
        <f aca="false" t="array" ref="C88:C88">INDEX(Zones!$B$6:$B$35,MATCH(B88,Zones!$A$6:$A$35,0))</f>
        <v>Plaine démoniaque</v>
      </c>
      <c r="D88" s="23" t="str">
        <f aca="false" t="array" ref="D88:D88">INDEX(Éléments!$B$5:$B$14,MATCH(B88,Éléments!$C$5:$C$14,1))</f>
        <v>Palais démoniaque</v>
      </c>
      <c r="E88" s="49" t="str">
        <f aca="false" t="array" ref="E88:E88">INDEX(Éléments!$A$5:$A$14,MATCH(B88,Éléments!$C$5:$C$14,1))</f>
        <v>Ombre</v>
      </c>
      <c r="F88" s="25" t="s">
        <v>361</v>
      </c>
      <c r="G88" s="23" t="str">
        <f aca="false">IF(OR(H88="Boss",H88="Dragon"),"Oui","Non")</f>
        <v>Non</v>
      </c>
      <c r="H88" s="26" t="s">
        <v>138</v>
      </c>
      <c r="I88" s="26" t="s">
        <v>160</v>
      </c>
      <c r="J88" s="26" t="s">
        <v>140</v>
      </c>
      <c r="K88" s="27" t="n">
        <f aca="false">IF($F$3="",B88,$F$3)</f>
        <v>95</v>
      </c>
      <c r="L88" s="28" t="n">
        <f aca="false" t="array" ref="L88:L88">ROUND(Paramètres!$B$16*(Paramètres!$B$5+(1-Paramètres!$B$5)*((K88-Paramètres!$B$7)/(Paramètres!$B$8-Paramètres!$B$7))^Paramètres!$B$6)*INDEX(Rôles!$B$18:$B$22,AZ88)*INDEX(Rôles!$B$5:$B$13,AY88),0)</f>
        <v>1707</v>
      </c>
      <c r="M88" s="29" t="n">
        <f aca="false" t="array" ref="M88:M88">ROUND(IF(J88="Physique",1,IF(J88="Mixte",Paramètres!$B$32,0))*Paramètres!$B$12*(Paramètres!$B$5+(1-Paramètres!$B$5)*((K88-Paramètres!$B$7)/(Paramètres!$B$8-Paramètres!$B$7))^Paramètres!$B$6)*INDEX(Rôles!$C$18:$C$22,AZ88)*INDEX(Rôles!$C$5:$C$13,AY88)/(Paramètres!$B$35*(1-Paramètres!$B$36)),0)</f>
        <v>323</v>
      </c>
      <c r="N88" s="29" t="n">
        <f aca="false" t="array" ref="N88:N88">ROUND(IF(J88="Magique",1,IF(J88="Mixte",Paramètres!$B$32,0))*Paramètres!$B$12*(Paramètres!$B$5+(1-Paramètres!$B$5)*((K88-Paramètres!$B$7)/(Paramètres!$B$8-Paramètres!$B$7))^Paramètres!$B$6)*INDEX(Rôles!$C$18:$C$22,AZ88)*INDEX(Rôles!$C$5:$C$13,AY88)/(Paramètres!$B$35*(1-Paramètres!$B$36)),0)</f>
        <v>0</v>
      </c>
      <c r="O88" s="29" t="n">
        <f aca="false" t="array" ref="O88:O88">ROUND(Paramètres!$B$18*(Paramètres!$B$5+(1-Paramètres!$B$5)*((K88-Paramètres!$B$7)/(Paramètres!$B$8-Paramètres!$B$7))^Paramètres!$B$6)*INDEX(Rôles!$D$5:$D$13,AY88)*INDEX(Rôles!$D$18:$D$22,AZ88),0)</f>
        <v>424</v>
      </c>
      <c r="P88" s="29" t="n">
        <f aca="false" t="array" ref="P88:P88">ROUND(Paramètres!$B$19*(Paramètres!$B$5+(1-Paramètres!$B$5)*((K88-Paramètres!$B$7)/(Paramètres!$B$8-Paramètres!$B$7))^Paramètres!$B$6)*INDEX(Rôles!$E$5:$E$13,AY88)*INDEX(Rôles!$D$18:$D$22,AZ88),0)</f>
        <v>453</v>
      </c>
      <c r="Q88" s="29" t="n">
        <f aca="false" t="array" ref="Q88:Q88">ROUND(Paramètres!$B$20*(Paramètres!$B$5+(1-Paramètres!$B$5)*((K88-Paramètres!$B$7)/(Paramètres!$B$8-Paramètres!$B$7))^Paramètres!$B$6)*INDEX(Rôles!$F$5:$F$13,AY88),0)</f>
        <v>102</v>
      </c>
      <c r="R88" s="29" t="n">
        <f aca="false">ROUND(Paramètres!$B$64*$AX88*INDEX(Rôles!$N$5:$N$13,$AY88)*INDEX(Rôles!$I$18:$I$22,$AZ88),0)</f>
        <v>90</v>
      </c>
      <c r="S88" s="30" t="n">
        <f aca="false" t="array" ref="S88:S88">MIN(1,ROUND(Paramètres!$B$21*INDEX(Rôles!$G$5:$G$13,AY88),3))</f>
        <v>0.9</v>
      </c>
      <c r="T88" s="30" t="n">
        <f aca="false" t="array" ref="T88:T88">MIN(Paramètres!$B$28,ROUND(Paramètres!$B$22*INDEX(Rôles!$H$5:$H$13,AY88),3))</f>
        <v>0.05</v>
      </c>
      <c r="U88" s="30" t="n">
        <f aca="false" t="array" ref="U88:U88">ROUND(Paramètres!$B$23*INDEX(Rôles!$I$5:$I$13,AY88),3)</f>
        <v>0.5</v>
      </c>
      <c r="V88" s="30" t="n">
        <f aca="false" t="array" ref="V88:V88">MIN(Paramètres!$B$29,ROUND(Paramètres!$B$24*INDEX(Rôles!$J$5:$J$13,AY88),3))</f>
        <v>0.05</v>
      </c>
      <c r="W88" s="30" t="n">
        <f aca="false" t="array" ref="W88:W88">MIN(Paramètres!$B$27,ROUND((Paramètres!$B$25+(Paramètres!$B$26-Paramètres!$B$25)*(K88-Paramètres!$B$7)/(Paramètres!$B$8-Paramètres!$B$7))*INDEX(Rôles!$K$5:$K$13,AY88)+INDEX(Rôles!$G$18:$G$22,AZ88),3))</f>
        <v>0.287</v>
      </c>
      <c r="X88" s="30" t="n">
        <f aca="false">ROUND(1-(1-P88/(P88+(Paramètres!$B$19*(Paramètres!$B$5+(1-Paramètres!$B$5)*((K88-Paramètres!$B$7)/(Paramètres!$B$8-Paramètres!$B$7))^Paramètres!$B$6)*(1-Paramètres!$B$30)/Paramètres!$B$30)))*(1-O88/(O88+(Paramètres!$B$18*(Paramètres!$B$5+(1-Paramètres!$B$5)*((K88-Paramètres!$B$7)/(Paramètres!$B$8-Paramètres!$B$7))^Paramètres!$B$6)*(1-Paramètres!$B$31)/Paramètres!$B$31))),3)</f>
        <v>0.346</v>
      </c>
      <c r="Y88" s="30" t="n">
        <f aca="false">ROUND(O88/(O88+(Paramètres!$B$18*(Paramètres!$B$5+(1-Paramètres!$B$5)*((K88-Paramètres!$B$7)/(Paramètres!$B$8-Paramètres!$B$7))^Paramètres!$B$6)*(1-Paramètres!$B$31)/Paramètres!$B$31)),3)</f>
        <v>0.15</v>
      </c>
      <c r="Z88" s="31" t="n">
        <f aca="false" t="array" ref="Z88:Z88">IF(E88="Neutre",0,MIN(1,INDEX(Rôles!$L$5:$L$13,AY88)+INDEX(Rôles!$F$18:$F$22,AZ88)))</f>
        <v>0.5</v>
      </c>
      <c r="AA88" s="32" t="n">
        <f aca="false" t="array" ref="AA88:AA88">ROUND(INDEX(Rôles!$C$18:$C$22,AZ88)*INDEX(Rôles!$C$5:$C$13,AY88),4)</f>
        <v>0.015</v>
      </c>
      <c r="AB88" s="33" t="n">
        <f aca="false" t="array" ref="AB88:AB88">ROUND(INDEX(Rôles!$B$18:$B$22,AZ88)*INDEX(Rôles!$B$5:$B$13,AY88),2)</f>
        <v>2.3</v>
      </c>
      <c r="AC88" s="33" t="n">
        <f aca="false" t="array" ref="AC88:AC88">INDEX(Rôles!$E$18:$E$22,AZ88)</f>
        <v>1</v>
      </c>
      <c r="AD88" s="23" t="str">
        <f aca="false" t="array" ref="AD88:AD88">INDEX(Éléments!$F$5:$F$14,MATCH(E88,Éléments!$A$5:$A$14,0))</f>
        <v>Lumière</v>
      </c>
      <c r="AE88" s="23" t="str">
        <f aca="false" t="array" ref="AE88:AE88">INDEX(Éléments!$G$5:$G$14,MATCH(E88,Éléments!$A$5:$A$14,0))</f>
        <v>—</v>
      </c>
      <c r="AF88" s="34" t="s">
        <v>357</v>
      </c>
      <c r="AG88" s="35" t="n">
        <v>0.25</v>
      </c>
      <c r="AH88" s="34" t="s">
        <v>358</v>
      </c>
      <c r="AI88" s="35" t="n">
        <v>0.15</v>
      </c>
      <c r="AJ88" s="29" t="n">
        <f aca="false" t="array" ref="AJ88:AJ88">ROUND(ROUND(Paramètres!$B$49*K88^Paramètres!$B$50,0)*INDEX(Rôles!$E$18:$E$22,AZ88),0)</f>
        <v>1780</v>
      </c>
      <c r="AK88" s="29" t="n">
        <f aca="false" t="array" ref="AK88:AK88">ROUND(ROUND(Paramètres!$B$53*K88^Paramètres!$B$54,0)*INDEX(Rôles!$E$18:$E$22,AZ88),0)</f>
        <v>1403</v>
      </c>
      <c r="AL88" s="36" t="n">
        <f aca="false">INDEX(Butin!$B$7:$B$11,AZ88)</f>
        <v>0.05</v>
      </c>
      <c r="AM88" s="37" t="n">
        <f aca="false">INDEX(Butin!$E$7:$E$11,AZ88)</f>
        <v>0.05</v>
      </c>
      <c r="AN88" s="30" t="n">
        <f aca="false">IF($H88="Boss",INDEX(Butin!$E$28:$K$37,MATCH($B88,Éléments!$C$5:$C$14,1),1),IF($H88="Dragon",INDEX(Butin!$E$41:$K$50,MATCH($B88,Éléments!$C$5:$C$14,1),1),INDEX(Butin!$E$15:$K$24,MATCH($B88,Éléments!$C$5:$C$14,1),1)))</f>
        <v>0.09</v>
      </c>
      <c r="AO88" s="30" t="n">
        <f aca="false">IF($H88="Boss",INDEX(Butin!$E$28:$K$37,MATCH($B88,Éléments!$C$5:$C$14,1),2),IF($H88="Dragon",INDEX(Butin!$E$41:$K$50,MATCH($B88,Éléments!$C$5:$C$14,1),2),INDEX(Butin!$E$15:$K$24,MATCH($B88,Éléments!$C$5:$C$14,1),2)))</f>
        <v>0.19</v>
      </c>
      <c r="AP88" s="30" t="n">
        <f aca="false">IF($H88="Boss",INDEX(Butin!$E$28:$K$37,MATCH($B88,Éléments!$C$5:$C$14,1),3),IF($H88="Dragon",INDEX(Butin!$E$41:$K$50,MATCH($B88,Éléments!$C$5:$C$14,1),3),INDEX(Butin!$E$15:$K$24,MATCH($B88,Éléments!$C$5:$C$14,1),3)))</f>
        <v>0.27</v>
      </c>
      <c r="AQ88" s="30" t="n">
        <f aca="false">IF($H88="Boss",INDEX(Butin!$E$28:$K$37,MATCH($B88,Éléments!$C$5:$C$14,1),4),IF($H88="Dragon",INDEX(Butin!$E$41:$K$50,MATCH($B88,Éléments!$C$5:$C$14,1),4),INDEX(Butin!$E$15:$K$24,MATCH($B88,Éléments!$C$5:$C$14,1),4)))</f>
        <v>0.24</v>
      </c>
      <c r="AR88" s="30" t="n">
        <f aca="false">IF($H88="Boss",INDEX(Butin!$E$28:$K$37,MATCH($B88,Éléments!$C$5:$C$14,1),5),IF($H88="Dragon",INDEX(Butin!$E$41:$K$50,MATCH($B88,Éléments!$C$5:$C$14,1),5),INDEX(Butin!$E$15:$K$24,MATCH($B88,Éléments!$C$5:$C$14,1),5)))</f>
        <v>0.145</v>
      </c>
      <c r="AS88" s="30" t="n">
        <f aca="false">IF($H88="Boss",INDEX(Butin!$E$28:$K$37,MATCH($B88,Éléments!$C$5:$C$14,1),6),IF($H88="Dragon",INDEX(Butin!$E$41:$K$50,MATCH($B88,Éléments!$C$5:$C$14,1),6),INDEX(Butin!$E$15:$K$24,MATCH($B88,Éléments!$C$5:$C$14,1),6)))</f>
        <v>0.058</v>
      </c>
      <c r="AT88" s="30" t="n">
        <f aca="false">IF($H88="Boss",INDEX(Butin!$E$28:$K$37,MATCH($B88,Éléments!$C$5:$C$14,1),7),IF($H88="Dragon",INDEX(Butin!$E$41:$K$50,MATCH($B88,Éléments!$C$5:$C$14,1),7),INDEX(Butin!$E$15:$K$24,MATCH($B88,Éléments!$C$5:$C$14,1),7)))</f>
        <v>0.007</v>
      </c>
      <c r="AU88" s="38" t="str">
        <f aca="false">IF(AT88=0,"—",INDEX(Butin!$D$54:$D$63,MATCH($B88,Éléments!$C$5:$C$14,1))&amp;" · "&amp;INDEX(Butin!$F$54:$F$63,MATCH($B88,Éléments!$C$5:$C$14,1))&amp;" · "&amp;INDEX(Butin!$H$54:$H$63,MATCH($B88,Éléments!$C$5:$C$14,1)))</f>
        <v>Épée de la Mort · Amulette de l'Œil Maudit · Carquois du Chasseur de Spectres</v>
      </c>
      <c r="AV88" s="20" t="s">
        <v>362</v>
      </c>
      <c r="AW88" s="39" t="str">
        <f aca="false">B88&amp;IF(G88="Oui","|B","|N")</f>
        <v>95|N</v>
      </c>
      <c r="AX88" s="40" t="n">
        <f aca="false">(Paramètres!$B$5+(1-Paramètres!$B$5)*((K88-Paramètres!$B$7)/(Paramètres!$B$8-Paramètres!$B$7))^Paramètres!$B$6)</f>
        <v>0.942719037005277</v>
      </c>
      <c r="AY88" s="39" t="n">
        <f aca="false">MATCH(I88,Rôles!$A$5:$A$13,0)</f>
        <v>3</v>
      </c>
      <c r="AZ88" s="39" t="n">
        <f aca="false">MATCH(H88,Rôles!$A$18:$A$22,0)</f>
        <v>2</v>
      </c>
    </row>
    <row r="89" customFormat="false" ht="15.75" hidden="false" customHeight="true" outlineLevel="0" collapsed="false">
      <c r="A89" s="20" t="s">
        <v>363</v>
      </c>
      <c r="B89" s="21" t="n">
        <v>95</v>
      </c>
      <c r="C89" s="22" t="str">
        <f aca="false" t="array" ref="C89:C89">INDEX(Zones!$B$6:$B$35,MATCH(B89,Zones!$A$6:$A$35,0))</f>
        <v>Plaine démoniaque</v>
      </c>
      <c r="D89" s="23" t="str">
        <f aca="false" t="array" ref="D89:D89">INDEX(Éléments!$B$5:$B$14,MATCH(B89,Éléments!$C$5:$C$14,1))</f>
        <v>Palais démoniaque</v>
      </c>
      <c r="E89" s="49" t="str">
        <f aca="false" t="array" ref="E89:E89">INDEX(Éléments!$A$5:$A$14,MATCH(B89,Éléments!$C$5:$C$14,1))</f>
        <v>Ombre</v>
      </c>
      <c r="F89" s="25" t="s">
        <v>364</v>
      </c>
      <c r="G89" s="23" t="str">
        <f aca="false">IF(OR(H89="Boss",H89="Dragon"),"Oui","Non")</f>
        <v>Non</v>
      </c>
      <c r="H89" s="26" t="s">
        <v>165</v>
      </c>
      <c r="I89" s="26" t="s">
        <v>145</v>
      </c>
      <c r="J89" s="26" t="s">
        <v>140</v>
      </c>
      <c r="K89" s="27" t="n">
        <f aca="false">IF($F$3="",B89,$F$3)</f>
        <v>95</v>
      </c>
      <c r="L89" s="28" t="n">
        <f aca="false" t="array" ref="L89:L89">ROUND(Paramètres!$B$16*(Paramètres!$B$5+(1-Paramètres!$B$5)*((K89-Paramètres!$B$7)/(Paramètres!$B$8-Paramètres!$B$7))^Paramètres!$B$6)*INDEX(Rôles!$B$18:$B$22,AZ89)*INDEX(Rôles!$B$5:$B$13,AY89),0)</f>
        <v>835</v>
      </c>
      <c r="M89" s="29" t="n">
        <f aca="false" t="array" ref="M89:M89">ROUND(IF(J89="Physique",1,IF(J89="Mixte",Paramètres!$B$32,0))*Paramètres!$B$12*(Paramètres!$B$5+(1-Paramètres!$B$5)*((K89-Paramètres!$B$7)/(Paramètres!$B$8-Paramètres!$B$7))^Paramètres!$B$6)*INDEX(Rôles!$C$18:$C$22,AZ89)*INDEX(Rôles!$C$5:$C$13,AY89)/(Paramètres!$B$35*(1-Paramètres!$B$36)),0)</f>
        <v>259</v>
      </c>
      <c r="N89" s="29" t="n">
        <f aca="false" t="array" ref="N89:N89">ROUND(IF(J89="Magique",1,IF(J89="Mixte",Paramètres!$B$32,0))*Paramètres!$B$12*(Paramètres!$B$5+(1-Paramètres!$B$5)*((K89-Paramètres!$B$7)/(Paramètres!$B$8-Paramètres!$B$7))^Paramètres!$B$6)*INDEX(Rôles!$C$18:$C$22,AZ89)*INDEX(Rôles!$C$5:$C$13,AY89)/(Paramètres!$B$35*(1-Paramètres!$B$36)),0)</f>
        <v>0</v>
      </c>
      <c r="O89" s="29" t="n">
        <f aca="false" t="array" ref="O89:O89">ROUND(Paramètres!$B$18*(Paramètres!$B$5+(1-Paramètres!$B$5)*((K89-Paramètres!$B$7)/(Paramètres!$B$8-Paramètres!$B$7))^Paramètres!$B$6)*INDEX(Rôles!$D$5:$D$13,AY89)*INDEX(Rôles!$D$18:$D$22,AZ89),0)</f>
        <v>204</v>
      </c>
      <c r="P89" s="29" t="n">
        <f aca="false" t="array" ref="P89:P89">ROUND(Paramètres!$B$19*(Paramètres!$B$5+(1-Paramètres!$B$5)*((K89-Paramètres!$B$7)/(Paramètres!$B$8-Paramètres!$B$7))^Paramètres!$B$6)*INDEX(Rôles!$E$5:$E$13,AY89)*INDEX(Rôles!$D$18:$D$22,AZ89),0)</f>
        <v>151</v>
      </c>
      <c r="Q89" s="29" t="n">
        <f aca="false" t="array" ref="Q89:Q89">ROUND(Paramètres!$B$20*(Paramètres!$B$5+(1-Paramètres!$B$5)*((K89-Paramètres!$B$7)/(Paramètres!$B$8-Paramètres!$B$7))^Paramètres!$B$6)*INDEX(Rôles!$F$5:$F$13,AY89),0)</f>
        <v>181</v>
      </c>
      <c r="R89" s="29" t="n">
        <f aca="false">ROUND(Paramètres!$B$64*$AX89*INDEX(Rôles!$N$5:$N$13,$AY89)*INDEX(Rôles!$I$18:$I$22,$AZ89),0)</f>
        <v>127</v>
      </c>
      <c r="S89" s="30" t="n">
        <f aca="false" t="array" ref="S89:S89">MIN(1,ROUND(Paramètres!$B$21*INDEX(Rôles!$G$5:$G$13,AY89),3))</f>
        <v>1</v>
      </c>
      <c r="T89" s="30" t="n">
        <f aca="false" t="array" ref="T89:T89">MIN(Paramètres!$B$28,ROUND(Paramètres!$B$22*INDEX(Rôles!$H$5:$H$13,AY89),3))</f>
        <v>0.08</v>
      </c>
      <c r="U89" s="30" t="n">
        <f aca="false" t="array" ref="U89:U89">ROUND(Paramètres!$B$23*INDEX(Rôles!$I$5:$I$13,AY89),3)</f>
        <v>0.7</v>
      </c>
      <c r="V89" s="30" t="n">
        <f aca="false" t="array" ref="V89:V89">MIN(Paramètres!$B$29,ROUND(Paramètres!$B$24*INDEX(Rôles!$J$5:$J$13,AY89),3))</f>
        <v>0.06</v>
      </c>
      <c r="W89" s="30" t="n">
        <f aca="false" t="array" ref="W89:W89">MIN(Paramètres!$B$27,ROUND((Paramètres!$B$25+(Paramètres!$B$26-Paramètres!$B$25)*(K89-Paramètres!$B$7)/(Paramètres!$B$8-Paramètres!$B$7))*INDEX(Rôles!$K$5:$K$13,AY89)+INDEX(Rôles!$G$18:$G$22,AZ89),3))</f>
        <v>0.23</v>
      </c>
      <c r="X89" s="30" t="n">
        <f aca="false">ROUND(1-(1-P89/(P89+(Paramètres!$B$19*(Paramètres!$B$5+(1-Paramètres!$B$5)*((K89-Paramètres!$B$7)/(Paramètres!$B$8-Paramètres!$B$7))^Paramètres!$B$6)*(1-Paramètres!$B$30)/Paramètres!$B$30)))*(1-O89/(O89+(Paramètres!$B$18*(Paramètres!$B$5+(1-Paramètres!$B$5)*((K89-Paramètres!$B$7)/(Paramètres!$B$8-Paramètres!$B$7))^Paramètres!$B$6)*(1-Paramètres!$B$31)/Paramètres!$B$31))),3)</f>
        <v>0.162</v>
      </c>
      <c r="Y89" s="30" t="n">
        <f aca="false">ROUND(O89/(O89+(Paramètres!$B$18*(Paramètres!$B$5+(1-Paramètres!$B$5)*((K89-Paramètres!$B$7)/(Paramètres!$B$8-Paramètres!$B$7))^Paramètres!$B$6)*(1-Paramètres!$B$31)/Paramètres!$B$31)),3)</f>
        <v>0.078</v>
      </c>
      <c r="Z89" s="31" t="n">
        <f aca="false" t="array" ref="Z89:Z89">IF(E89="Neutre",0,MIN(1,INDEX(Rôles!$L$5:$L$13,AY89)+INDEX(Rôles!$F$18:$F$22,AZ89)))</f>
        <v>0.5</v>
      </c>
      <c r="AA89" s="32" t="n">
        <f aca="false" t="array" ref="AA89:AA89">ROUND(INDEX(Rôles!$C$18:$C$22,AZ89)*INDEX(Rôles!$C$5:$C$13,AY89),4)</f>
        <v>0.012</v>
      </c>
      <c r="AB89" s="33" t="n">
        <f aca="false" t="array" ref="AB89:AB89">ROUND(INDEX(Rôles!$B$18:$B$22,AZ89)*INDEX(Rôles!$B$5:$B$13,AY89),2)</f>
        <v>1.13</v>
      </c>
      <c r="AC89" s="33" t="n">
        <f aca="false" t="array" ref="AC89:AC89">INDEX(Rôles!$E$18:$E$22,AZ89)</f>
        <v>0.7</v>
      </c>
      <c r="AD89" s="23" t="str">
        <f aca="false" t="array" ref="AD89:AD89">INDEX(Éléments!$F$5:$F$14,MATCH(E89,Éléments!$A$5:$A$14,0))</f>
        <v>Lumière</v>
      </c>
      <c r="AE89" s="23" t="str">
        <f aca="false" t="array" ref="AE89:AE89">INDEX(Éléments!$G$5:$G$14,MATCH(E89,Éléments!$A$5:$A$14,0))</f>
        <v>—</v>
      </c>
      <c r="AF89" s="34" t="s">
        <v>357</v>
      </c>
      <c r="AG89" s="35" t="n">
        <v>0.2</v>
      </c>
      <c r="AH89" s="34"/>
      <c r="AI89" s="35"/>
      <c r="AJ89" s="29" t="n">
        <f aca="false" t="array" ref="AJ89:AJ89">ROUND(ROUND(Paramètres!$B$49*K89^Paramètres!$B$50,0)*INDEX(Rôles!$E$18:$E$22,AZ89),0)</f>
        <v>1246</v>
      </c>
      <c r="AK89" s="29" t="n">
        <f aca="false" t="array" ref="AK89:AK89">ROUND(ROUND(Paramètres!$B$53*K89^Paramètres!$B$54,0)*INDEX(Rôles!$E$18:$E$22,AZ89),0)</f>
        <v>982</v>
      </c>
      <c r="AL89" s="36" t="n">
        <f aca="false">INDEX(Butin!$B$7:$B$11,AZ89)</f>
        <v>0.03</v>
      </c>
      <c r="AM89" s="37" t="n">
        <f aca="false">INDEX(Butin!$E$7:$E$11,AZ89)</f>
        <v>0.03</v>
      </c>
      <c r="AN89" s="30" t="n">
        <f aca="false">IF($H89="Boss",INDEX(Butin!$E$28:$K$37,MATCH($B89,Éléments!$C$5:$C$14,1),1),IF($H89="Dragon",INDEX(Butin!$E$41:$K$50,MATCH($B89,Éléments!$C$5:$C$14,1),1),INDEX(Butin!$E$15:$K$24,MATCH($B89,Éléments!$C$5:$C$14,1),1)))</f>
        <v>0.09</v>
      </c>
      <c r="AO89" s="30" t="n">
        <f aca="false">IF($H89="Boss",INDEX(Butin!$E$28:$K$37,MATCH($B89,Éléments!$C$5:$C$14,1),2),IF($H89="Dragon",INDEX(Butin!$E$41:$K$50,MATCH($B89,Éléments!$C$5:$C$14,1),2),INDEX(Butin!$E$15:$K$24,MATCH($B89,Éléments!$C$5:$C$14,1),2)))</f>
        <v>0.19</v>
      </c>
      <c r="AP89" s="30" t="n">
        <f aca="false">IF($H89="Boss",INDEX(Butin!$E$28:$K$37,MATCH($B89,Éléments!$C$5:$C$14,1),3),IF($H89="Dragon",INDEX(Butin!$E$41:$K$50,MATCH($B89,Éléments!$C$5:$C$14,1),3),INDEX(Butin!$E$15:$K$24,MATCH($B89,Éléments!$C$5:$C$14,1),3)))</f>
        <v>0.27</v>
      </c>
      <c r="AQ89" s="30" t="n">
        <f aca="false">IF($H89="Boss",INDEX(Butin!$E$28:$K$37,MATCH($B89,Éléments!$C$5:$C$14,1),4),IF($H89="Dragon",INDEX(Butin!$E$41:$K$50,MATCH($B89,Éléments!$C$5:$C$14,1),4),INDEX(Butin!$E$15:$K$24,MATCH($B89,Éléments!$C$5:$C$14,1),4)))</f>
        <v>0.24</v>
      </c>
      <c r="AR89" s="30" t="n">
        <f aca="false">IF($H89="Boss",INDEX(Butin!$E$28:$K$37,MATCH($B89,Éléments!$C$5:$C$14,1),5),IF($H89="Dragon",INDEX(Butin!$E$41:$K$50,MATCH($B89,Éléments!$C$5:$C$14,1),5),INDEX(Butin!$E$15:$K$24,MATCH($B89,Éléments!$C$5:$C$14,1),5)))</f>
        <v>0.145</v>
      </c>
      <c r="AS89" s="30" t="n">
        <f aca="false">IF($H89="Boss",INDEX(Butin!$E$28:$K$37,MATCH($B89,Éléments!$C$5:$C$14,1),6),IF($H89="Dragon",INDEX(Butin!$E$41:$K$50,MATCH($B89,Éléments!$C$5:$C$14,1),6),INDEX(Butin!$E$15:$K$24,MATCH($B89,Éléments!$C$5:$C$14,1),6)))</f>
        <v>0.058</v>
      </c>
      <c r="AT89" s="30" t="n">
        <f aca="false">IF($H89="Boss",INDEX(Butin!$E$28:$K$37,MATCH($B89,Éléments!$C$5:$C$14,1),7),IF($H89="Dragon",INDEX(Butin!$E$41:$K$50,MATCH($B89,Éléments!$C$5:$C$14,1),7),INDEX(Butin!$E$15:$K$24,MATCH($B89,Éléments!$C$5:$C$14,1),7)))</f>
        <v>0.007</v>
      </c>
      <c r="AU89" s="38" t="str">
        <f aca="false">IF(AT89=0,"—",INDEX(Butin!$D$54:$D$63,MATCH($B89,Éléments!$C$5:$C$14,1))&amp;" · "&amp;INDEX(Butin!$F$54:$F$63,MATCH($B89,Éléments!$C$5:$C$14,1))&amp;" · "&amp;INDEX(Butin!$H$54:$H$63,MATCH($B89,Éléments!$C$5:$C$14,1)))</f>
        <v>Épée de la Mort · Amulette de l'Œil Maudit · Carquois du Chasseur de Spectres</v>
      </c>
      <c r="AV89" s="20" t="s">
        <v>365</v>
      </c>
      <c r="AW89" s="39" t="str">
        <f aca="false">B89&amp;IF(G89="Oui","|B","|N")</f>
        <v>95|N</v>
      </c>
      <c r="AX89" s="40" t="n">
        <f aca="false">(Paramètres!$B$5+(1-Paramètres!$B$5)*((K89-Paramètres!$B$7)/(Paramètres!$B$8-Paramètres!$B$7))^Paramètres!$B$6)</f>
        <v>0.942719037005277</v>
      </c>
      <c r="AY89" s="39" t="n">
        <f aca="false">MATCH(I89,Rôles!$A$5:$A$13,0)</f>
        <v>7</v>
      </c>
      <c r="AZ89" s="39" t="n">
        <f aca="false">MATCH(H89,Rôles!$A$18:$A$22,0)</f>
        <v>1</v>
      </c>
    </row>
    <row r="90" customFormat="false" ht="15.75" hidden="false" customHeight="true" outlineLevel="0" collapsed="false">
      <c r="A90" s="20" t="s">
        <v>366</v>
      </c>
      <c r="B90" s="21" t="n">
        <v>95</v>
      </c>
      <c r="C90" s="22" t="str">
        <f aca="false" t="array" ref="C90:C90">INDEX(Zones!$B$6:$B$35,MATCH(B90,Zones!$A$6:$A$35,0))</f>
        <v>Plaine démoniaque</v>
      </c>
      <c r="D90" s="23" t="str">
        <f aca="false" t="array" ref="D90:D90">INDEX(Éléments!$B$5:$B$14,MATCH(B90,Éléments!$C$5:$C$14,1))</f>
        <v>Palais démoniaque</v>
      </c>
      <c r="E90" s="49" t="str">
        <f aca="false" t="array" ref="E90:E90">INDEX(Éléments!$A$5:$A$14,MATCH(B90,Éléments!$C$5:$C$14,1))</f>
        <v>Ombre</v>
      </c>
      <c r="F90" s="25" t="s">
        <v>367</v>
      </c>
      <c r="G90" s="23" t="str">
        <f aca="false">IF(OR(H90="Boss",H90="Dragon"),"Oui","Non")</f>
        <v>Non</v>
      </c>
      <c r="H90" s="26" t="s">
        <v>138</v>
      </c>
      <c r="I90" s="26" t="s">
        <v>160</v>
      </c>
      <c r="J90" s="26" t="s">
        <v>140</v>
      </c>
      <c r="K90" s="27" t="n">
        <f aca="false">IF($F$3="",B90,$F$3)</f>
        <v>95</v>
      </c>
      <c r="L90" s="28" t="n">
        <f aca="false" t="array" ref="L90:L90">ROUND(Paramètres!$B$16*(Paramètres!$B$5+(1-Paramètres!$B$5)*((K90-Paramètres!$B$7)/(Paramètres!$B$8-Paramètres!$B$7))^Paramètres!$B$6)*INDEX(Rôles!$B$18:$B$22,AZ90)*INDEX(Rôles!$B$5:$B$13,AY90),0)</f>
        <v>1707</v>
      </c>
      <c r="M90" s="29" t="n">
        <f aca="false" t="array" ref="M90:M90">ROUND(IF(J90="Physique",1,IF(J90="Mixte",Paramètres!$B$32,0))*Paramètres!$B$12*(Paramètres!$B$5+(1-Paramètres!$B$5)*((K90-Paramètres!$B$7)/(Paramètres!$B$8-Paramètres!$B$7))^Paramètres!$B$6)*INDEX(Rôles!$C$18:$C$22,AZ90)*INDEX(Rôles!$C$5:$C$13,AY90)/(Paramètres!$B$35*(1-Paramètres!$B$36)),0)</f>
        <v>323</v>
      </c>
      <c r="N90" s="29" t="n">
        <f aca="false" t="array" ref="N90:N90">ROUND(IF(J90="Magique",1,IF(J90="Mixte",Paramètres!$B$32,0))*Paramètres!$B$12*(Paramètres!$B$5+(1-Paramètres!$B$5)*((K90-Paramètres!$B$7)/(Paramètres!$B$8-Paramètres!$B$7))^Paramètres!$B$6)*INDEX(Rôles!$C$18:$C$22,AZ90)*INDEX(Rôles!$C$5:$C$13,AY90)/(Paramètres!$B$35*(1-Paramètres!$B$36)),0)</f>
        <v>0</v>
      </c>
      <c r="O90" s="29" t="n">
        <f aca="false" t="array" ref="O90:O90">ROUND(Paramètres!$B$18*(Paramètres!$B$5+(1-Paramètres!$B$5)*((K90-Paramètres!$B$7)/(Paramètres!$B$8-Paramètres!$B$7))^Paramètres!$B$6)*INDEX(Rôles!$D$5:$D$13,AY90)*INDEX(Rôles!$D$18:$D$22,AZ90),0)</f>
        <v>424</v>
      </c>
      <c r="P90" s="29" t="n">
        <f aca="false" t="array" ref="P90:P90">ROUND(Paramètres!$B$19*(Paramètres!$B$5+(1-Paramètres!$B$5)*((K90-Paramètres!$B$7)/(Paramètres!$B$8-Paramètres!$B$7))^Paramètres!$B$6)*INDEX(Rôles!$E$5:$E$13,AY90)*INDEX(Rôles!$D$18:$D$22,AZ90),0)</f>
        <v>453</v>
      </c>
      <c r="Q90" s="29" t="n">
        <f aca="false" t="array" ref="Q90:Q90">ROUND(Paramètres!$B$20*(Paramètres!$B$5+(1-Paramètres!$B$5)*((K90-Paramètres!$B$7)/(Paramètres!$B$8-Paramètres!$B$7))^Paramètres!$B$6)*INDEX(Rôles!$F$5:$F$13,AY90),0)</f>
        <v>102</v>
      </c>
      <c r="R90" s="29" t="n">
        <f aca="false">ROUND(Paramètres!$B$64*$AX90*INDEX(Rôles!$N$5:$N$13,$AY90)*INDEX(Rôles!$I$18:$I$22,$AZ90),0)</f>
        <v>90</v>
      </c>
      <c r="S90" s="30" t="n">
        <f aca="false" t="array" ref="S90:S90">MIN(1,ROUND(Paramètres!$B$21*INDEX(Rôles!$G$5:$G$13,AY90),3))</f>
        <v>0.9</v>
      </c>
      <c r="T90" s="30" t="n">
        <f aca="false" t="array" ref="T90:T90">MIN(Paramètres!$B$28,ROUND(Paramètres!$B$22*INDEX(Rôles!$H$5:$H$13,AY90),3))</f>
        <v>0.05</v>
      </c>
      <c r="U90" s="30" t="n">
        <f aca="false" t="array" ref="U90:U90">ROUND(Paramètres!$B$23*INDEX(Rôles!$I$5:$I$13,AY90),3)</f>
        <v>0.5</v>
      </c>
      <c r="V90" s="30" t="n">
        <f aca="false" t="array" ref="V90:V90">MIN(Paramètres!$B$29,ROUND(Paramètres!$B$24*INDEX(Rôles!$J$5:$J$13,AY90),3))</f>
        <v>0.05</v>
      </c>
      <c r="W90" s="30" t="n">
        <f aca="false" t="array" ref="W90:W90">MIN(Paramètres!$B$27,ROUND((Paramètres!$B$25+(Paramètres!$B$26-Paramètres!$B$25)*(K90-Paramètres!$B$7)/(Paramètres!$B$8-Paramètres!$B$7))*INDEX(Rôles!$K$5:$K$13,AY90)+INDEX(Rôles!$G$18:$G$22,AZ90),3))</f>
        <v>0.287</v>
      </c>
      <c r="X90" s="30" t="n">
        <f aca="false">ROUND(1-(1-P90/(P90+(Paramètres!$B$19*(Paramètres!$B$5+(1-Paramètres!$B$5)*((K90-Paramètres!$B$7)/(Paramètres!$B$8-Paramètres!$B$7))^Paramètres!$B$6)*(1-Paramètres!$B$30)/Paramètres!$B$30)))*(1-O90/(O90+(Paramètres!$B$18*(Paramètres!$B$5+(1-Paramètres!$B$5)*((K90-Paramètres!$B$7)/(Paramètres!$B$8-Paramètres!$B$7))^Paramètres!$B$6)*(1-Paramètres!$B$31)/Paramètres!$B$31))),3)</f>
        <v>0.346</v>
      </c>
      <c r="Y90" s="30" t="n">
        <f aca="false">ROUND(O90/(O90+(Paramètres!$B$18*(Paramètres!$B$5+(1-Paramètres!$B$5)*((K90-Paramètres!$B$7)/(Paramètres!$B$8-Paramètres!$B$7))^Paramètres!$B$6)*(1-Paramètres!$B$31)/Paramètres!$B$31)),3)</f>
        <v>0.15</v>
      </c>
      <c r="Z90" s="31" t="n">
        <f aca="false" t="array" ref="Z90:Z90">IF(E90="Neutre",0,MIN(1,INDEX(Rôles!$L$5:$L$13,AY90)+INDEX(Rôles!$F$18:$F$22,AZ90)))</f>
        <v>0.5</v>
      </c>
      <c r="AA90" s="32" t="n">
        <f aca="false" t="array" ref="AA90:AA90">ROUND(INDEX(Rôles!$C$18:$C$22,AZ90)*INDEX(Rôles!$C$5:$C$13,AY90),4)</f>
        <v>0.015</v>
      </c>
      <c r="AB90" s="33" t="n">
        <f aca="false" t="array" ref="AB90:AB90">ROUND(INDEX(Rôles!$B$18:$B$22,AZ90)*INDEX(Rôles!$B$5:$B$13,AY90),2)</f>
        <v>2.3</v>
      </c>
      <c r="AC90" s="33" t="n">
        <f aca="false" t="array" ref="AC90:AC90">INDEX(Rôles!$E$18:$E$22,AZ90)</f>
        <v>1</v>
      </c>
      <c r="AD90" s="23" t="str">
        <f aca="false" t="array" ref="AD90:AD90">INDEX(Éléments!$F$5:$F$14,MATCH(E90,Éléments!$A$5:$A$14,0))</f>
        <v>Lumière</v>
      </c>
      <c r="AE90" s="23" t="str">
        <f aca="false" t="array" ref="AE90:AE90">INDEX(Éléments!$G$5:$G$14,MATCH(E90,Éléments!$A$5:$A$14,0))</f>
        <v>—</v>
      </c>
      <c r="AF90" s="34" t="s">
        <v>357</v>
      </c>
      <c r="AG90" s="35" t="n">
        <v>0.25</v>
      </c>
      <c r="AH90" s="34" t="s">
        <v>358</v>
      </c>
      <c r="AI90" s="35" t="n">
        <v>0.15</v>
      </c>
      <c r="AJ90" s="29" t="n">
        <f aca="false" t="array" ref="AJ90:AJ90">ROUND(ROUND(Paramètres!$B$49*K90^Paramètres!$B$50,0)*INDEX(Rôles!$E$18:$E$22,AZ90),0)</f>
        <v>1780</v>
      </c>
      <c r="AK90" s="29" t="n">
        <f aca="false" t="array" ref="AK90:AK90">ROUND(ROUND(Paramètres!$B$53*K90^Paramètres!$B$54,0)*INDEX(Rôles!$E$18:$E$22,AZ90),0)</f>
        <v>1403</v>
      </c>
      <c r="AL90" s="36" t="n">
        <f aca="false">INDEX(Butin!$B$7:$B$11,AZ90)</f>
        <v>0.05</v>
      </c>
      <c r="AM90" s="37" t="n">
        <f aca="false">INDEX(Butin!$E$7:$E$11,AZ90)</f>
        <v>0.05</v>
      </c>
      <c r="AN90" s="30" t="n">
        <f aca="false">IF($H90="Boss",INDEX(Butin!$E$28:$K$37,MATCH($B90,Éléments!$C$5:$C$14,1),1),IF($H90="Dragon",INDEX(Butin!$E$41:$K$50,MATCH($B90,Éléments!$C$5:$C$14,1),1),INDEX(Butin!$E$15:$K$24,MATCH($B90,Éléments!$C$5:$C$14,1),1)))</f>
        <v>0.09</v>
      </c>
      <c r="AO90" s="30" t="n">
        <f aca="false">IF($H90="Boss",INDEX(Butin!$E$28:$K$37,MATCH($B90,Éléments!$C$5:$C$14,1),2),IF($H90="Dragon",INDEX(Butin!$E$41:$K$50,MATCH($B90,Éléments!$C$5:$C$14,1),2),INDEX(Butin!$E$15:$K$24,MATCH($B90,Éléments!$C$5:$C$14,1),2)))</f>
        <v>0.19</v>
      </c>
      <c r="AP90" s="30" t="n">
        <f aca="false">IF($H90="Boss",INDEX(Butin!$E$28:$K$37,MATCH($B90,Éléments!$C$5:$C$14,1),3),IF($H90="Dragon",INDEX(Butin!$E$41:$K$50,MATCH($B90,Éléments!$C$5:$C$14,1),3),INDEX(Butin!$E$15:$K$24,MATCH($B90,Éléments!$C$5:$C$14,1),3)))</f>
        <v>0.27</v>
      </c>
      <c r="AQ90" s="30" t="n">
        <f aca="false">IF($H90="Boss",INDEX(Butin!$E$28:$K$37,MATCH($B90,Éléments!$C$5:$C$14,1),4),IF($H90="Dragon",INDEX(Butin!$E$41:$K$50,MATCH($B90,Éléments!$C$5:$C$14,1),4),INDEX(Butin!$E$15:$K$24,MATCH($B90,Éléments!$C$5:$C$14,1),4)))</f>
        <v>0.24</v>
      </c>
      <c r="AR90" s="30" t="n">
        <f aca="false">IF($H90="Boss",INDEX(Butin!$E$28:$K$37,MATCH($B90,Éléments!$C$5:$C$14,1),5),IF($H90="Dragon",INDEX(Butin!$E$41:$K$50,MATCH($B90,Éléments!$C$5:$C$14,1),5),INDEX(Butin!$E$15:$K$24,MATCH($B90,Éléments!$C$5:$C$14,1),5)))</f>
        <v>0.145</v>
      </c>
      <c r="AS90" s="30" t="n">
        <f aca="false">IF($H90="Boss",INDEX(Butin!$E$28:$K$37,MATCH($B90,Éléments!$C$5:$C$14,1),6),IF($H90="Dragon",INDEX(Butin!$E$41:$K$50,MATCH($B90,Éléments!$C$5:$C$14,1),6),INDEX(Butin!$E$15:$K$24,MATCH($B90,Éléments!$C$5:$C$14,1),6)))</f>
        <v>0.058</v>
      </c>
      <c r="AT90" s="30" t="n">
        <f aca="false">IF($H90="Boss",INDEX(Butin!$E$28:$K$37,MATCH($B90,Éléments!$C$5:$C$14,1),7),IF($H90="Dragon",INDEX(Butin!$E$41:$K$50,MATCH($B90,Éléments!$C$5:$C$14,1),7),INDEX(Butin!$E$15:$K$24,MATCH($B90,Éléments!$C$5:$C$14,1),7)))</f>
        <v>0.007</v>
      </c>
      <c r="AU90" s="38" t="str">
        <f aca="false">IF(AT90=0,"—",INDEX(Butin!$D$54:$D$63,MATCH($B90,Éléments!$C$5:$C$14,1))&amp;" · "&amp;INDEX(Butin!$F$54:$F$63,MATCH($B90,Éléments!$C$5:$C$14,1))&amp;" · "&amp;INDEX(Butin!$H$54:$H$63,MATCH($B90,Éléments!$C$5:$C$14,1)))</f>
        <v>Épée de la Mort · Amulette de l'Œil Maudit · Carquois du Chasseur de Spectres</v>
      </c>
      <c r="AV90" s="20" t="s">
        <v>368</v>
      </c>
      <c r="AW90" s="39" t="str">
        <f aca="false">B90&amp;IF(G90="Oui","|B","|N")</f>
        <v>95|N</v>
      </c>
      <c r="AX90" s="40" t="n">
        <f aca="false">(Paramètres!$B$5+(1-Paramètres!$B$5)*((K90-Paramètres!$B$7)/(Paramètres!$B$8-Paramètres!$B$7))^Paramètres!$B$6)</f>
        <v>0.942719037005277</v>
      </c>
      <c r="AY90" s="39" t="n">
        <f aca="false">MATCH(I90,Rôles!$A$5:$A$13,0)</f>
        <v>3</v>
      </c>
      <c r="AZ90" s="39" t="n">
        <f aca="false">MATCH(H90,Rôles!$A$18:$A$22,0)</f>
        <v>2</v>
      </c>
    </row>
    <row r="91" customFormat="false" ht="15.75" hidden="false" customHeight="true" outlineLevel="0" collapsed="false">
      <c r="A91" s="20" t="s">
        <v>369</v>
      </c>
      <c r="B91" s="21" t="n">
        <v>95</v>
      </c>
      <c r="C91" s="22" t="str">
        <f aca="false" t="array" ref="C91:C91">INDEX(Zones!$B$6:$B$35,MATCH(B91,Zones!$A$6:$A$35,0))</f>
        <v>Plaine démoniaque</v>
      </c>
      <c r="D91" s="23" t="str">
        <f aca="false" t="array" ref="D91:D91">INDEX(Éléments!$B$5:$B$14,MATCH(B91,Éléments!$C$5:$C$14,1))</f>
        <v>Palais démoniaque</v>
      </c>
      <c r="E91" s="49" t="str">
        <f aca="false" t="array" ref="E91:E91">INDEX(Éléments!$A$5:$A$14,MATCH(B91,Éléments!$C$5:$C$14,1))</f>
        <v>Ombre</v>
      </c>
      <c r="F91" s="25" t="s">
        <v>370</v>
      </c>
      <c r="G91" s="23" t="str">
        <f aca="false">IF(OR(H91="Boss",H91="Dragon"),"Oui","Non")</f>
        <v>Non</v>
      </c>
      <c r="H91" s="26" t="s">
        <v>138</v>
      </c>
      <c r="I91" s="26" t="s">
        <v>195</v>
      </c>
      <c r="J91" s="26" t="s">
        <v>173</v>
      </c>
      <c r="K91" s="27" t="n">
        <f aca="false">IF($F$3="",B91,$F$3)</f>
        <v>95</v>
      </c>
      <c r="L91" s="28" t="n">
        <f aca="false" t="array" ref="L91:L91">ROUND(Paramètres!$B$16*(Paramètres!$B$5+(1-Paramètres!$B$5)*((K91-Paramètres!$B$7)/(Paramètres!$B$8-Paramètres!$B$7))^Paramètres!$B$6)*INDEX(Rôles!$B$18:$B$22,AZ91)*INDEX(Rôles!$B$5:$B$13,AY91),0)</f>
        <v>1039</v>
      </c>
      <c r="M91" s="29" t="n">
        <f aca="false" t="array" ref="M91:M91">ROUND(IF(J91="Physique",1,IF(J91="Mixte",Paramètres!$B$32,0))*Paramètres!$B$12*(Paramètres!$B$5+(1-Paramètres!$B$5)*((K91-Paramètres!$B$7)/(Paramètres!$B$8-Paramètres!$B$7))^Paramètres!$B$6)*INDEX(Rôles!$C$18:$C$22,AZ91)*INDEX(Rôles!$C$5:$C$13,AY91)/(Paramètres!$B$35*(1-Paramètres!$B$36)),0)</f>
        <v>0</v>
      </c>
      <c r="N91" s="29" t="n">
        <f aca="false" t="array" ref="N91:N91">ROUND(IF(J91="Magique",1,IF(J91="Mixte",Paramètres!$B$32,0))*Paramètres!$B$12*(Paramètres!$B$5+(1-Paramètres!$B$5)*((K91-Paramètres!$B$7)/(Paramètres!$B$8-Paramètres!$B$7))^Paramètres!$B$6)*INDEX(Rôles!$C$18:$C$22,AZ91)*INDEX(Rôles!$C$5:$C$13,AY91)/(Paramètres!$B$35*(1-Paramètres!$B$36)),0)</f>
        <v>404</v>
      </c>
      <c r="O91" s="29" t="n">
        <f aca="false" t="array" ref="O91:O91">ROUND(Paramètres!$B$18*(Paramètres!$B$5+(1-Paramètres!$B$5)*((K91-Paramètres!$B$7)/(Paramètres!$B$8-Paramètres!$B$7))^Paramètres!$B$6)*INDEX(Rôles!$D$5:$D$13,AY91)*INDEX(Rôles!$D$18:$D$22,AZ91),0)</f>
        <v>467</v>
      </c>
      <c r="P91" s="29" t="n">
        <f aca="false" t="array" ref="P91:P91">ROUND(Paramètres!$B$19*(Paramètres!$B$5+(1-Paramètres!$B$5)*((K91-Paramètres!$B$7)/(Paramètres!$B$8-Paramètres!$B$7))^Paramètres!$B$6)*INDEX(Rôles!$E$5:$E$13,AY91)*INDEX(Rôles!$D$18:$D$22,AZ91),0)</f>
        <v>151</v>
      </c>
      <c r="Q91" s="29" t="n">
        <f aca="false" t="array" ref="Q91:Q91">ROUND(Paramètres!$B$20*(Paramètres!$B$5+(1-Paramètres!$B$5)*((K91-Paramètres!$B$7)/(Paramètres!$B$8-Paramètres!$B$7))^Paramètres!$B$6)*INDEX(Rôles!$F$5:$F$13,AY91),0)</f>
        <v>102</v>
      </c>
      <c r="R91" s="29" t="n">
        <f aca="false">ROUND(Paramètres!$B$64*$AX91*INDEX(Rôles!$N$5:$N$13,$AY91)*INDEX(Rôles!$I$18:$I$22,$AZ91),0)</f>
        <v>85</v>
      </c>
      <c r="S91" s="30" t="n">
        <f aca="false" t="array" ref="S91:S91">MIN(1,ROUND(Paramètres!$B$21*INDEX(Rôles!$G$5:$G$13,AY91),3))</f>
        <v>0.9</v>
      </c>
      <c r="T91" s="30" t="n">
        <f aca="false" t="array" ref="T91:T91">MIN(Paramètres!$B$28,ROUND(Paramètres!$B$22*INDEX(Rôles!$H$5:$H$13,AY91),3))</f>
        <v>0.05</v>
      </c>
      <c r="U91" s="30" t="n">
        <f aca="false" t="array" ref="U91:U91">ROUND(Paramètres!$B$23*INDEX(Rôles!$I$5:$I$13,AY91),3)</f>
        <v>0.5</v>
      </c>
      <c r="V91" s="30" t="n">
        <f aca="false" t="array" ref="V91:V91">MIN(Paramètres!$B$29,ROUND(Paramètres!$B$24*INDEX(Rôles!$J$5:$J$13,AY91),3))</f>
        <v>0.065</v>
      </c>
      <c r="W91" s="30" t="n">
        <f aca="false" t="array" ref="W91:W91">MIN(Paramètres!$B$27,ROUND((Paramètres!$B$25+(Paramètres!$B$26-Paramètres!$B$25)*(K91-Paramètres!$B$7)/(Paramètres!$B$8-Paramètres!$B$7))*INDEX(Rôles!$K$5:$K$13,AY91)+INDEX(Rôles!$G$18:$G$22,AZ91),3))</f>
        <v>0.345</v>
      </c>
      <c r="X91" s="30" t="n">
        <f aca="false">ROUND(1-(1-P91/(P91+(Paramètres!$B$19*(Paramètres!$B$5+(1-Paramètres!$B$5)*((K91-Paramètres!$B$7)/(Paramètres!$B$8-Paramètres!$B$7))^Paramètres!$B$6)*(1-Paramètres!$B$30)/Paramètres!$B$30)))*(1-O91/(O91+(Paramètres!$B$18*(Paramètres!$B$5+(1-Paramètres!$B$5)*((K91-Paramètres!$B$7)/(Paramètres!$B$8-Paramètres!$B$7))^Paramètres!$B$6)*(1-Paramètres!$B$31)/Paramètres!$B$31))),3)</f>
        <v>0.239</v>
      </c>
      <c r="Y91" s="30" t="n">
        <f aca="false">ROUND(O91/(O91+(Paramètres!$B$18*(Paramètres!$B$5+(1-Paramètres!$B$5)*((K91-Paramètres!$B$7)/(Paramètres!$B$8-Paramètres!$B$7))^Paramètres!$B$6)*(1-Paramètres!$B$31)/Paramètres!$B$31)),3)</f>
        <v>0.163</v>
      </c>
      <c r="Z91" s="31" t="n">
        <f aca="false" t="array" ref="Z91:Z91">IF(E91="Neutre",0,MIN(1,INDEX(Rôles!$L$5:$L$13,AY91)+INDEX(Rôles!$F$18:$F$22,AZ91)))</f>
        <v>1</v>
      </c>
      <c r="AA91" s="32" t="n">
        <f aca="false" t="array" ref="AA91:AA91">ROUND(INDEX(Rôles!$C$18:$C$22,AZ91)*INDEX(Rôles!$C$5:$C$13,AY91),4)</f>
        <v>0.0188</v>
      </c>
      <c r="AB91" s="33" t="n">
        <f aca="false" t="array" ref="AB91:AB91">ROUND(INDEX(Rôles!$B$18:$B$22,AZ91)*INDEX(Rôles!$B$5:$B$13,AY91),2)</f>
        <v>1.4</v>
      </c>
      <c r="AC91" s="33" t="n">
        <f aca="false" t="array" ref="AC91:AC91">INDEX(Rôles!$E$18:$E$22,AZ91)</f>
        <v>1</v>
      </c>
      <c r="AD91" s="23" t="str">
        <f aca="false" t="array" ref="AD91:AD91">INDEX(Éléments!$F$5:$F$14,MATCH(E91,Éléments!$A$5:$A$14,0))</f>
        <v>Lumière</v>
      </c>
      <c r="AE91" s="23" t="str">
        <f aca="false" t="array" ref="AE91:AE91">INDEX(Éléments!$G$5:$G$14,MATCH(E91,Éléments!$A$5:$A$14,0))</f>
        <v>—</v>
      </c>
      <c r="AF91" s="34" t="s">
        <v>357</v>
      </c>
      <c r="AG91" s="35" t="n">
        <v>0.3</v>
      </c>
      <c r="AH91" s="34" t="s">
        <v>358</v>
      </c>
      <c r="AI91" s="35" t="n">
        <v>0.2</v>
      </c>
      <c r="AJ91" s="29" t="n">
        <f aca="false" t="array" ref="AJ91:AJ91">ROUND(ROUND(Paramètres!$B$49*K91^Paramètres!$B$50,0)*INDEX(Rôles!$E$18:$E$22,AZ91),0)</f>
        <v>1780</v>
      </c>
      <c r="AK91" s="29" t="n">
        <f aca="false" t="array" ref="AK91:AK91">ROUND(ROUND(Paramètres!$B$53*K91^Paramètres!$B$54,0)*INDEX(Rôles!$E$18:$E$22,AZ91),0)</f>
        <v>1403</v>
      </c>
      <c r="AL91" s="36" t="n">
        <f aca="false">INDEX(Butin!$B$7:$B$11,AZ91)</f>
        <v>0.05</v>
      </c>
      <c r="AM91" s="37" t="n">
        <f aca="false">INDEX(Butin!$E$7:$E$11,AZ91)</f>
        <v>0.05</v>
      </c>
      <c r="AN91" s="30" t="n">
        <f aca="false">IF($H91="Boss",INDEX(Butin!$E$28:$K$37,MATCH($B91,Éléments!$C$5:$C$14,1),1),IF($H91="Dragon",INDEX(Butin!$E$41:$K$50,MATCH($B91,Éléments!$C$5:$C$14,1),1),INDEX(Butin!$E$15:$K$24,MATCH($B91,Éléments!$C$5:$C$14,1),1)))</f>
        <v>0.09</v>
      </c>
      <c r="AO91" s="30" t="n">
        <f aca="false">IF($H91="Boss",INDEX(Butin!$E$28:$K$37,MATCH($B91,Éléments!$C$5:$C$14,1),2),IF($H91="Dragon",INDEX(Butin!$E$41:$K$50,MATCH($B91,Éléments!$C$5:$C$14,1),2),INDEX(Butin!$E$15:$K$24,MATCH($B91,Éléments!$C$5:$C$14,1),2)))</f>
        <v>0.19</v>
      </c>
      <c r="AP91" s="30" t="n">
        <f aca="false">IF($H91="Boss",INDEX(Butin!$E$28:$K$37,MATCH($B91,Éléments!$C$5:$C$14,1),3),IF($H91="Dragon",INDEX(Butin!$E$41:$K$50,MATCH($B91,Éléments!$C$5:$C$14,1),3),INDEX(Butin!$E$15:$K$24,MATCH($B91,Éléments!$C$5:$C$14,1),3)))</f>
        <v>0.27</v>
      </c>
      <c r="AQ91" s="30" t="n">
        <f aca="false">IF($H91="Boss",INDEX(Butin!$E$28:$K$37,MATCH($B91,Éléments!$C$5:$C$14,1),4),IF($H91="Dragon",INDEX(Butin!$E$41:$K$50,MATCH($B91,Éléments!$C$5:$C$14,1),4),INDEX(Butin!$E$15:$K$24,MATCH($B91,Éléments!$C$5:$C$14,1),4)))</f>
        <v>0.24</v>
      </c>
      <c r="AR91" s="30" t="n">
        <f aca="false">IF($H91="Boss",INDEX(Butin!$E$28:$K$37,MATCH($B91,Éléments!$C$5:$C$14,1),5),IF($H91="Dragon",INDEX(Butin!$E$41:$K$50,MATCH($B91,Éléments!$C$5:$C$14,1),5),INDEX(Butin!$E$15:$K$24,MATCH($B91,Éléments!$C$5:$C$14,1),5)))</f>
        <v>0.145</v>
      </c>
      <c r="AS91" s="30" t="n">
        <f aca="false">IF($H91="Boss",INDEX(Butin!$E$28:$K$37,MATCH($B91,Éléments!$C$5:$C$14,1),6),IF($H91="Dragon",INDEX(Butin!$E$41:$K$50,MATCH($B91,Éléments!$C$5:$C$14,1),6),INDEX(Butin!$E$15:$K$24,MATCH($B91,Éléments!$C$5:$C$14,1),6)))</f>
        <v>0.058</v>
      </c>
      <c r="AT91" s="30" t="n">
        <f aca="false">IF($H91="Boss",INDEX(Butin!$E$28:$K$37,MATCH($B91,Éléments!$C$5:$C$14,1),7),IF($H91="Dragon",INDEX(Butin!$E$41:$K$50,MATCH($B91,Éléments!$C$5:$C$14,1),7),INDEX(Butin!$E$15:$K$24,MATCH($B91,Éléments!$C$5:$C$14,1),7)))</f>
        <v>0.007</v>
      </c>
      <c r="AU91" s="38" t="str">
        <f aca="false">IF(AT91=0,"—",INDEX(Butin!$D$54:$D$63,MATCH($B91,Éléments!$C$5:$C$14,1))&amp;" · "&amp;INDEX(Butin!$F$54:$F$63,MATCH($B91,Éléments!$C$5:$C$14,1))&amp;" · "&amp;INDEX(Butin!$H$54:$H$63,MATCH($B91,Éléments!$C$5:$C$14,1)))</f>
        <v>Épée de la Mort · Amulette de l'Œil Maudit · Carquois du Chasseur de Spectres</v>
      </c>
      <c r="AV91" s="20" t="s">
        <v>371</v>
      </c>
      <c r="AW91" s="39" t="str">
        <f aca="false">B91&amp;IF(G91="Oui","|B","|N")</f>
        <v>95|N</v>
      </c>
      <c r="AX91" s="40" t="n">
        <f aca="false">(Paramètres!$B$5+(1-Paramètres!$B$5)*((K91-Paramètres!$B$7)/(Paramètres!$B$8-Paramètres!$B$7))^Paramètres!$B$6)</f>
        <v>0.942719037005277</v>
      </c>
      <c r="AY91" s="39" t="n">
        <f aca="false">MATCH(I91,Rôles!$A$5:$A$13,0)</f>
        <v>5</v>
      </c>
      <c r="AZ91" s="39" t="n">
        <f aca="false">MATCH(H91,Rôles!$A$18:$A$22,0)</f>
        <v>2</v>
      </c>
    </row>
    <row r="92" customFormat="false" ht="15.75" hidden="false" customHeight="true" outlineLevel="0" collapsed="false">
      <c r="A92" s="20" t="s">
        <v>372</v>
      </c>
      <c r="B92" s="21" t="n">
        <v>95</v>
      </c>
      <c r="C92" s="22" t="str">
        <f aca="false" t="array" ref="C92:C92">INDEX(Zones!$B$6:$B$35,MATCH(B92,Zones!$A$6:$A$35,0))</f>
        <v>Plaine démoniaque</v>
      </c>
      <c r="D92" s="23" t="str">
        <f aca="false" t="array" ref="D92:D92">INDEX(Éléments!$B$5:$B$14,MATCH(B92,Éléments!$C$5:$C$14,1))</f>
        <v>Palais démoniaque</v>
      </c>
      <c r="E92" s="49" t="str">
        <f aca="false" t="array" ref="E92:E92">INDEX(Éléments!$A$5:$A$14,MATCH(B92,Éléments!$C$5:$C$14,1))</f>
        <v>Ombre</v>
      </c>
      <c r="F92" s="25" t="s">
        <v>373</v>
      </c>
      <c r="G92" s="23" t="str">
        <f aca="false">IF(OR(H92="Boss",H92="Dragon"),"Oui","Non")</f>
        <v>Non</v>
      </c>
      <c r="H92" s="26" t="s">
        <v>148</v>
      </c>
      <c r="I92" s="26" t="s">
        <v>149</v>
      </c>
      <c r="J92" s="26" t="s">
        <v>140</v>
      </c>
      <c r="K92" s="27" t="n">
        <f aca="false">IF($F$3="",B92,$F$3)</f>
        <v>95</v>
      </c>
      <c r="L92" s="28" t="n">
        <f aca="false" t="array" ref="L92:L92">ROUND(Paramètres!$B$16*(Paramètres!$B$5+(1-Paramètres!$B$5)*((K92-Paramètres!$B$7)/(Paramètres!$B$8-Paramètres!$B$7))^Paramètres!$B$6)*INDEX(Rôles!$B$18:$B$22,AZ92)*INDEX(Rôles!$B$5:$B$13,AY92),0)</f>
        <v>3118</v>
      </c>
      <c r="M92" s="29" t="n">
        <f aca="false" t="array" ref="M92:M92">ROUND(IF(J92="Physique",1,IF(J92="Mixte",Paramètres!$B$32,0))*Paramètres!$B$12*(Paramètres!$B$5+(1-Paramètres!$B$5)*((K92-Paramètres!$B$7)/(Paramètres!$B$8-Paramètres!$B$7))^Paramètres!$B$6)*INDEX(Rôles!$C$18:$C$22,AZ92)*INDEX(Rôles!$C$5:$C$13,AY92)/(Paramètres!$B$35*(1-Paramètres!$B$36)),0)</f>
        <v>389</v>
      </c>
      <c r="N92" s="29" t="n">
        <f aca="false" t="array" ref="N92:N92">ROUND(IF(J92="Magique",1,IF(J92="Mixte",Paramètres!$B$32,0))*Paramètres!$B$12*(Paramètres!$B$5+(1-Paramètres!$B$5)*((K92-Paramètres!$B$7)/(Paramètres!$B$8-Paramètres!$B$7))^Paramètres!$B$6)*INDEX(Rôles!$C$18:$C$22,AZ92)*INDEX(Rôles!$C$5:$C$13,AY92)/(Paramètres!$B$35*(1-Paramètres!$B$36)),0)</f>
        <v>0</v>
      </c>
      <c r="O92" s="29" t="n">
        <f aca="false" t="array" ref="O92:O92">ROUND(Paramètres!$B$18*(Paramètres!$B$5+(1-Paramètres!$B$5)*((K92-Paramètres!$B$7)/(Paramètres!$B$8-Paramètres!$B$7))^Paramètres!$B$6)*INDEX(Rôles!$D$5:$D$13,AY92)*INDEX(Rôles!$D$18:$D$22,AZ92),0)</f>
        <v>585</v>
      </c>
      <c r="P92" s="29" t="n">
        <f aca="false" t="array" ref="P92:P92">ROUND(Paramètres!$B$19*(Paramètres!$B$5+(1-Paramètres!$B$5)*((K92-Paramètres!$B$7)/(Paramètres!$B$8-Paramètres!$B$7))^Paramètres!$B$6)*INDEX(Rôles!$E$5:$E$13,AY92)*INDEX(Rôles!$D$18:$D$22,AZ92),0)</f>
        <v>650</v>
      </c>
      <c r="Q92" s="29" t="n">
        <f aca="false" t="array" ref="Q92:Q92">ROUND(Paramètres!$B$20*(Paramètres!$B$5+(1-Paramètres!$B$5)*((K92-Paramètres!$B$7)/(Paramètres!$B$8-Paramètres!$B$7))^Paramètres!$B$6)*INDEX(Rôles!$F$5:$F$13,AY92),0)</f>
        <v>68</v>
      </c>
      <c r="R92" s="29" t="n">
        <f aca="false">ROUND(Paramètres!$B$64*$AX92*INDEX(Rôles!$N$5:$N$13,$AY92)*INDEX(Rôles!$I$18:$I$22,$AZ92),0)</f>
        <v>69</v>
      </c>
      <c r="S92" s="30" t="n">
        <f aca="false" t="array" ref="S92:S92">MIN(1,ROUND(Paramètres!$B$21*INDEX(Rôles!$G$5:$G$13,AY92),3))</f>
        <v>0.765</v>
      </c>
      <c r="T92" s="30" t="n">
        <f aca="false" t="array" ref="T92:T92">MIN(Paramètres!$B$28,ROUND(Paramètres!$B$22*INDEX(Rôles!$H$5:$H$13,AY92),3))</f>
        <v>0.03</v>
      </c>
      <c r="U92" s="30" t="n">
        <f aca="false" t="array" ref="U92:U92">ROUND(Paramètres!$B$23*INDEX(Rôles!$I$5:$I$13,AY92),3)</f>
        <v>0.5</v>
      </c>
      <c r="V92" s="30" t="n">
        <f aca="false" t="array" ref="V92:V92">MIN(Paramètres!$B$29,ROUND(Paramètres!$B$24*INDEX(Rôles!$J$5:$J$13,AY92),3))</f>
        <v>0.04</v>
      </c>
      <c r="W92" s="30" t="n">
        <f aca="false" t="array" ref="W92:W92">MIN(Paramètres!$B$27,ROUND((Paramètres!$B$25+(Paramètres!$B$26-Paramètres!$B$25)*(K92-Paramètres!$B$7)/(Paramètres!$B$8-Paramètres!$B$7))*INDEX(Rôles!$K$5:$K$13,AY92)+INDEX(Rôles!$G$18:$G$22,AZ92),3))</f>
        <v>0.345</v>
      </c>
      <c r="X92" s="30" t="n">
        <f aca="false">ROUND(1-(1-P92/(P92+(Paramètres!$B$19*(Paramètres!$B$5+(1-Paramètres!$B$5)*((K92-Paramètres!$B$7)/(Paramètres!$B$8-Paramètres!$B$7))^Paramètres!$B$6)*(1-Paramètres!$B$30)/Paramètres!$B$30)))*(1-O92/(O92+(Paramètres!$B$18*(Paramètres!$B$5+(1-Paramètres!$B$5)*((K92-Paramètres!$B$7)/(Paramètres!$B$8-Paramètres!$B$7))^Paramètres!$B$6)*(1-Paramètres!$B$31)/Paramètres!$B$31))),3)</f>
        <v>0.438</v>
      </c>
      <c r="Y92" s="30" t="n">
        <f aca="false">ROUND(O92/(O92+(Paramètres!$B$18*(Paramètres!$B$5+(1-Paramètres!$B$5)*((K92-Paramètres!$B$7)/(Paramètres!$B$8-Paramètres!$B$7))^Paramètres!$B$6)*(1-Paramètres!$B$31)/Paramètres!$B$31)),3)</f>
        <v>0.196</v>
      </c>
      <c r="Z92" s="31" t="n">
        <f aca="false" t="array" ref="Z92:Z92">IF(E92="Neutre",0,MIN(1,INDEX(Rôles!$L$5:$L$13,AY92)+INDEX(Rôles!$F$18:$F$22,AZ92)))</f>
        <v>0.4</v>
      </c>
      <c r="AA92" s="32" t="n">
        <f aca="false" t="array" ref="AA92:AA92">ROUND(INDEX(Rôles!$C$18:$C$22,AZ92)*INDEX(Rôles!$C$5:$C$13,AY92),4)</f>
        <v>0.0181</v>
      </c>
      <c r="AB92" s="33" t="n">
        <f aca="false" t="array" ref="AB92:AB92">ROUND(INDEX(Rôles!$B$18:$B$22,AZ92)*INDEX(Rôles!$B$5:$B$13,AY92),2)</f>
        <v>4.2</v>
      </c>
      <c r="AC92" s="33" t="n">
        <f aca="false" t="array" ref="AC92:AC92">INDEX(Rôles!$E$18:$E$22,AZ92)</f>
        <v>1.4</v>
      </c>
      <c r="AD92" s="23" t="str">
        <f aca="false" t="array" ref="AD92:AD92">INDEX(Éléments!$F$5:$F$14,MATCH(E92,Éléments!$A$5:$A$14,0))</f>
        <v>Lumière</v>
      </c>
      <c r="AE92" s="23" t="str">
        <f aca="false" t="array" ref="AE92:AE92">INDEX(Éléments!$G$5:$G$14,MATCH(E92,Éléments!$A$5:$A$14,0))</f>
        <v>—</v>
      </c>
      <c r="AF92" s="34" t="s">
        <v>357</v>
      </c>
      <c r="AG92" s="35" t="n">
        <v>0.25</v>
      </c>
      <c r="AH92" s="34" t="s">
        <v>358</v>
      </c>
      <c r="AI92" s="35" t="n">
        <v>0.15</v>
      </c>
      <c r="AJ92" s="29" t="n">
        <f aca="false" t="array" ref="AJ92:AJ92">ROUND(ROUND(Paramètres!$B$49*K92^Paramètres!$B$50,0)*INDEX(Rôles!$E$18:$E$22,AZ92),0)</f>
        <v>2492</v>
      </c>
      <c r="AK92" s="29" t="n">
        <f aca="false" t="array" ref="AK92:AK92">ROUND(ROUND(Paramètres!$B$53*K92^Paramètres!$B$54,0)*INDEX(Rôles!$E$18:$E$22,AZ92),0)</f>
        <v>1964</v>
      </c>
      <c r="AL92" s="36" t="n">
        <f aca="false">INDEX(Butin!$B$7:$B$11,AZ92)</f>
        <v>0.08</v>
      </c>
      <c r="AM92" s="37" t="n">
        <f aca="false">INDEX(Butin!$E$7:$E$11,AZ92)</f>
        <v>0.08</v>
      </c>
      <c r="AN92" s="30" t="n">
        <f aca="false">IF($H92="Boss",INDEX(Butin!$E$28:$K$37,MATCH($B92,Éléments!$C$5:$C$14,1),1),IF($H92="Dragon",INDEX(Butin!$E$41:$K$50,MATCH($B92,Éléments!$C$5:$C$14,1),1),INDEX(Butin!$E$15:$K$24,MATCH($B92,Éléments!$C$5:$C$14,1),1)))</f>
        <v>0.09</v>
      </c>
      <c r="AO92" s="30" t="n">
        <f aca="false">IF($H92="Boss",INDEX(Butin!$E$28:$K$37,MATCH($B92,Éléments!$C$5:$C$14,1),2),IF($H92="Dragon",INDEX(Butin!$E$41:$K$50,MATCH($B92,Éléments!$C$5:$C$14,1),2),INDEX(Butin!$E$15:$K$24,MATCH($B92,Éléments!$C$5:$C$14,1),2)))</f>
        <v>0.19</v>
      </c>
      <c r="AP92" s="30" t="n">
        <f aca="false">IF($H92="Boss",INDEX(Butin!$E$28:$K$37,MATCH($B92,Éléments!$C$5:$C$14,1),3),IF($H92="Dragon",INDEX(Butin!$E$41:$K$50,MATCH($B92,Éléments!$C$5:$C$14,1),3),INDEX(Butin!$E$15:$K$24,MATCH($B92,Éléments!$C$5:$C$14,1),3)))</f>
        <v>0.27</v>
      </c>
      <c r="AQ92" s="30" t="n">
        <f aca="false">IF($H92="Boss",INDEX(Butin!$E$28:$K$37,MATCH($B92,Éléments!$C$5:$C$14,1),4),IF($H92="Dragon",INDEX(Butin!$E$41:$K$50,MATCH($B92,Éléments!$C$5:$C$14,1),4),INDEX(Butin!$E$15:$K$24,MATCH($B92,Éléments!$C$5:$C$14,1),4)))</f>
        <v>0.24</v>
      </c>
      <c r="AR92" s="30" t="n">
        <f aca="false">IF($H92="Boss",INDEX(Butin!$E$28:$K$37,MATCH($B92,Éléments!$C$5:$C$14,1),5),IF($H92="Dragon",INDEX(Butin!$E$41:$K$50,MATCH($B92,Éléments!$C$5:$C$14,1),5),INDEX(Butin!$E$15:$K$24,MATCH($B92,Éléments!$C$5:$C$14,1),5)))</f>
        <v>0.145</v>
      </c>
      <c r="AS92" s="30" t="n">
        <f aca="false">IF($H92="Boss",INDEX(Butin!$E$28:$K$37,MATCH($B92,Éléments!$C$5:$C$14,1),6),IF($H92="Dragon",INDEX(Butin!$E$41:$K$50,MATCH($B92,Éléments!$C$5:$C$14,1),6),INDEX(Butin!$E$15:$K$24,MATCH($B92,Éléments!$C$5:$C$14,1),6)))</f>
        <v>0.058</v>
      </c>
      <c r="AT92" s="30" t="n">
        <f aca="false">IF($H92="Boss",INDEX(Butin!$E$28:$K$37,MATCH($B92,Éléments!$C$5:$C$14,1),7),IF($H92="Dragon",INDEX(Butin!$E$41:$K$50,MATCH($B92,Éléments!$C$5:$C$14,1),7),INDEX(Butin!$E$15:$K$24,MATCH($B92,Éléments!$C$5:$C$14,1),7)))</f>
        <v>0.007</v>
      </c>
      <c r="AU92" s="38" t="str">
        <f aca="false">IF(AT92=0,"—",INDEX(Butin!$D$54:$D$63,MATCH($B92,Éléments!$C$5:$C$14,1))&amp;" · "&amp;INDEX(Butin!$F$54:$F$63,MATCH($B92,Éléments!$C$5:$C$14,1))&amp;" · "&amp;INDEX(Butin!$H$54:$H$63,MATCH($B92,Éléments!$C$5:$C$14,1)))</f>
        <v>Épée de la Mort · Amulette de l'Œil Maudit · Carquois du Chasseur de Spectres</v>
      </c>
      <c r="AV92" s="20" t="s">
        <v>374</v>
      </c>
      <c r="AW92" s="39" t="str">
        <f aca="false">B92&amp;IF(G92="Oui","|B","|N")</f>
        <v>95|N</v>
      </c>
      <c r="AX92" s="40" t="n">
        <f aca="false">(Paramètres!$B$5+(1-Paramètres!$B$5)*((K92-Paramètres!$B$7)/(Paramètres!$B$8-Paramètres!$B$7))^Paramètres!$B$6)</f>
        <v>0.942719037005277</v>
      </c>
      <c r="AY92" s="39" t="n">
        <f aca="false">MATCH(I92,Rôles!$A$5:$A$13,0)</f>
        <v>2</v>
      </c>
      <c r="AZ92" s="39" t="n">
        <f aca="false">MATCH(H92,Rôles!$A$18:$A$22,0)</f>
        <v>3</v>
      </c>
    </row>
    <row r="93" customFormat="false" ht="15.75" hidden="false" customHeight="true" outlineLevel="0" collapsed="false">
      <c r="A93" s="20" t="s">
        <v>375</v>
      </c>
      <c r="B93" s="21" t="n">
        <v>99</v>
      </c>
      <c r="C93" s="22" t="str">
        <f aca="false" t="array" ref="C93:C93">INDEX(Zones!$B$6:$B$35,MATCH(B93,Zones!$A$6:$A$35,0))</f>
        <v>Tannière du dragon (99)</v>
      </c>
      <c r="D93" s="23" t="str">
        <f aca="false" t="array" ref="D93:D93">INDEX(Éléments!$B$5:$B$14,MATCH(B93,Éléments!$C$5:$C$14,1))</f>
        <v>Palais démoniaque</v>
      </c>
      <c r="E93" s="49" t="str">
        <f aca="false" t="array" ref="E93:E93">INDEX(Éléments!$A$5:$A$14,MATCH(B93,Éléments!$C$5:$C$14,1))</f>
        <v>Ombre</v>
      </c>
      <c r="F93" s="25" t="s">
        <v>376</v>
      </c>
      <c r="G93" s="23" t="str">
        <f aca="false">IF(OR(H93="Boss",H93="Dragon"),"Oui","Non")</f>
        <v>Oui</v>
      </c>
      <c r="H93" s="26" t="s">
        <v>156</v>
      </c>
      <c r="I93" s="26" t="s">
        <v>156</v>
      </c>
      <c r="J93" s="26" t="s">
        <v>157</v>
      </c>
      <c r="K93" s="27" t="n">
        <f aca="false">IF($F$3="",B93,$F$3)</f>
        <v>99</v>
      </c>
      <c r="L93" s="28" t="n">
        <f aca="false" t="array" ref="L93:L93">ROUND(Paramètres!$B$16*(Paramètres!$B$5+(1-Paramètres!$B$5)*((K93-Paramètres!$B$7)/(Paramètres!$B$8-Paramètres!$B$7))^Paramètres!$B$6)*INDEX(Rôles!$B$18:$B$22,AZ93)*INDEX(Rôles!$B$5:$B$13,AY93),0)</f>
        <v>15569</v>
      </c>
      <c r="M93" s="29" t="n">
        <f aca="false" t="array" ref="M93:M93">ROUND(IF(J93="Physique",1,IF(J93="Mixte",Paramètres!$B$32,0))*Paramètres!$B$12*(Paramètres!$B$5+(1-Paramètres!$B$5)*((K93-Paramètres!$B$7)/(Paramètres!$B$8-Paramètres!$B$7))^Paramètres!$B$6)*INDEX(Rôles!$C$18:$C$22,AZ93)*INDEX(Rôles!$C$5:$C$13,AY93)/(Paramètres!$B$35*(1-Paramètres!$B$36)),0)</f>
        <v>508</v>
      </c>
      <c r="N93" s="29" t="n">
        <f aca="false" t="array" ref="N93:N93">ROUND(IF(J93="Magique",1,IF(J93="Mixte",Paramètres!$B$32,0))*Paramètres!$B$12*(Paramètres!$B$5+(1-Paramètres!$B$5)*((K93-Paramètres!$B$7)/(Paramètres!$B$8-Paramètres!$B$7))^Paramètres!$B$6)*INDEX(Rôles!$C$18:$C$22,AZ93)*INDEX(Rôles!$C$5:$C$13,AY93)/(Paramètres!$B$35*(1-Paramètres!$B$36)),0)</f>
        <v>508</v>
      </c>
      <c r="O93" s="29" t="n">
        <f aca="false" t="array" ref="O93:O93">ROUND(Paramètres!$B$18*(Paramètres!$B$5+(1-Paramètres!$B$5)*((K93-Paramètres!$B$7)/(Paramètres!$B$8-Paramètres!$B$7))^Paramètres!$B$6)*INDEX(Rôles!$D$5:$D$13,AY93)*INDEX(Rôles!$D$18:$D$22,AZ93),0)</f>
        <v>752</v>
      </c>
      <c r="P93" s="29" t="n">
        <f aca="false" t="array" ref="P93:P93">ROUND(Paramètres!$B$19*(Paramètres!$B$5+(1-Paramètres!$B$5)*((K93-Paramètres!$B$7)/(Paramètres!$B$8-Paramètres!$B$7))^Paramètres!$B$6)*INDEX(Rôles!$E$5:$E$13,AY93)*INDEX(Rôles!$D$18:$D$22,AZ93),0)</f>
        <v>720</v>
      </c>
      <c r="Q93" s="29" t="n">
        <f aca="false" t="array" ref="Q93:Q93">ROUND(Paramètres!$B$20*(Paramètres!$B$5+(1-Paramètres!$B$5)*((K93-Paramètres!$B$7)/(Paramètres!$B$8-Paramètres!$B$7))^Paramètres!$B$6)*INDEX(Rôles!$F$5:$F$13,AY93),0)</f>
        <v>95</v>
      </c>
      <c r="R93" s="29" t="n">
        <f aca="false">ROUND(Paramètres!$B$64*$AX93*INDEX(Rôles!$N$5:$N$13,$AY93)*INDEX(Rôles!$I$18:$I$22,$AZ93),0)</f>
        <v>79</v>
      </c>
      <c r="S93" s="30" t="n">
        <f aca="false" t="array" ref="S93:S93">MIN(1,ROUND(Paramètres!$B$21*INDEX(Rôles!$G$5:$G$13,AY93),3))</f>
        <v>0.9</v>
      </c>
      <c r="T93" s="30" t="n">
        <f aca="false" t="array" ref="T93:T93">MIN(Paramètres!$B$28,ROUND(Paramètres!$B$22*INDEX(Rôles!$H$5:$H$13,AY93),3))</f>
        <v>0.05</v>
      </c>
      <c r="U93" s="30" t="n">
        <f aca="false" t="array" ref="U93:U93">ROUND(Paramètres!$B$23*INDEX(Rôles!$I$5:$I$13,AY93),3)</f>
        <v>0.5</v>
      </c>
      <c r="V93" s="30" t="n">
        <f aca="false" t="array" ref="V93:V93">MIN(Paramètres!$B$29,ROUND(Paramètres!$B$24*INDEX(Rôles!$J$5:$J$13,AY93),3))</f>
        <v>0.05</v>
      </c>
      <c r="W93" s="30" t="n">
        <f aca="false" t="array" ref="W93:W93">MIN(Paramètres!$B$27,ROUND((Paramètres!$B$25+(Paramètres!$B$26-Paramètres!$B$25)*(K93-Paramètres!$B$7)/(Paramètres!$B$8-Paramètres!$B$7))*INDEX(Rôles!$K$5:$K$13,AY93)+INDEX(Rôles!$G$18:$G$22,AZ93),3))</f>
        <v>0.587</v>
      </c>
      <c r="X93" s="30" t="n">
        <f aca="false">ROUND(1-(1-P93/(P93+(Paramètres!$B$19*(Paramètres!$B$5+(1-Paramètres!$B$5)*((K93-Paramètres!$B$7)/(Paramètres!$B$8-Paramètres!$B$7))^Paramètres!$B$6)*(1-Paramètres!$B$30)/Paramètres!$B$30)))*(1-O93/(O93+(Paramètres!$B$18*(Paramètres!$B$5+(1-Paramètres!$B$5)*((K93-Paramètres!$B$7)/(Paramètres!$B$8-Paramètres!$B$7))^Paramètres!$B$6)*(1-Paramètres!$B$31)/Paramètres!$B$31))),3)</f>
        <v>0.471</v>
      </c>
      <c r="Y93" s="30" t="n">
        <f aca="false">ROUND(O93/(O93+(Paramètres!$B$18*(Paramètres!$B$5+(1-Paramètres!$B$5)*((K93-Paramètres!$B$7)/(Paramètres!$B$8-Paramètres!$B$7))^Paramètres!$B$6)*(1-Paramètres!$B$31)/Paramètres!$B$31)),3)</f>
        <v>0.23</v>
      </c>
      <c r="Z93" s="31" t="n">
        <f aca="false" t="array" ref="Z93:Z93">IF(E93="Neutre",0,MIN(1,INDEX(Rôles!$L$5:$L$13,AY93)+INDEX(Rôles!$F$18:$F$22,AZ93)))</f>
        <v>1</v>
      </c>
      <c r="AA93" s="32" t="n">
        <f aca="false" t="array" ref="AA93:AA93">ROUND(INDEX(Rôles!$C$18:$C$22,AZ93)*INDEX(Rôles!$C$5:$C$13,AY93),4)</f>
        <v>0.03</v>
      </c>
      <c r="AB93" s="33" t="n">
        <f aca="false" t="array" ref="AB93:AB93">ROUND(INDEX(Rôles!$B$18:$B$22,AZ93)*INDEX(Rôles!$B$5:$B$13,AY93),2)</f>
        <v>20</v>
      </c>
      <c r="AC93" s="33" t="n">
        <f aca="false" t="array" ref="AC93:AC93">INDEX(Rôles!$E$18:$E$22,AZ93)</f>
        <v>12</v>
      </c>
      <c r="AD93" s="23" t="str">
        <f aca="false" t="array" ref="AD93:AD93">INDEX(Éléments!$F$5:$F$14,MATCH(E93,Éléments!$A$5:$A$14,0))</f>
        <v>Lumière</v>
      </c>
      <c r="AE93" s="23" t="str">
        <f aca="false" t="array" ref="AE93:AE93">INDEX(Éléments!$G$5:$G$14,MATCH(E93,Éléments!$A$5:$A$14,0))</f>
        <v>—</v>
      </c>
      <c r="AF93" s="34" t="s">
        <v>357</v>
      </c>
      <c r="AG93" s="35" t="n">
        <v>0.45</v>
      </c>
      <c r="AH93" s="34" t="s">
        <v>358</v>
      </c>
      <c r="AI93" s="35" t="n">
        <v>0.25</v>
      </c>
      <c r="AJ93" s="29" t="n">
        <f aca="false" t="array" ref="AJ93:AJ93">ROUND(ROUND(Paramètres!$B$49*K93^Paramètres!$B$50,0)*INDEX(Rôles!$E$18:$E$22,AZ93),0)</f>
        <v>22488</v>
      </c>
      <c r="AK93" s="29" t="n">
        <f aca="false" t="array" ref="AK93:AK93">ROUND(ROUND(Paramètres!$B$53*K93^Paramètres!$B$54,0)*INDEX(Rôles!$E$18:$E$22,AZ93),0)</f>
        <v>17796</v>
      </c>
      <c r="AL93" s="36" t="n">
        <f aca="false">INDEX(Butin!$B$7:$B$11,AZ93)</f>
        <v>1</v>
      </c>
      <c r="AM93" s="37" t="n">
        <f aca="false">INDEX(Butin!$E$7:$E$11,AZ93)</f>
        <v>2.5</v>
      </c>
      <c r="AN93" s="30" t="n">
        <f aca="false">IF($H93="Boss",INDEX(Butin!$E$28:$K$37,MATCH($B93,Éléments!$C$5:$C$14,1),1),IF($H93="Dragon",INDEX(Butin!$E$41:$K$50,MATCH($B93,Éléments!$C$5:$C$14,1),1),INDEX(Butin!$E$15:$K$24,MATCH($B93,Éléments!$C$5:$C$14,1),1)))</f>
        <v>0</v>
      </c>
      <c r="AO93" s="30" t="n">
        <f aca="false">IF($H93="Boss",INDEX(Butin!$E$28:$K$37,MATCH($B93,Éléments!$C$5:$C$14,1),2),IF($H93="Dragon",INDEX(Butin!$E$41:$K$50,MATCH($B93,Éléments!$C$5:$C$14,1),2),INDEX(Butin!$E$15:$K$24,MATCH($B93,Éléments!$C$5:$C$14,1),2)))</f>
        <v>0.03</v>
      </c>
      <c r="AP93" s="30" t="n">
        <f aca="false">IF($H93="Boss",INDEX(Butin!$E$28:$K$37,MATCH($B93,Éléments!$C$5:$C$14,1),3),IF($H93="Dragon",INDEX(Butin!$E$41:$K$50,MATCH($B93,Éléments!$C$5:$C$14,1),3),INDEX(Butin!$E$15:$K$24,MATCH($B93,Éléments!$C$5:$C$14,1),3)))</f>
        <v>0.12</v>
      </c>
      <c r="AQ93" s="30" t="n">
        <f aca="false">IF($H93="Boss",INDEX(Butin!$E$28:$K$37,MATCH($B93,Éléments!$C$5:$C$14,1),4),IF($H93="Dragon",INDEX(Butin!$E$41:$K$50,MATCH($B93,Éléments!$C$5:$C$14,1),4),INDEX(Butin!$E$15:$K$24,MATCH($B93,Éléments!$C$5:$C$14,1),4)))</f>
        <v>0.31</v>
      </c>
      <c r="AR93" s="30" t="n">
        <f aca="false">IF($H93="Boss",INDEX(Butin!$E$28:$K$37,MATCH($B93,Éléments!$C$5:$C$14,1),5),IF($H93="Dragon",INDEX(Butin!$E$41:$K$50,MATCH($B93,Éléments!$C$5:$C$14,1),5),INDEX(Butin!$E$15:$K$24,MATCH($B93,Éléments!$C$5:$C$14,1),5)))</f>
        <v>0.31</v>
      </c>
      <c r="AS93" s="30" t="n">
        <f aca="false">IF($H93="Boss",INDEX(Butin!$E$28:$K$37,MATCH($B93,Éléments!$C$5:$C$14,1),6),IF($H93="Dragon",INDEX(Butin!$E$41:$K$50,MATCH($B93,Éléments!$C$5:$C$14,1),6),INDEX(Butin!$E$15:$K$24,MATCH($B93,Éléments!$C$5:$C$14,1),6)))</f>
        <v>0.13</v>
      </c>
      <c r="AT93" s="30" t="n">
        <f aca="false">IF($H93="Boss",INDEX(Butin!$E$28:$K$37,MATCH($B93,Éléments!$C$5:$C$14,1),7),IF($H93="Dragon",INDEX(Butin!$E$41:$K$50,MATCH($B93,Éléments!$C$5:$C$14,1),7),INDEX(Butin!$E$15:$K$24,MATCH($B93,Éléments!$C$5:$C$14,1),7)))</f>
        <v>0.1</v>
      </c>
      <c r="AU93" s="38" t="str">
        <f aca="false">IF(AT93=0,"—",INDEX(Butin!$D$54:$D$63,MATCH($B93,Éléments!$C$5:$C$14,1))&amp;" · "&amp;INDEX(Butin!$F$54:$F$63,MATCH($B93,Éléments!$C$5:$C$14,1))&amp;" · "&amp;INDEX(Butin!$H$54:$H$63,MATCH($B93,Éléments!$C$5:$C$14,1)))</f>
        <v>Épée de la Mort · Amulette de l'Œil Maudit · Carquois du Chasseur de Spectres</v>
      </c>
      <c r="AV93" s="20" t="s">
        <v>376</v>
      </c>
      <c r="AW93" s="39" t="str">
        <f aca="false">B93&amp;IF(G93="Oui","|B","|N")</f>
        <v>99|B</v>
      </c>
      <c r="AX93" s="40" t="n">
        <f aca="false">(Paramètres!$B$5+(1-Paramètres!$B$5)*((K93-Paramètres!$B$7)/(Paramètres!$B$8-Paramètres!$B$7))^Paramètres!$B$6)</f>
        <v>0.988496511424796</v>
      </c>
      <c r="AY93" s="39" t="n">
        <f aca="false">MATCH(I93,Rôles!$A$5:$A$13,0)</f>
        <v>9</v>
      </c>
      <c r="AZ93" s="39" t="n">
        <f aca="false">MATCH(H93,Rôles!$A$18:$A$22,0)</f>
        <v>5</v>
      </c>
    </row>
    <row r="94" customFormat="false" ht="15.75" hidden="false" customHeight="true" outlineLevel="0" collapsed="false">
      <c r="A94" s="20" t="s">
        <v>377</v>
      </c>
      <c r="B94" s="21" t="n">
        <v>100</v>
      </c>
      <c r="C94" s="22" t="str">
        <f aca="false" t="array" ref="C94:C94">INDEX(Zones!$B$6:$B$35,MATCH(B94,Zones!$A$6:$A$35,0))</f>
        <v>Palais démoniaque</v>
      </c>
      <c r="D94" s="23" t="str">
        <f aca="false" t="array" ref="D94:D94">INDEX(Éléments!$B$5:$B$14,MATCH(B94,Éléments!$C$5:$C$14,1))</f>
        <v>Palais démoniaque</v>
      </c>
      <c r="E94" s="49" t="str">
        <f aca="false" t="array" ref="E94:E94">INDEX(Éléments!$A$5:$A$14,MATCH(B94,Éléments!$C$5:$C$14,1))</f>
        <v>Ombre</v>
      </c>
      <c r="F94" s="25" t="s">
        <v>378</v>
      </c>
      <c r="G94" s="23" t="str">
        <f aca="false">IF(OR(H94="Boss",H94="Dragon"),"Oui","Non")</f>
        <v>Oui</v>
      </c>
      <c r="H94" s="26" t="s">
        <v>152</v>
      </c>
      <c r="I94" s="26" t="s">
        <v>195</v>
      </c>
      <c r="J94" s="26" t="s">
        <v>157</v>
      </c>
      <c r="K94" s="27" t="n">
        <f aca="false">IF($F$3="",B94,$F$3)</f>
        <v>100</v>
      </c>
      <c r="L94" s="28" t="n">
        <f aca="false" t="array" ref="L94:L94">ROUND(Paramètres!$B$16*(Paramètres!$B$5+(1-Paramètres!$B$5)*((K94-Paramètres!$B$7)/(Paramètres!$B$8-Paramètres!$B$7))^Paramètres!$B$6)*INDEX(Rôles!$B$18:$B$22,AZ94)*INDEX(Rôles!$B$5:$B$13,AY94),0)</f>
        <v>6615</v>
      </c>
      <c r="M94" s="29" t="n">
        <f aca="false" t="array" ref="M94:M94">ROUND(IF(J94="Physique",1,IF(J94="Mixte",Paramètres!$B$32,0))*Paramètres!$B$12*(Paramètres!$B$5+(1-Paramètres!$B$5)*((K94-Paramètres!$B$7)/(Paramètres!$B$8-Paramètres!$B$7))^Paramètres!$B$6)*INDEX(Rôles!$C$18:$C$22,AZ94)*INDEX(Rôles!$C$5:$C$13,AY94)/(Paramètres!$B$35*(1-Paramètres!$B$36)),0)</f>
        <v>643</v>
      </c>
      <c r="N94" s="29" t="n">
        <f aca="false" t="array" ref="N94:N94">ROUND(IF(J94="Magique",1,IF(J94="Mixte",Paramètres!$B$32,0))*Paramètres!$B$12*(Paramètres!$B$5+(1-Paramètres!$B$5)*((K94-Paramètres!$B$7)/(Paramètres!$B$8-Paramètres!$B$7))^Paramètres!$B$6)*INDEX(Rôles!$C$18:$C$22,AZ94)*INDEX(Rôles!$C$5:$C$13,AY94)/(Paramètres!$B$35*(1-Paramètres!$B$36)),0)</f>
        <v>643</v>
      </c>
      <c r="O94" s="29" t="n">
        <f aca="false" t="array" ref="O94:O94">ROUND(Paramètres!$B$18*(Paramètres!$B$5+(1-Paramètres!$B$5)*((K94-Paramètres!$B$7)/(Paramètres!$B$8-Paramètres!$B$7))^Paramètres!$B$6)*INDEX(Rôles!$D$5:$D$13,AY94)*INDEX(Rôles!$D$18:$D$22,AZ94),0)</f>
        <v>644</v>
      </c>
      <c r="P94" s="29" t="n">
        <f aca="false" t="array" ref="P94:P94">ROUND(Paramètres!$B$19*(Paramètres!$B$5+(1-Paramètres!$B$5)*((K94-Paramètres!$B$7)/(Paramètres!$B$8-Paramètres!$B$7))^Paramètres!$B$6)*INDEX(Rôles!$E$5:$E$13,AY94)*INDEX(Rôles!$D$18:$D$22,AZ94),0)</f>
        <v>208</v>
      </c>
      <c r="Q94" s="29" t="n">
        <f aca="false" t="array" ref="Q94:Q94">ROUND(Paramètres!$B$20*(Paramètres!$B$5+(1-Paramètres!$B$5)*((K94-Paramètres!$B$7)/(Paramètres!$B$8-Paramètres!$B$7))^Paramètres!$B$6)*INDEX(Rôles!$F$5:$F$13,AY94),0)</f>
        <v>108</v>
      </c>
      <c r="R94" s="29" t="n">
        <f aca="false">ROUND(Paramètres!$B$64*$AX94*INDEX(Rôles!$N$5:$N$13,$AY94)*INDEX(Rôles!$I$18:$I$22,$AZ94),0)</f>
        <v>103</v>
      </c>
      <c r="S94" s="30" t="n">
        <f aca="false" t="array" ref="S94:S94">MIN(1,ROUND(Paramètres!$B$21*INDEX(Rôles!$G$5:$G$13,AY94),3))</f>
        <v>0.9</v>
      </c>
      <c r="T94" s="30" t="n">
        <f aca="false" t="array" ref="T94:T94">MIN(Paramètres!$B$28,ROUND(Paramètres!$B$22*INDEX(Rôles!$H$5:$H$13,AY94),3))</f>
        <v>0.05</v>
      </c>
      <c r="U94" s="30" t="n">
        <f aca="false" t="array" ref="U94:U94">ROUND(Paramètres!$B$23*INDEX(Rôles!$I$5:$I$13,AY94),3)</f>
        <v>0.5</v>
      </c>
      <c r="V94" s="30" t="n">
        <f aca="false" t="array" ref="V94:V94">MIN(Paramètres!$B$29,ROUND(Paramètres!$B$24*INDEX(Rôles!$J$5:$J$13,AY94),3))</f>
        <v>0.065</v>
      </c>
      <c r="W94" s="30" t="n">
        <f aca="false" t="array" ref="W94:W94">MIN(Paramètres!$B$27,ROUND((Paramètres!$B$25+(Paramètres!$B$26-Paramètres!$B$25)*(K94-Paramètres!$B$7)/(Paramètres!$B$8-Paramètres!$B$7))*INDEX(Rôles!$K$5:$K$13,AY94)+INDEX(Rôles!$G$18:$G$22,AZ94),3))</f>
        <v>0.56</v>
      </c>
      <c r="X94" s="30" t="n">
        <f aca="false">ROUND(1-(1-P94/(P94+(Paramètres!$B$19*(Paramètres!$B$5+(1-Paramètres!$B$5)*((K94-Paramètres!$B$7)/(Paramètres!$B$8-Paramètres!$B$7))^Paramètres!$B$6)*(1-Paramètres!$B$30)/Paramètres!$B$30)))*(1-O94/(O94+(Paramètres!$B$18*(Paramètres!$B$5+(1-Paramètres!$B$5)*((K94-Paramètres!$B$7)/(Paramètres!$B$8-Paramètres!$B$7))^Paramètres!$B$6)*(1-Paramètres!$B$31)/Paramètres!$B$31))),3)</f>
        <v>0.293</v>
      </c>
      <c r="Y94" s="30" t="n">
        <f aca="false">ROUND(O94/(O94+(Paramètres!$B$18*(Paramètres!$B$5+(1-Paramètres!$B$5)*((K94-Paramètres!$B$7)/(Paramètres!$B$8-Paramètres!$B$7))^Paramètres!$B$6)*(1-Paramètres!$B$31)/Paramètres!$B$31)),3)</f>
        <v>0.202</v>
      </c>
      <c r="Z94" s="31" t="n">
        <f aca="false" t="array" ref="Z94:Z94">IF(E94="Neutre",0,MIN(1,INDEX(Rôles!$L$5:$L$13,AY94)+INDEX(Rôles!$F$18:$F$22,AZ94)))</f>
        <v>1</v>
      </c>
      <c r="AA94" s="32" t="n">
        <f aca="false" t="array" ref="AA94:AA94">ROUND(INDEX(Rôles!$C$18:$C$22,AZ94)*INDEX(Rôles!$C$5:$C$13,AY94),4)</f>
        <v>0.0375</v>
      </c>
      <c r="AB94" s="33" t="n">
        <f aca="false" t="array" ref="AB94:AB94">ROUND(INDEX(Rôles!$B$18:$B$22,AZ94)*INDEX(Rôles!$B$5:$B$13,AY94),2)</f>
        <v>8.4</v>
      </c>
      <c r="AC94" s="33" t="n">
        <f aca="false" t="array" ref="AC94:AC94">INDEX(Rôles!$E$18:$E$22,AZ94)</f>
        <v>8</v>
      </c>
      <c r="AD94" s="23" t="str">
        <f aca="false" t="array" ref="AD94:AD94">INDEX(Éléments!$F$5:$F$14,MATCH(E94,Éléments!$A$5:$A$14,0))</f>
        <v>Lumière</v>
      </c>
      <c r="AE94" s="23" t="str">
        <f aca="false" t="array" ref="AE94:AE94">INDEX(Éléments!$G$5:$G$14,MATCH(E94,Éléments!$A$5:$A$14,0))</f>
        <v>—</v>
      </c>
      <c r="AF94" s="34" t="s">
        <v>357</v>
      </c>
      <c r="AG94" s="35" t="n">
        <v>0.45</v>
      </c>
      <c r="AH94" s="34" t="s">
        <v>358</v>
      </c>
      <c r="AI94" s="35" t="n">
        <v>0.35</v>
      </c>
      <c r="AJ94" s="29" t="n">
        <f aca="false" t="array" ref="AJ94:AJ94">ROUND(ROUND(Paramètres!$B$49*K94^Paramètres!$B$50,0)*INDEX(Rôles!$E$18:$E$22,AZ94),0)</f>
        <v>15176</v>
      </c>
      <c r="AK94" s="29" t="n">
        <f aca="false" t="array" ref="AK94:AK94">ROUND(ROUND(Paramètres!$B$53*K94^Paramètres!$B$54,0)*INDEX(Rôles!$E$18:$E$22,AZ94),0)</f>
        <v>12032</v>
      </c>
      <c r="AL94" s="36" t="n">
        <f aca="false">INDEX(Butin!$B$7:$B$11,AZ94)</f>
        <v>1</v>
      </c>
      <c r="AM94" s="37" t="n">
        <f aca="false">INDEX(Butin!$E$7:$E$11,AZ94)</f>
        <v>1.4</v>
      </c>
      <c r="AN94" s="30" t="n">
        <f aca="false">IF($H94="Boss",INDEX(Butin!$E$28:$K$37,MATCH($B94,Éléments!$C$5:$C$14,1),1),IF($H94="Dragon",INDEX(Butin!$E$41:$K$50,MATCH($B94,Éléments!$C$5:$C$14,1),1),INDEX(Butin!$E$15:$K$24,MATCH($B94,Éléments!$C$5:$C$14,1),1)))</f>
        <v>0</v>
      </c>
      <c r="AO94" s="30" t="n">
        <f aca="false">IF($H94="Boss",INDEX(Butin!$E$28:$K$37,MATCH($B94,Éléments!$C$5:$C$14,1),2),IF($H94="Dragon",INDEX(Butin!$E$41:$K$50,MATCH($B94,Éléments!$C$5:$C$14,1),2),INDEX(Butin!$E$15:$K$24,MATCH($B94,Éléments!$C$5:$C$14,1),2)))</f>
        <v>0.06</v>
      </c>
      <c r="AP94" s="30" t="n">
        <f aca="false">IF($H94="Boss",INDEX(Butin!$E$28:$K$37,MATCH($B94,Éléments!$C$5:$C$14,1),3),IF($H94="Dragon",INDEX(Butin!$E$41:$K$50,MATCH($B94,Éléments!$C$5:$C$14,1),3),INDEX(Butin!$E$15:$K$24,MATCH($B94,Éléments!$C$5:$C$14,1),3)))</f>
        <v>0.18</v>
      </c>
      <c r="AQ94" s="30" t="n">
        <f aca="false">IF($H94="Boss",INDEX(Butin!$E$28:$K$37,MATCH($B94,Éléments!$C$5:$C$14,1),4),IF($H94="Dragon",INDEX(Butin!$E$41:$K$50,MATCH($B94,Éléments!$C$5:$C$14,1),4),INDEX(Butin!$E$15:$K$24,MATCH($B94,Éléments!$C$5:$C$14,1),4)))</f>
        <v>0.3</v>
      </c>
      <c r="AR94" s="30" t="n">
        <f aca="false">IF($H94="Boss",INDEX(Butin!$E$28:$K$37,MATCH($B94,Éléments!$C$5:$C$14,1),5),IF($H94="Dragon",INDEX(Butin!$E$41:$K$50,MATCH($B94,Éléments!$C$5:$C$14,1),5),INDEX(Butin!$E$15:$K$24,MATCH($B94,Éléments!$C$5:$C$14,1),5)))</f>
        <v>0.27</v>
      </c>
      <c r="AS94" s="30" t="n">
        <f aca="false">IF($H94="Boss",INDEX(Butin!$E$28:$K$37,MATCH($B94,Éléments!$C$5:$C$14,1),6),IF($H94="Dragon",INDEX(Butin!$E$41:$K$50,MATCH($B94,Éléments!$C$5:$C$14,1),6),INDEX(Butin!$E$15:$K$24,MATCH($B94,Éléments!$C$5:$C$14,1),6)))</f>
        <v>0.12</v>
      </c>
      <c r="AT94" s="30" t="n">
        <f aca="false">IF($H94="Boss",INDEX(Butin!$E$28:$K$37,MATCH($B94,Éléments!$C$5:$C$14,1),7),IF($H94="Dragon",INDEX(Butin!$E$41:$K$50,MATCH($B94,Éléments!$C$5:$C$14,1),7),INDEX(Butin!$E$15:$K$24,MATCH($B94,Éléments!$C$5:$C$14,1),7)))</f>
        <v>0.07</v>
      </c>
      <c r="AU94" s="38" t="str">
        <f aca="false">IF(AT94=0,"—",INDEX(Butin!$D$54:$D$63,MATCH($B94,Éléments!$C$5:$C$14,1))&amp;" · "&amp;INDEX(Butin!$F$54:$F$63,MATCH($B94,Éléments!$C$5:$C$14,1))&amp;" · "&amp;INDEX(Butin!$H$54:$H$63,MATCH($B94,Éléments!$C$5:$C$14,1)))</f>
        <v>Épée de la Mort · Amulette de l'Œil Maudit · Carquois du Chasseur de Spectres</v>
      </c>
      <c r="AV94" s="20" t="s">
        <v>378</v>
      </c>
      <c r="AW94" s="39" t="str">
        <f aca="false">B94&amp;IF(G94="Oui","|B","|N")</f>
        <v>100|B</v>
      </c>
      <c r="AX94" s="40" t="n">
        <f aca="false">(Paramètres!$B$5+(1-Paramètres!$B$5)*((K94-Paramètres!$B$7)/(Paramètres!$B$8-Paramètres!$B$7))^Paramètres!$B$6)</f>
        <v>1</v>
      </c>
      <c r="AY94" s="39" t="n">
        <f aca="false">MATCH(I94,Rôles!$A$5:$A$13,0)</f>
        <v>5</v>
      </c>
      <c r="AZ94" s="39" t="n">
        <f aca="false">MATCH(H94,Rôles!$A$18:$A$22,0)</f>
        <v>4</v>
      </c>
    </row>
    <row r="95" customFormat="false" ht="15.75" hidden="false" customHeight="true" outlineLevel="0" collapsed="false">
      <c r="A95" s="20" t="s">
        <v>379</v>
      </c>
      <c r="B95" s="21" t="n">
        <v>100</v>
      </c>
      <c r="C95" s="22" t="str">
        <f aca="false" t="array" ref="C95:C95">INDEX(Zones!$B$6:$B$35,MATCH(B95,Zones!$A$6:$A$35,0))</f>
        <v>Palais démoniaque</v>
      </c>
      <c r="D95" s="23" t="str">
        <f aca="false" t="array" ref="D95:D95">INDEX(Éléments!$B$5:$B$14,MATCH(B95,Éléments!$C$5:$C$14,1))</f>
        <v>Palais démoniaque</v>
      </c>
      <c r="E95" s="49" t="str">
        <f aca="false" t="array" ref="E95:E95">INDEX(Éléments!$A$5:$A$14,MATCH(B95,Éléments!$C$5:$C$14,1))</f>
        <v>Ombre</v>
      </c>
      <c r="F95" s="25" t="s">
        <v>380</v>
      </c>
      <c r="G95" s="23" t="str">
        <f aca="false">IF(OR(H95="Boss",H95="Dragon"),"Oui","Non")</f>
        <v>Non</v>
      </c>
      <c r="H95" s="26" t="s">
        <v>148</v>
      </c>
      <c r="I95" s="26" t="s">
        <v>195</v>
      </c>
      <c r="J95" s="26" t="s">
        <v>173</v>
      </c>
      <c r="K95" s="27" t="n">
        <f aca="false">IF($F$3="",B95,$F$3)</f>
        <v>100</v>
      </c>
      <c r="L95" s="28" t="n">
        <f aca="false" t="array" ref="L95:L95">ROUND(Paramètres!$B$16*(Paramètres!$B$5+(1-Paramètres!$B$5)*((K95-Paramètres!$B$7)/(Paramètres!$B$8-Paramètres!$B$7))^Paramètres!$B$6)*INDEX(Rôles!$B$18:$B$22,AZ95)*INDEX(Rôles!$B$5:$B$13,AY95),0)</f>
        <v>1544</v>
      </c>
      <c r="M95" s="29" t="n">
        <f aca="false" t="array" ref="M95:M95">ROUND(IF(J95="Physique",1,IF(J95="Mixte",Paramètres!$B$32,0))*Paramètres!$B$12*(Paramètres!$B$5+(1-Paramètres!$B$5)*((K95-Paramètres!$B$7)/(Paramètres!$B$8-Paramètres!$B$7))^Paramètres!$B$6)*INDEX(Rôles!$C$18:$C$22,AZ95)*INDEX(Rôles!$C$5:$C$13,AY95)/(Paramètres!$B$35*(1-Paramètres!$B$36)),0)</f>
        <v>0</v>
      </c>
      <c r="N95" s="29" t="n">
        <f aca="false" t="array" ref="N95:N95">ROUND(IF(J95="Magique",1,IF(J95="Mixte",Paramètres!$B$32,0))*Paramètres!$B$12*(Paramètres!$B$5+(1-Paramètres!$B$5)*((K95-Paramètres!$B$7)/(Paramètres!$B$8-Paramètres!$B$7))^Paramètres!$B$6)*INDEX(Rôles!$C$18:$C$22,AZ95)*INDEX(Rôles!$C$5:$C$13,AY95)/(Paramètres!$B$35*(1-Paramètres!$B$36)),0)</f>
        <v>543</v>
      </c>
      <c r="O95" s="29" t="n">
        <f aca="false" t="array" ref="O95:O95">ROUND(Paramètres!$B$18*(Paramètres!$B$5+(1-Paramètres!$B$5)*((K95-Paramètres!$B$7)/(Paramètres!$B$8-Paramètres!$B$7))^Paramètres!$B$6)*INDEX(Rôles!$D$5:$D$13,AY95)*INDEX(Rôles!$D$18:$D$22,AZ95),0)</f>
        <v>569</v>
      </c>
      <c r="P95" s="29" t="n">
        <f aca="false" t="array" ref="P95:P95">ROUND(Paramètres!$B$19*(Paramètres!$B$5+(1-Paramètres!$B$5)*((K95-Paramètres!$B$7)/(Paramètres!$B$8-Paramètres!$B$7))^Paramètres!$B$6)*INDEX(Rôles!$E$5:$E$13,AY95)*INDEX(Rôles!$D$18:$D$22,AZ95),0)</f>
        <v>184</v>
      </c>
      <c r="Q95" s="29" t="n">
        <f aca="false" t="array" ref="Q95:Q95">ROUND(Paramètres!$B$20*(Paramètres!$B$5+(1-Paramètres!$B$5)*((K95-Paramètres!$B$7)/(Paramètres!$B$8-Paramètres!$B$7))^Paramètres!$B$6)*INDEX(Rôles!$F$5:$F$13,AY95),0)</f>
        <v>108</v>
      </c>
      <c r="R95" s="29" t="n">
        <f aca="false">ROUND(Paramètres!$B$64*$AX95*INDEX(Rôles!$N$5:$N$13,$AY95)*INDEX(Rôles!$I$18:$I$22,$AZ95),0)</f>
        <v>95</v>
      </c>
      <c r="S95" s="30" t="n">
        <f aca="false" t="array" ref="S95:S95">MIN(1,ROUND(Paramètres!$B$21*INDEX(Rôles!$G$5:$G$13,AY95),3))</f>
        <v>0.9</v>
      </c>
      <c r="T95" s="30" t="n">
        <f aca="false" t="array" ref="T95:T95">MIN(Paramètres!$B$28,ROUND(Paramètres!$B$22*INDEX(Rôles!$H$5:$H$13,AY95),3))</f>
        <v>0.05</v>
      </c>
      <c r="U95" s="30" t="n">
        <f aca="false" t="array" ref="U95:U95">ROUND(Paramètres!$B$23*INDEX(Rôles!$I$5:$I$13,AY95),3)</f>
        <v>0.5</v>
      </c>
      <c r="V95" s="30" t="n">
        <f aca="false" t="array" ref="V95:V95">MIN(Paramètres!$B$29,ROUND(Paramètres!$B$24*INDEX(Rôles!$J$5:$J$13,AY95),3))</f>
        <v>0.065</v>
      </c>
      <c r="W95" s="30" t="n">
        <f aca="false" t="array" ref="W95:W95">MIN(Paramètres!$B$27,ROUND((Paramètres!$B$25+(Paramètres!$B$26-Paramètres!$B$25)*(K95-Paramètres!$B$7)/(Paramètres!$B$8-Paramètres!$B$7))*INDEX(Rôles!$K$5:$K$13,AY95)+INDEX(Rôles!$G$18:$G$22,AZ95),3))</f>
        <v>0.36</v>
      </c>
      <c r="X95" s="30" t="n">
        <f aca="false">ROUND(1-(1-P95/(P95+(Paramètres!$B$19*(Paramètres!$B$5+(1-Paramètres!$B$5)*((K95-Paramètres!$B$7)/(Paramètres!$B$8-Paramètres!$B$7))^Paramètres!$B$6)*(1-Paramètres!$B$30)/Paramètres!$B$30)))*(1-O95/(O95+(Paramètres!$B$18*(Paramètres!$B$5+(1-Paramètres!$B$5)*((K95-Paramètres!$B$7)/(Paramètres!$B$8-Paramètres!$B$7))^Paramètres!$B$6)*(1-Paramètres!$B$31)/Paramètres!$B$31))),3)</f>
        <v>0.267</v>
      </c>
      <c r="Y95" s="30" t="n">
        <f aca="false">ROUND(O95/(O95+(Paramètres!$B$18*(Paramètres!$B$5+(1-Paramètres!$B$5)*((K95-Paramètres!$B$7)/(Paramètres!$B$8-Paramètres!$B$7))^Paramètres!$B$6)*(1-Paramètres!$B$31)/Paramètres!$B$31)),3)</f>
        <v>0.182</v>
      </c>
      <c r="Z95" s="31" t="n">
        <f aca="false" t="array" ref="Z95:Z95">IF(E95="Neutre",0,MIN(1,INDEX(Rôles!$L$5:$L$13,AY95)+INDEX(Rôles!$F$18:$F$22,AZ95)))</f>
        <v>1</v>
      </c>
      <c r="AA95" s="32" t="n">
        <f aca="false" t="array" ref="AA95:AA95">ROUND(INDEX(Rôles!$C$18:$C$22,AZ95)*INDEX(Rôles!$C$5:$C$13,AY95),4)</f>
        <v>0.0238</v>
      </c>
      <c r="AB95" s="33" t="n">
        <f aca="false" t="array" ref="AB95:AB95">ROUND(INDEX(Rôles!$B$18:$B$22,AZ95)*INDEX(Rôles!$B$5:$B$13,AY95),2)</f>
        <v>1.96</v>
      </c>
      <c r="AC95" s="33" t="n">
        <f aca="false" t="array" ref="AC95:AC95">INDEX(Rôles!$E$18:$E$22,AZ95)</f>
        <v>1.4</v>
      </c>
      <c r="AD95" s="23" t="str">
        <f aca="false" t="array" ref="AD95:AD95">INDEX(Éléments!$F$5:$F$14,MATCH(E95,Éléments!$A$5:$A$14,0))</f>
        <v>Lumière</v>
      </c>
      <c r="AE95" s="23" t="str">
        <f aca="false" t="array" ref="AE95:AE95">INDEX(Éléments!$G$5:$G$14,MATCH(E95,Éléments!$A$5:$A$14,0))</f>
        <v>—</v>
      </c>
      <c r="AF95" s="34" t="s">
        <v>357</v>
      </c>
      <c r="AG95" s="35" t="n">
        <v>0.35</v>
      </c>
      <c r="AH95" s="34" t="s">
        <v>358</v>
      </c>
      <c r="AI95" s="35" t="n">
        <v>0.25</v>
      </c>
      <c r="AJ95" s="29" t="n">
        <f aca="false" t="array" ref="AJ95:AJ95">ROUND(ROUND(Paramètres!$B$49*K95^Paramètres!$B$50,0)*INDEX(Rôles!$E$18:$E$22,AZ95),0)</f>
        <v>2656</v>
      </c>
      <c r="AK95" s="29" t="n">
        <f aca="false" t="array" ref="AK95:AK95">ROUND(ROUND(Paramètres!$B$53*K95^Paramètres!$B$54,0)*INDEX(Rôles!$E$18:$E$22,AZ95),0)</f>
        <v>2106</v>
      </c>
      <c r="AL95" s="36" t="n">
        <f aca="false">INDEX(Butin!$B$7:$B$11,AZ95)</f>
        <v>0.08</v>
      </c>
      <c r="AM95" s="37" t="n">
        <f aca="false">INDEX(Butin!$E$7:$E$11,AZ95)</f>
        <v>0.08</v>
      </c>
      <c r="AN95" s="30" t="n">
        <f aca="false">IF($H95="Boss",INDEX(Butin!$E$28:$K$37,MATCH($B95,Éléments!$C$5:$C$14,1),1),IF($H95="Dragon",INDEX(Butin!$E$41:$K$50,MATCH($B95,Éléments!$C$5:$C$14,1),1),INDEX(Butin!$E$15:$K$24,MATCH($B95,Éléments!$C$5:$C$14,1),1)))</f>
        <v>0.09</v>
      </c>
      <c r="AO95" s="30" t="n">
        <f aca="false">IF($H95="Boss",INDEX(Butin!$E$28:$K$37,MATCH($B95,Éléments!$C$5:$C$14,1),2),IF($H95="Dragon",INDEX(Butin!$E$41:$K$50,MATCH($B95,Éléments!$C$5:$C$14,1),2),INDEX(Butin!$E$15:$K$24,MATCH($B95,Éléments!$C$5:$C$14,1),2)))</f>
        <v>0.19</v>
      </c>
      <c r="AP95" s="30" t="n">
        <f aca="false">IF($H95="Boss",INDEX(Butin!$E$28:$K$37,MATCH($B95,Éléments!$C$5:$C$14,1),3),IF($H95="Dragon",INDEX(Butin!$E$41:$K$50,MATCH($B95,Éléments!$C$5:$C$14,1),3),INDEX(Butin!$E$15:$K$24,MATCH($B95,Éléments!$C$5:$C$14,1),3)))</f>
        <v>0.27</v>
      </c>
      <c r="AQ95" s="30" t="n">
        <f aca="false">IF($H95="Boss",INDEX(Butin!$E$28:$K$37,MATCH($B95,Éléments!$C$5:$C$14,1),4),IF($H95="Dragon",INDEX(Butin!$E$41:$K$50,MATCH($B95,Éléments!$C$5:$C$14,1),4),INDEX(Butin!$E$15:$K$24,MATCH($B95,Éléments!$C$5:$C$14,1),4)))</f>
        <v>0.24</v>
      </c>
      <c r="AR95" s="30" t="n">
        <f aca="false">IF($H95="Boss",INDEX(Butin!$E$28:$K$37,MATCH($B95,Éléments!$C$5:$C$14,1),5),IF($H95="Dragon",INDEX(Butin!$E$41:$K$50,MATCH($B95,Éléments!$C$5:$C$14,1),5),INDEX(Butin!$E$15:$K$24,MATCH($B95,Éléments!$C$5:$C$14,1),5)))</f>
        <v>0.145</v>
      </c>
      <c r="AS95" s="30" t="n">
        <f aca="false">IF($H95="Boss",INDEX(Butin!$E$28:$K$37,MATCH($B95,Éléments!$C$5:$C$14,1),6),IF($H95="Dragon",INDEX(Butin!$E$41:$K$50,MATCH($B95,Éléments!$C$5:$C$14,1),6),INDEX(Butin!$E$15:$K$24,MATCH($B95,Éléments!$C$5:$C$14,1),6)))</f>
        <v>0.058</v>
      </c>
      <c r="AT95" s="30" t="n">
        <f aca="false">IF($H95="Boss",INDEX(Butin!$E$28:$K$37,MATCH($B95,Éléments!$C$5:$C$14,1),7),IF($H95="Dragon",INDEX(Butin!$E$41:$K$50,MATCH($B95,Éléments!$C$5:$C$14,1),7),INDEX(Butin!$E$15:$K$24,MATCH($B95,Éléments!$C$5:$C$14,1),7)))</f>
        <v>0.007</v>
      </c>
      <c r="AU95" s="38" t="str">
        <f aca="false">IF(AT95=0,"—",INDEX(Butin!$D$54:$D$63,MATCH($B95,Éléments!$C$5:$C$14,1))&amp;" · "&amp;INDEX(Butin!$F$54:$F$63,MATCH($B95,Éléments!$C$5:$C$14,1))&amp;" · "&amp;INDEX(Butin!$H$54:$H$63,MATCH($B95,Éléments!$C$5:$C$14,1)))</f>
        <v>Épée de la Mort · Amulette de l'Œil Maudit · Carquois du Chasseur de Spectres</v>
      </c>
      <c r="AV95" s="20" t="s">
        <v>380</v>
      </c>
      <c r="AW95" s="39" t="str">
        <f aca="false">B95&amp;IF(G95="Oui","|B","|N")</f>
        <v>100|N</v>
      </c>
      <c r="AX95" s="40" t="n">
        <f aca="false">(Paramètres!$B$5+(1-Paramètres!$B$5)*((K95-Paramètres!$B$7)/(Paramètres!$B$8-Paramètres!$B$7))^Paramètres!$B$6)</f>
        <v>1</v>
      </c>
      <c r="AY95" s="39" t="n">
        <f aca="false">MATCH(I95,Rôles!$A$5:$A$13,0)</f>
        <v>5</v>
      </c>
      <c r="AZ95" s="39" t="n">
        <f aca="false">MATCH(H95,Rôles!$A$18:$A$22,0)</f>
        <v>3</v>
      </c>
    </row>
    <row r="96" customFormat="false" ht="15.75" hidden="false" customHeight="true" outlineLevel="0" collapsed="false">
      <c r="A96" s="20" t="s">
        <v>381</v>
      </c>
      <c r="B96" s="21" t="n">
        <v>100</v>
      </c>
      <c r="C96" s="22" t="str">
        <f aca="false" t="array" ref="C96:C96">INDEX(Zones!$B$6:$B$35,MATCH(B96,Zones!$A$6:$A$35,0))</f>
        <v>Palais démoniaque</v>
      </c>
      <c r="D96" s="23" t="str">
        <f aca="false" t="array" ref="D96:D96">INDEX(Éléments!$B$5:$B$14,MATCH(B96,Éléments!$C$5:$C$14,1))</f>
        <v>Palais démoniaque</v>
      </c>
      <c r="E96" s="49" t="str">
        <f aca="false" t="array" ref="E96:E96">INDEX(Éléments!$A$5:$A$14,MATCH(B96,Éléments!$C$5:$C$14,1))</f>
        <v>Ombre</v>
      </c>
      <c r="F96" s="25" t="s">
        <v>382</v>
      </c>
      <c r="G96" s="23" t="str">
        <f aca="false">IF(OR(H96="Boss",H96="Dragon"),"Oui","Non")</f>
        <v>Non</v>
      </c>
      <c r="H96" s="26" t="s">
        <v>165</v>
      </c>
      <c r="I96" s="26" t="s">
        <v>145</v>
      </c>
      <c r="J96" s="26" t="s">
        <v>140</v>
      </c>
      <c r="K96" s="27" t="n">
        <f aca="false">IF($F$3="",B96,$F$3)</f>
        <v>100</v>
      </c>
      <c r="L96" s="28" t="n">
        <f aca="false" t="array" ref="L96:L96">ROUND(Paramètres!$B$16*(Paramètres!$B$5+(1-Paramètres!$B$5)*((K96-Paramètres!$B$7)/(Paramètres!$B$8-Paramètres!$B$7))^Paramètres!$B$6)*INDEX(Rôles!$B$18:$B$22,AZ96)*INDEX(Rôles!$B$5:$B$13,AY96),0)</f>
        <v>886</v>
      </c>
      <c r="M96" s="29" t="n">
        <f aca="false" t="array" ref="M96:M96">ROUND(IF(J96="Physique",1,IF(J96="Mixte",Paramètres!$B$32,0))*Paramètres!$B$12*(Paramètres!$B$5+(1-Paramètres!$B$5)*((K96-Paramètres!$B$7)/(Paramètres!$B$8-Paramètres!$B$7))^Paramètres!$B$6)*INDEX(Rôles!$C$18:$C$22,AZ96)*INDEX(Rôles!$C$5:$C$13,AY96)/(Paramètres!$B$35*(1-Paramètres!$B$36)),0)</f>
        <v>274</v>
      </c>
      <c r="N96" s="29" t="n">
        <f aca="false" t="array" ref="N96:N96">ROUND(IF(J96="Magique",1,IF(J96="Mixte",Paramètres!$B$32,0))*Paramètres!$B$12*(Paramètres!$B$5+(1-Paramètres!$B$5)*((K96-Paramètres!$B$7)/(Paramètres!$B$8-Paramètres!$B$7))^Paramètres!$B$6)*INDEX(Rôles!$C$18:$C$22,AZ96)*INDEX(Rôles!$C$5:$C$13,AY96)/(Paramètres!$B$35*(1-Paramètres!$B$36)),0)</f>
        <v>0</v>
      </c>
      <c r="O96" s="29" t="n">
        <f aca="false" t="array" ref="O96:O96">ROUND(Paramètres!$B$18*(Paramètres!$B$5+(1-Paramètres!$B$5)*((K96-Paramètres!$B$7)/(Paramètres!$B$8-Paramètres!$B$7))^Paramètres!$B$6)*INDEX(Rôles!$D$5:$D$13,AY96)*INDEX(Rôles!$D$18:$D$22,AZ96),0)</f>
        <v>216</v>
      </c>
      <c r="P96" s="29" t="n">
        <f aca="false" t="array" ref="P96:P96">ROUND(Paramètres!$B$19*(Paramètres!$B$5+(1-Paramètres!$B$5)*((K96-Paramètres!$B$7)/(Paramètres!$B$8-Paramètres!$B$7))^Paramètres!$B$6)*INDEX(Rôles!$E$5:$E$13,AY96)*INDEX(Rôles!$D$18:$D$22,AZ96),0)</f>
        <v>160</v>
      </c>
      <c r="Q96" s="29" t="n">
        <f aca="false" t="array" ref="Q96:Q96">ROUND(Paramètres!$B$20*(Paramètres!$B$5+(1-Paramètres!$B$5)*((K96-Paramètres!$B$7)/(Paramètres!$B$8-Paramètres!$B$7))^Paramètres!$B$6)*INDEX(Rôles!$F$5:$F$13,AY96),0)</f>
        <v>192</v>
      </c>
      <c r="R96" s="29" t="n">
        <f aca="false">ROUND(Paramètres!$B$64*$AX96*INDEX(Rôles!$N$5:$N$13,$AY96)*INDEX(Rôles!$I$18:$I$22,$AZ96),0)</f>
        <v>135</v>
      </c>
      <c r="S96" s="30" t="n">
        <f aca="false" t="array" ref="S96:S96">MIN(1,ROUND(Paramètres!$B$21*INDEX(Rôles!$G$5:$G$13,AY96),3))</f>
        <v>1</v>
      </c>
      <c r="T96" s="30" t="n">
        <f aca="false" t="array" ref="T96:T96">MIN(Paramètres!$B$28,ROUND(Paramètres!$B$22*INDEX(Rôles!$H$5:$H$13,AY96),3))</f>
        <v>0.08</v>
      </c>
      <c r="U96" s="30" t="n">
        <f aca="false" t="array" ref="U96:U96">ROUND(Paramètres!$B$23*INDEX(Rôles!$I$5:$I$13,AY96),3)</f>
        <v>0.7</v>
      </c>
      <c r="V96" s="30" t="n">
        <f aca="false" t="array" ref="V96:V96">MIN(Paramètres!$B$29,ROUND(Paramètres!$B$24*INDEX(Rôles!$J$5:$J$13,AY96),3))</f>
        <v>0.06</v>
      </c>
      <c r="W96" s="30" t="n">
        <f aca="false" t="array" ref="W96:W96">MIN(Paramètres!$B$27,ROUND((Paramètres!$B$25+(Paramètres!$B$26-Paramètres!$B$25)*(K96-Paramètres!$B$7)/(Paramètres!$B$8-Paramètres!$B$7))*INDEX(Rôles!$K$5:$K$13,AY96)+INDEX(Rôles!$G$18:$G$22,AZ96),3))</f>
        <v>0.24</v>
      </c>
      <c r="X96" s="30" t="n">
        <f aca="false">ROUND(1-(1-P96/(P96+(Paramètres!$B$19*(Paramètres!$B$5+(1-Paramètres!$B$5)*((K96-Paramètres!$B$7)/(Paramètres!$B$8-Paramètres!$B$7))^Paramètres!$B$6)*(1-Paramètres!$B$30)/Paramètres!$B$30)))*(1-O96/(O96+(Paramètres!$B$18*(Paramètres!$B$5+(1-Paramètres!$B$5)*((K96-Paramètres!$B$7)/(Paramètres!$B$8-Paramètres!$B$7))^Paramètres!$B$6)*(1-Paramètres!$B$31)/Paramètres!$B$31))),3)</f>
        <v>0.162</v>
      </c>
      <c r="Y96" s="30" t="n">
        <f aca="false">ROUND(O96/(O96+(Paramètres!$B$18*(Paramètres!$B$5+(1-Paramètres!$B$5)*((K96-Paramètres!$B$7)/(Paramètres!$B$8-Paramètres!$B$7))^Paramètres!$B$6)*(1-Paramètres!$B$31)/Paramètres!$B$31)),3)</f>
        <v>0.078</v>
      </c>
      <c r="Z96" s="31" t="n">
        <f aca="false" t="array" ref="Z96:Z96">IF(E96="Neutre",0,MIN(1,INDEX(Rôles!$L$5:$L$13,AY96)+INDEX(Rôles!$F$18:$F$22,AZ96)))</f>
        <v>0.5</v>
      </c>
      <c r="AA96" s="32" t="n">
        <f aca="false" t="array" ref="AA96:AA96">ROUND(INDEX(Rôles!$C$18:$C$22,AZ96)*INDEX(Rôles!$C$5:$C$13,AY96),4)</f>
        <v>0.012</v>
      </c>
      <c r="AB96" s="33" t="n">
        <f aca="false" t="array" ref="AB96:AB96">ROUND(INDEX(Rôles!$B$18:$B$22,AZ96)*INDEX(Rôles!$B$5:$B$13,AY96),2)</f>
        <v>1.13</v>
      </c>
      <c r="AC96" s="33" t="n">
        <f aca="false" t="array" ref="AC96:AC96">INDEX(Rôles!$E$18:$E$22,AZ96)</f>
        <v>0.7</v>
      </c>
      <c r="AD96" s="23" t="str">
        <f aca="false" t="array" ref="AD96:AD96">INDEX(Éléments!$F$5:$F$14,MATCH(E96,Éléments!$A$5:$A$14,0))</f>
        <v>Lumière</v>
      </c>
      <c r="AE96" s="23" t="str">
        <f aca="false" t="array" ref="AE96:AE96">INDEX(Éléments!$G$5:$G$14,MATCH(E96,Éléments!$A$5:$A$14,0))</f>
        <v>—</v>
      </c>
      <c r="AF96" s="34" t="s">
        <v>357</v>
      </c>
      <c r="AG96" s="35" t="n">
        <v>0.2</v>
      </c>
      <c r="AH96" s="34"/>
      <c r="AI96" s="35"/>
      <c r="AJ96" s="29" t="n">
        <f aca="false" t="array" ref="AJ96:AJ96">ROUND(ROUND(Paramètres!$B$49*K96^Paramètres!$B$50,0)*INDEX(Rôles!$E$18:$E$22,AZ96),0)</f>
        <v>1328</v>
      </c>
      <c r="AK96" s="29" t="n">
        <f aca="false" t="array" ref="AK96:AK96">ROUND(ROUND(Paramètres!$B$53*K96^Paramètres!$B$54,0)*INDEX(Rôles!$E$18:$E$22,AZ96),0)</f>
        <v>1053</v>
      </c>
      <c r="AL96" s="36" t="n">
        <f aca="false">INDEX(Butin!$B$7:$B$11,AZ96)</f>
        <v>0.03</v>
      </c>
      <c r="AM96" s="37" t="n">
        <f aca="false">INDEX(Butin!$E$7:$E$11,AZ96)</f>
        <v>0.03</v>
      </c>
      <c r="AN96" s="30" t="n">
        <f aca="false">IF($H96="Boss",INDEX(Butin!$E$28:$K$37,MATCH($B96,Éléments!$C$5:$C$14,1),1),IF($H96="Dragon",INDEX(Butin!$E$41:$K$50,MATCH($B96,Éléments!$C$5:$C$14,1),1),INDEX(Butin!$E$15:$K$24,MATCH($B96,Éléments!$C$5:$C$14,1),1)))</f>
        <v>0.09</v>
      </c>
      <c r="AO96" s="30" t="n">
        <f aca="false">IF($H96="Boss",INDEX(Butin!$E$28:$K$37,MATCH($B96,Éléments!$C$5:$C$14,1),2),IF($H96="Dragon",INDEX(Butin!$E$41:$K$50,MATCH($B96,Éléments!$C$5:$C$14,1),2),INDEX(Butin!$E$15:$K$24,MATCH($B96,Éléments!$C$5:$C$14,1),2)))</f>
        <v>0.19</v>
      </c>
      <c r="AP96" s="30" t="n">
        <f aca="false">IF($H96="Boss",INDEX(Butin!$E$28:$K$37,MATCH($B96,Éléments!$C$5:$C$14,1),3),IF($H96="Dragon",INDEX(Butin!$E$41:$K$50,MATCH($B96,Éléments!$C$5:$C$14,1),3),INDEX(Butin!$E$15:$K$24,MATCH($B96,Éléments!$C$5:$C$14,1),3)))</f>
        <v>0.27</v>
      </c>
      <c r="AQ96" s="30" t="n">
        <f aca="false">IF($H96="Boss",INDEX(Butin!$E$28:$K$37,MATCH($B96,Éléments!$C$5:$C$14,1),4),IF($H96="Dragon",INDEX(Butin!$E$41:$K$50,MATCH($B96,Éléments!$C$5:$C$14,1),4),INDEX(Butin!$E$15:$K$24,MATCH($B96,Éléments!$C$5:$C$14,1),4)))</f>
        <v>0.24</v>
      </c>
      <c r="AR96" s="30" t="n">
        <f aca="false">IF($H96="Boss",INDEX(Butin!$E$28:$K$37,MATCH($B96,Éléments!$C$5:$C$14,1),5),IF($H96="Dragon",INDEX(Butin!$E$41:$K$50,MATCH($B96,Éléments!$C$5:$C$14,1),5),INDEX(Butin!$E$15:$K$24,MATCH($B96,Éléments!$C$5:$C$14,1),5)))</f>
        <v>0.145</v>
      </c>
      <c r="AS96" s="30" t="n">
        <f aca="false">IF($H96="Boss",INDEX(Butin!$E$28:$K$37,MATCH($B96,Éléments!$C$5:$C$14,1),6),IF($H96="Dragon",INDEX(Butin!$E$41:$K$50,MATCH($B96,Éléments!$C$5:$C$14,1),6),INDEX(Butin!$E$15:$K$24,MATCH($B96,Éléments!$C$5:$C$14,1),6)))</f>
        <v>0.058</v>
      </c>
      <c r="AT96" s="30" t="n">
        <f aca="false">IF($H96="Boss",INDEX(Butin!$E$28:$K$37,MATCH($B96,Éléments!$C$5:$C$14,1),7),IF($H96="Dragon",INDEX(Butin!$E$41:$K$50,MATCH($B96,Éléments!$C$5:$C$14,1),7),INDEX(Butin!$E$15:$K$24,MATCH($B96,Éléments!$C$5:$C$14,1),7)))</f>
        <v>0.007</v>
      </c>
      <c r="AU96" s="38" t="str">
        <f aca="false">IF(AT96=0,"—",INDEX(Butin!$D$54:$D$63,MATCH($B96,Éléments!$C$5:$C$14,1))&amp;" · "&amp;INDEX(Butin!$F$54:$F$63,MATCH($B96,Éléments!$C$5:$C$14,1))&amp;" · "&amp;INDEX(Butin!$H$54:$H$63,MATCH($B96,Éléments!$C$5:$C$14,1)))</f>
        <v>Épée de la Mort · Amulette de l'Œil Maudit · Carquois du Chasseur de Spectres</v>
      </c>
      <c r="AV96" s="20" t="s">
        <v>382</v>
      </c>
      <c r="AW96" s="39" t="str">
        <f aca="false">B96&amp;IF(G96="Oui","|B","|N")</f>
        <v>100|N</v>
      </c>
      <c r="AX96" s="40" t="n">
        <f aca="false">(Paramètres!$B$5+(1-Paramètres!$B$5)*((K96-Paramètres!$B$7)/(Paramètres!$B$8-Paramètres!$B$7))^Paramètres!$B$6)</f>
        <v>1</v>
      </c>
      <c r="AY96" s="39" t="n">
        <f aca="false">MATCH(I96,Rôles!$A$5:$A$13,0)</f>
        <v>7</v>
      </c>
      <c r="AZ96" s="39" t="n">
        <f aca="false">MATCH(H96,Rôles!$A$18:$A$22,0)</f>
        <v>1</v>
      </c>
    </row>
    <row r="97" customFormat="false" ht="15.75" hidden="false" customHeight="true" outlineLevel="0" collapsed="false">
      <c r="A97" s="20" t="s">
        <v>383</v>
      </c>
      <c r="B97" s="21" t="n">
        <v>100</v>
      </c>
      <c r="C97" s="22" t="str">
        <f aca="false" t="array" ref="C97:C97">INDEX(Zones!$B$6:$B$35,MATCH(B97,Zones!$A$6:$A$35,0))</f>
        <v>Palais démoniaque</v>
      </c>
      <c r="D97" s="23" t="str">
        <f aca="false" t="array" ref="D97:D97">INDEX(Éléments!$B$5:$B$14,MATCH(B97,Éléments!$C$5:$C$14,1))</f>
        <v>Palais démoniaque</v>
      </c>
      <c r="E97" s="49" t="str">
        <f aca="false" t="array" ref="E97:E97">INDEX(Éléments!$A$5:$A$14,MATCH(B97,Éléments!$C$5:$C$14,1))</f>
        <v>Ombre</v>
      </c>
      <c r="F97" s="25" t="s">
        <v>384</v>
      </c>
      <c r="G97" s="23" t="str">
        <f aca="false">IF(OR(H97="Boss",H97="Dragon"),"Oui","Non")</f>
        <v>Non</v>
      </c>
      <c r="H97" s="26" t="s">
        <v>138</v>
      </c>
      <c r="I97" s="26" t="s">
        <v>160</v>
      </c>
      <c r="J97" s="26" t="s">
        <v>140</v>
      </c>
      <c r="K97" s="27" t="n">
        <f aca="false">IF($F$3="",B97,$F$3)</f>
        <v>100</v>
      </c>
      <c r="L97" s="28" t="n">
        <f aca="false" t="array" ref="L97:L97">ROUND(Paramètres!$B$16*(Paramètres!$B$5+(1-Paramètres!$B$5)*((K97-Paramètres!$B$7)/(Paramètres!$B$8-Paramètres!$B$7))^Paramètres!$B$6)*INDEX(Rôles!$B$18:$B$22,AZ97)*INDEX(Rôles!$B$5:$B$13,AY97),0)</f>
        <v>1811</v>
      </c>
      <c r="M97" s="29" t="n">
        <f aca="false" t="array" ref="M97:M97">ROUND(IF(J97="Physique",1,IF(J97="Mixte",Paramètres!$B$32,0))*Paramètres!$B$12*(Paramètres!$B$5+(1-Paramètres!$B$5)*((K97-Paramètres!$B$7)/(Paramètres!$B$8-Paramètres!$B$7))^Paramètres!$B$6)*INDEX(Rôles!$C$18:$C$22,AZ97)*INDEX(Rôles!$C$5:$C$13,AY97)/(Paramètres!$B$35*(1-Paramètres!$B$36)),0)</f>
        <v>343</v>
      </c>
      <c r="N97" s="29" t="n">
        <f aca="false" t="array" ref="N97:N97">ROUND(IF(J97="Magique",1,IF(J97="Mixte",Paramètres!$B$32,0))*Paramètres!$B$12*(Paramètres!$B$5+(1-Paramètres!$B$5)*((K97-Paramètres!$B$7)/(Paramètres!$B$8-Paramètres!$B$7))^Paramètres!$B$6)*INDEX(Rôles!$C$18:$C$22,AZ97)*INDEX(Rôles!$C$5:$C$13,AY97)/(Paramètres!$B$35*(1-Paramètres!$B$36)),0)</f>
        <v>0</v>
      </c>
      <c r="O97" s="29" t="n">
        <f aca="false" t="array" ref="O97:O97">ROUND(Paramètres!$B$18*(Paramètres!$B$5+(1-Paramètres!$B$5)*((K97-Paramètres!$B$7)/(Paramètres!$B$8-Paramètres!$B$7))^Paramètres!$B$6)*INDEX(Rôles!$D$5:$D$13,AY97)*INDEX(Rôles!$D$18:$D$22,AZ97),0)</f>
        <v>450</v>
      </c>
      <c r="P97" s="29" t="n">
        <f aca="false" t="array" ref="P97:P97">ROUND(Paramètres!$B$19*(Paramètres!$B$5+(1-Paramètres!$B$5)*((K97-Paramètres!$B$7)/(Paramètres!$B$8-Paramètres!$B$7))^Paramètres!$B$6)*INDEX(Rôles!$E$5:$E$13,AY97)*INDEX(Rôles!$D$18:$D$22,AZ97),0)</f>
        <v>480</v>
      </c>
      <c r="Q97" s="29" t="n">
        <f aca="false" t="array" ref="Q97:Q97">ROUND(Paramètres!$B$20*(Paramètres!$B$5+(1-Paramètres!$B$5)*((K97-Paramètres!$B$7)/(Paramètres!$B$8-Paramètres!$B$7))^Paramètres!$B$6)*INDEX(Rôles!$F$5:$F$13,AY97),0)</f>
        <v>108</v>
      </c>
      <c r="R97" s="29" t="n">
        <f aca="false">ROUND(Paramètres!$B$64*$AX97*INDEX(Rôles!$N$5:$N$13,$AY97)*INDEX(Rôles!$I$18:$I$22,$AZ97),0)</f>
        <v>95</v>
      </c>
      <c r="S97" s="30" t="n">
        <f aca="false" t="array" ref="S97:S97">MIN(1,ROUND(Paramètres!$B$21*INDEX(Rôles!$G$5:$G$13,AY97),3))</f>
        <v>0.9</v>
      </c>
      <c r="T97" s="30" t="n">
        <f aca="false" t="array" ref="T97:T97">MIN(Paramètres!$B$28,ROUND(Paramètres!$B$22*INDEX(Rôles!$H$5:$H$13,AY97),3))</f>
        <v>0.05</v>
      </c>
      <c r="U97" s="30" t="n">
        <f aca="false" t="array" ref="U97:U97">ROUND(Paramètres!$B$23*INDEX(Rôles!$I$5:$I$13,AY97),3)</f>
        <v>0.5</v>
      </c>
      <c r="V97" s="30" t="n">
        <f aca="false" t="array" ref="V97:V97">MIN(Paramètres!$B$29,ROUND(Paramètres!$B$24*INDEX(Rôles!$J$5:$J$13,AY97),3))</f>
        <v>0.05</v>
      </c>
      <c r="W97" s="30" t="n">
        <f aca="false" t="array" ref="W97:W97">MIN(Paramètres!$B$27,ROUND((Paramètres!$B$25+(Paramètres!$B$26-Paramètres!$B$25)*(K97-Paramètres!$B$7)/(Paramètres!$B$8-Paramètres!$B$7))*INDEX(Rôles!$K$5:$K$13,AY97)+INDEX(Rôles!$G$18:$G$22,AZ97),3))</f>
        <v>0.3</v>
      </c>
      <c r="X97" s="30" t="n">
        <f aca="false">ROUND(1-(1-P97/(P97+(Paramètres!$B$19*(Paramètres!$B$5+(1-Paramètres!$B$5)*((K97-Paramètres!$B$7)/(Paramètres!$B$8-Paramètres!$B$7))^Paramètres!$B$6)*(1-Paramètres!$B$30)/Paramètres!$B$30)))*(1-O97/(O97+(Paramètres!$B$18*(Paramètres!$B$5+(1-Paramètres!$B$5)*((K97-Paramètres!$B$7)/(Paramètres!$B$8-Paramètres!$B$7))^Paramètres!$B$6)*(1-Paramètres!$B$31)/Paramètres!$B$31))),3)</f>
        <v>0.346</v>
      </c>
      <c r="Y97" s="30" t="n">
        <f aca="false">ROUND(O97/(O97+(Paramètres!$B$18*(Paramètres!$B$5+(1-Paramètres!$B$5)*((K97-Paramètres!$B$7)/(Paramètres!$B$8-Paramètres!$B$7))^Paramètres!$B$6)*(1-Paramètres!$B$31)/Paramètres!$B$31)),3)</f>
        <v>0.15</v>
      </c>
      <c r="Z97" s="31" t="n">
        <f aca="false" t="array" ref="Z97:Z97">IF(E97="Neutre",0,MIN(1,INDEX(Rôles!$L$5:$L$13,AY97)+INDEX(Rôles!$F$18:$F$22,AZ97)))</f>
        <v>0.5</v>
      </c>
      <c r="AA97" s="32" t="n">
        <f aca="false" t="array" ref="AA97:AA97">ROUND(INDEX(Rôles!$C$18:$C$22,AZ97)*INDEX(Rôles!$C$5:$C$13,AY97),4)</f>
        <v>0.015</v>
      </c>
      <c r="AB97" s="33" t="n">
        <f aca="false" t="array" ref="AB97:AB97">ROUND(INDEX(Rôles!$B$18:$B$22,AZ97)*INDEX(Rôles!$B$5:$B$13,AY97),2)</f>
        <v>2.3</v>
      </c>
      <c r="AC97" s="33" t="n">
        <f aca="false" t="array" ref="AC97:AC97">INDEX(Rôles!$E$18:$E$22,AZ97)</f>
        <v>1</v>
      </c>
      <c r="AD97" s="23" t="str">
        <f aca="false" t="array" ref="AD97:AD97">INDEX(Éléments!$F$5:$F$14,MATCH(E97,Éléments!$A$5:$A$14,0))</f>
        <v>Lumière</v>
      </c>
      <c r="AE97" s="23" t="str">
        <f aca="false" t="array" ref="AE97:AE97">INDEX(Éléments!$G$5:$G$14,MATCH(E97,Éléments!$A$5:$A$14,0))</f>
        <v>—</v>
      </c>
      <c r="AF97" s="34" t="s">
        <v>357</v>
      </c>
      <c r="AG97" s="35" t="n">
        <v>0.3</v>
      </c>
      <c r="AH97" s="34" t="s">
        <v>358</v>
      </c>
      <c r="AI97" s="35" t="n">
        <v>0.15</v>
      </c>
      <c r="AJ97" s="29" t="n">
        <f aca="false" t="array" ref="AJ97:AJ97">ROUND(ROUND(Paramètres!$B$49*K97^Paramètres!$B$50,0)*INDEX(Rôles!$E$18:$E$22,AZ97),0)</f>
        <v>1897</v>
      </c>
      <c r="AK97" s="29" t="n">
        <f aca="false" t="array" ref="AK97:AK97">ROUND(ROUND(Paramètres!$B$53*K97^Paramètres!$B$54,0)*INDEX(Rôles!$E$18:$E$22,AZ97),0)</f>
        <v>1504</v>
      </c>
      <c r="AL97" s="36" t="n">
        <f aca="false">INDEX(Butin!$B$7:$B$11,AZ97)</f>
        <v>0.05</v>
      </c>
      <c r="AM97" s="37" t="n">
        <f aca="false">INDEX(Butin!$E$7:$E$11,AZ97)</f>
        <v>0.05</v>
      </c>
      <c r="AN97" s="30" t="n">
        <f aca="false">IF($H97="Boss",INDEX(Butin!$E$28:$K$37,MATCH($B97,Éléments!$C$5:$C$14,1),1),IF($H97="Dragon",INDEX(Butin!$E$41:$K$50,MATCH($B97,Éléments!$C$5:$C$14,1),1),INDEX(Butin!$E$15:$K$24,MATCH($B97,Éléments!$C$5:$C$14,1),1)))</f>
        <v>0.09</v>
      </c>
      <c r="AO97" s="30" t="n">
        <f aca="false">IF($H97="Boss",INDEX(Butin!$E$28:$K$37,MATCH($B97,Éléments!$C$5:$C$14,1),2),IF($H97="Dragon",INDEX(Butin!$E$41:$K$50,MATCH($B97,Éléments!$C$5:$C$14,1),2),INDEX(Butin!$E$15:$K$24,MATCH($B97,Éléments!$C$5:$C$14,1),2)))</f>
        <v>0.19</v>
      </c>
      <c r="AP97" s="30" t="n">
        <f aca="false">IF($H97="Boss",INDEX(Butin!$E$28:$K$37,MATCH($B97,Éléments!$C$5:$C$14,1),3),IF($H97="Dragon",INDEX(Butin!$E$41:$K$50,MATCH($B97,Éléments!$C$5:$C$14,1),3),INDEX(Butin!$E$15:$K$24,MATCH($B97,Éléments!$C$5:$C$14,1),3)))</f>
        <v>0.27</v>
      </c>
      <c r="AQ97" s="30" t="n">
        <f aca="false">IF($H97="Boss",INDEX(Butin!$E$28:$K$37,MATCH($B97,Éléments!$C$5:$C$14,1),4),IF($H97="Dragon",INDEX(Butin!$E$41:$K$50,MATCH($B97,Éléments!$C$5:$C$14,1),4),INDEX(Butin!$E$15:$K$24,MATCH($B97,Éléments!$C$5:$C$14,1),4)))</f>
        <v>0.24</v>
      </c>
      <c r="AR97" s="30" t="n">
        <f aca="false">IF($H97="Boss",INDEX(Butin!$E$28:$K$37,MATCH($B97,Éléments!$C$5:$C$14,1),5),IF($H97="Dragon",INDEX(Butin!$E$41:$K$50,MATCH($B97,Éléments!$C$5:$C$14,1),5),INDEX(Butin!$E$15:$K$24,MATCH($B97,Éléments!$C$5:$C$14,1),5)))</f>
        <v>0.145</v>
      </c>
      <c r="AS97" s="30" t="n">
        <f aca="false">IF($H97="Boss",INDEX(Butin!$E$28:$K$37,MATCH($B97,Éléments!$C$5:$C$14,1),6),IF($H97="Dragon",INDEX(Butin!$E$41:$K$50,MATCH($B97,Éléments!$C$5:$C$14,1),6),INDEX(Butin!$E$15:$K$24,MATCH($B97,Éléments!$C$5:$C$14,1),6)))</f>
        <v>0.058</v>
      </c>
      <c r="AT97" s="30" t="n">
        <f aca="false">IF($H97="Boss",INDEX(Butin!$E$28:$K$37,MATCH($B97,Éléments!$C$5:$C$14,1),7),IF($H97="Dragon",INDEX(Butin!$E$41:$K$50,MATCH($B97,Éléments!$C$5:$C$14,1),7),INDEX(Butin!$E$15:$K$24,MATCH($B97,Éléments!$C$5:$C$14,1),7)))</f>
        <v>0.007</v>
      </c>
      <c r="AU97" s="38" t="str">
        <f aca="false">IF(AT97=0,"—",INDEX(Butin!$D$54:$D$63,MATCH($B97,Éléments!$C$5:$C$14,1))&amp;" · "&amp;INDEX(Butin!$F$54:$F$63,MATCH($B97,Éléments!$C$5:$C$14,1))&amp;" · "&amp;INDEX(Butin!$H$54:$H$63,MATCH($B97,Éléments!$C$5:$C$14,1)))</f>
        <v>Épée de la Mort · Amulette de l'Œil Maudit · Carquois du Chasseur de Spectres</v>
      </c>
      <c r="AV97" s="20" t="s">
        <v>384</v>
      </c>
      <c r="AW97" s="39" t="str">
        <f aca="false">B97&amp;IF(G97="Oui","|B","|N")</f>
        <v>100|N</v>
      </c>
      <c r="AX97" s="40" t="n">
        <f aca="false">(Paramètres!$B$5+(1-Paramètres!$B$5)*((K97-Paramètres!$B$7)/(Paramètres!$B$8-Paramètres!$B$7))^Paramètres!$B$6)</f>
        <v>1</v>
      </c>
      <c r="AY97" s="39" t="n">
        <f aca="false">MATCH(I97,Rôles!$A$5:$A$13,0)</f>
        <v>3</v>
      </c>
      <c r="AZ97" s="39" t="n">
        <f aca="false">MATCH(H97,Rôles!$A$18:$A$22,0)</f>
        <v>2</v>
      </c>
    </row>
    <row r="98" customFormat="false" ht="15.75" hidden="false" customHeight="true" outlineLevel="0" collapsed="false">
      <c r="A98" s="20" t="s">
        <v>385</v>
      </c>
      <c r="B98" s="21" t="n">
        <v>100</v>
      </c>
      <c r="C98" s="22" t="str">
        <f aca="false" t="array" ref="C98:C98">INDEX(Zones!$B$6:$B$35,MATCH(B98,Zones!$A$6:$A$35,0))</f>
        <v>Palais démoniaque</v>
      </c>
      <c r="D98" s="23" t="str">
        <f aca="false" t="array" ref="D98:D98">INDEX(Éléments!$B$5:$B$14,MATCH(B98,Éléments!$C$5:$C$14,1))</f>
        <v>Palais démoniaque</v>
      </c>
      <c r="E98" s="49" t="str">
        <f aca="false" t="array" ref="E98:E98">INDEX(Éléments!$A$5:$A$14,MATCH(B98,Éléments!$C$5:$C$14,1))</f>
        <v>Ombre</v>
      </c>
      <c r="F98" s="25" t="s">
        <v>386</v>
      </c>
      <c r="G98" s="23" t="str">
        <f aca="false">IF(OR(H98="Boss",H98="Dragon"),"Oui","Non")</f>
        <v>Non</v>
      </c>
      <c r="H98" s="26" t="s">
        <v>148</v>
      </c>
      <c r="I98" s="26" t="s">
        <v>160</v>
      </c>
      <c r="J98" s="26" t="s">
        <v>157</v>
      </c>
      <c r="K98" s="27" t="n">
        <f aca="false">IF($F$3="",B98,$F$3)</f>
        <v>100</v>
      </c>
      <c r="L98" s="28" t="n">
        <f aca="false" t="array" ref="L98:L98">ROUND(Paramètres!$B$16*(Paramètres!$B$5+(1-Paramètres!$B$5)*((K98-Paramètres!$B$7)/(Paramètres!$B$8-Paramètres!$B$7))^Paramètres!$B$6)*INDEX(Rôles!$B$18:$B$22,AZ98)*INDEX(Rôles!$B$5:$B$13,AY98),0)</f>
        <v>2536</v>
      </c>
      <c r="M98" s="29" t="n">
        <f aca="false" t="array" ref="M98:M98">ROUND(IF(J98="Physique",1,IF(J98="Mixte",Paramètres!$B$32,0))*Paramètres!$B$12*(Paramètres!$B$5+(1-Paramètres!$B$5)*((K98-Paramètres!$B$7)/(Paramètres!$B$8-Paramètres!$B$7))^Paramètres!$B$6)*INDEX(Rôles!$C$18:$C$22,AZ98)*INDEX(Rôles!$C$5:$C$13,AY98)/(Paramètres!$B$35*(1-Paramètres!$B$36)),0)</f>
        <v>326</v>
      </c>
      <c r="N98" s="29" t="n">
        <f aca="false" t="array" ref="N98:N98">ROUND(IF(J98="Magique",1,IF(J98="Mixte",Paramètres!$B$32,0))*Paramètres!$B$12*(Paramètres!$B$5+(1-Paramètres!$B$5)*((K98-Paramètres!$B$7)/(Paramètres!$B$8-Paramètres!$B$7))^Paramètres!$B$6)*INDEX(Rôles!$C$18:$C$22,AZ98)*INDEX(Rôles!$C$5:$C$13,AY98)/(Paramètres!$B$35*(1-Paramètres!$B$36)),0)</f>
        <v>326</v>
      </c>
      <c r="O98" s="29" t="n">
        <f aca="false" t="array" ref="O98:O98">ROUND(Paramètres!$B$18*(Paramètres!$B$5+(1-Paramètres!$B$5)*((K98-Paramètres!$B$7)/(Paramètres!$B$8-Paramètres!$B$7))^Paramètres!$B$6)*INDEX(Rôles!$D$5:$D$13,AY98)*INDEX(Rôles!$D$18:$D$22,AZ98),0)</f>
        <v>518</v>
      </c>
      <c r="P98" s="29" t="n">
        <f aca="false" t="array" ref="P98:P98">ROUND(Paramètres!$B$19*(Paramètres!$B$5+(1-Paramètres!$B$5)*((K98-Paramètres!$B$7)/(Paramètres!$B$8-Paramètres!$B$7))^Paramètres!$B$6)*INDEX(Rôles!$E$5:$E$13,AY98)*INDEX(Rôles!$D$18:$D$22,AZ98),0)</f>
        <v>552</v>
      </c>
      <c r="Q98" s="29" t="n">
        <f aca="false" t="array" ref="Q98:Q98">ROUND(Paramètres!$B$20*(Paramètres!$B$5+(1-Paramètres!$B$5)*((K98-Paramètres!$B$7)/(Paramètres!$B$8-Paramètres!$B$7))^Paramètres!$B$6)*INDEX(Rôles!$F$5:$F$13,AY98),0)</f>
        <v>108</v>
      </c>
      <c r="R98" s="29" t="n">
        <f aca="false">ROUND(Paramètres!$B$64*$AX98*INDEX(Rôles!$N$5:$N$13,$AY98)*INDEX(Rôles!$I$18:$I$22,$AZ98),0)</f>
        <v>100</v>
      </c>
      <c r="S98" s="30" t="n">
        <f aca="false" t="array" ref="S98:S98">MIN(1,ROUND(Paramètres!$B$21*INDEX(Rôles!$G$5:$G$13,AY98),3))</f>
        <v>0.9</v>
      </c>
      <c r="T98" s="30" t="n">
        <f aca="false" t="array" ref="T98:T98">MIN(Paramètres!$B$28,ROUND(Paramètres!$B$22*INDEX(Rôles!$H$5:$H$13,AY98),3))</f>
        <v>0.05</v>
      </c>
      <c r="U98" s="30" t="n">
        <f aca="false" t="array" ref="U98:U98">ROUND(Paramètres!$B$23*INDEX(Rôles!$I$5:$I$13,AY98),3)</f>
        <v>0.5</v>
      </c>
      <c r="V98" s="30" t="n">
        <f aca="false" t="array" ref="V98:V98">MIN(Paramètres!$B$29,ROUND(Paramètres!$B$24*INDEX(Rôles!$J$5:$J$13,AY98),3))</f>
        <v>0.05</v>
      </c>
      <c r="W98" s="30" t="n">
        <f aca="false" t="array" ref="W98:W98">MIN(Paramètres!$B$27,ROUND((Paramètres!$B$25+(Paramètres!$B$26-Paramètres!$B$25)*(K98-Paramètres!$B$7)/(Paramètres!$B$8-Paramètres!$B$7))*INDEX(Rôles!$K$5:$K$13,AY98)+INDEX(Rôles!$G$18:$G$22,AZ98),3))</f>
        <v>0.3</v>
      </c>
      <c r="X98" s="30" t="n">
        <f aca="false">ROUND(1-(1-P98/(P98+(Paramètres!$B$19*(Paramètres!$B$5+(1-Paramètres!$B$5)*((K98-Paramètres!$B$7)/(Paramètres!$B$8-Paramètres!$B$7))^Paramètres!$B$6)*(1-Paramètres!$B$30)/Paramètres!$B$30)))*(1-O98/(O98+(Paramètres!$B$18*(Paramètres!$B$5+(1-Paramètres!$B$5)*((K98-Paramètres!$B$7)/(Paramètres!$B$8-Paramètres!$B$7))^Paramètres!$B$6)*(1-Paramètres!$B$31)/Paramètres!$B$31))),3)</f>
        <v>0.382</v>
      </c>
      <c r="Y98" s="30" t="n">
        <f aca="false">ROUND(O98/(O98+(Paramètres!$B$18*(Paramètres!$B$5+(1-Paramètres!$B$5)*((K98-Paramètres!$B$7)/(Paramètres!$B$8-Paramètres!$B$7))^Paramètres!$B$6)*(1-Paramètres!$B$31)/Paramètres!$B$31)),3)</f>
        <v>0.169</v>
      </c>
      <c r="Z98" s="31" t="n">
        <f aca="false" t="array" ref="Z98:Z98">IF(E98="Neutre",0,MIN(1,INDEX(Rôles!$L$5:$L$13,AY98)+INDEX(Rôles!$F$18:$F$22,AZ98)))</f>
        <v>0.5</v>
      </c>
      <c r="AA98" s="32" t="n">
        <f aca="false" t="array" ref="AA98:AA98">ROUND(INDEX(Rôles!$C$18:$C$22,AZ98)*INDEX(Rôles!$C$5:$C$13,AY98),4)</f>
        <v>0.019</v>
      </c>
      <c r="AB98" s="33" t="n">
        <f aca="false" t="array" ref="AB98:AB98">ROUND(INDEX(Rôles!$B$18:$B$22,AZ98)*INDEX(Rôles!$B$5:$B$13,AY98),2)</f>
        <v>3.22</v>
      </c>
      <c r="AC98" s="33" t="n">
        <f aca="false" t="array" ref="AC98:AC98">INDEX(Rôles!$E$18:$E$22,AZ98)</f>
        <v>1.4</v>
      </c>
      <c r="AD98" s="23" t="str">
        <f aca="false" t="array" ref="AD98:AD98">INDEX(Éléments!$F$5:$F$14,MATCH(E98,Éléments!$A$5:$A$14,0))</f>
        <v>Lumière</v>
      </c>
      <c r="AE98" s="23" t="str">
        <f aca="false" t="array" ref="AE98:AE98">INDEX(Éléments!$G$5:$G$14,MATCH(E98,Éléments!$A$5:$A$14,0))</f>
        <v>—</v>
      </c>
      <c r="AF98" s="34" t="s">
        <v>357</v>
      </c>
      <c r="AG98" s="35" t="n">
        <v>0.35</v>
      </c>
      <c r="AH98" s="34" t="s">
        <v>358</v>
      </c>
      <c r="AI98" s="35" t="n">
        <v>0.2</v>
      </c>
      <c r="AJ98" s="29" t="n">
        <f aca="false" t="array" ref="AJ98:AJ98">ROUND(ROUND(Paramètres!$B$49*K98^Paramètres!$B$50,0)*INDEX(Rôles!$E$18:$E$22,AZ98),0)</f>
        <v>2656</v>
      </c>
      <c r="AK98" s="29" t="n">
        <f aca="false" t="array" ref="AK98:AK98">ROUND(ROUND(Paramètres!$B$53*K98^Paramètres!$B$54,0)*INDEX(Rôles!$E$18:$E$22,AZ98),0)</f>
        <v>2106</v>
      </c>
      <c r="AL98" s="36" t="n">
        <f aca="false">INDEX(Butin!$B$7:$B$11,AZ98)</f>
        <v>0.08</v>
      </c>
      <c r="AM98" s="37" t="n">
        <f aca="false">INDEX(Butin!$E$7:$E$11,AZ98)</f>
        <v>0.08</v>
      </c>
      <c r="AN98" s="30" t="n">
        <f aca="false">IF($H98="Boss",INDEX(Butin!$E$28:$K$37,MATCH($B98,Éléments!$C$5:$C$14,1),1),IF($H98="Dragon",INDEX(Butin!$E$41:$K$50,MATCH($B98,Éléments!$C$5:$C$14,1),1),INDEX(Butin!$E$15:$K$24,MATCH($B98,Éléments!$C$5:$C$14,1),1)))</f>
        <v>0.09</v>
      </c>
      <c r="AO98" s="30" t="n">
        <f aca="false">IF($H98="Boss",INDEX(Butin!$E$28:$K$37,MATCH($B98,Éléments!$C$5:$C$14,1),2),IF($H98="Dragon",INDEX(Butin!$E$41:$K$50,MATCH($B98,Éléments!$C$5:$C$14,1),2),INDEX(Butin!$E$15:$K$24,MATCH($B98,Éléments!$C$5:$C$14,1),2)))</f>
        <v>0.19</v>
      </c>
      <c r="AP98" s="30" t="n">
        <f aca="false">IF($H98="Boss",INDEX(Butin!$E$28:$K$37,MATCH($B98,Éléments!$C$5:$C$14,1),3),IF($H98="Dragon",INDEX(Butin!$E$41:$K$50,MATCH($B98,Éléments!$C$5:$C$14,1),3),INDEX(Butin!$E$15:$K$24,MATCH($B98,Éléments!$C$5:$C$14,1),3)))</f>
        <v>0.27</v>
      </c>
      <c r="AQ98" s="30" t="n">
        <f aca="false">IF($H98="Boss",INDEX(Butin!$E$28:$K$37,MATCH($B98,Éléments!$C$5:$C$14,1),4),IF($H98="Dragon",INDEX(Butin!$E$41:$K$50,MATCH($B98,Éléments!$C$5:$C$14,1),4),INDEX(Butin!$E$15:$K$24,MATCH($B98,Éléments!$C$5:$C$14,1),4)))</f>
        <v>0.24</v>
      </c>
      <c r="AR98" s="30" t="n">
        <f aca="false">IF($H98="Boss",INDEX(Butin!$E$28:$K$37,MATCH($B98,Éléments!$C$5:$C$14,1),5),IF($H98="Dragon",INDEX(Butin!$E$41:$K$50,MATCH($B98,Éléments!$C$5:$C$14,1),5),INDEX(Butin!$E$15:$K$24,MATCH($B98,Éléments!$C$5:$C$14,1),5)))</f>
        <v>0.145</v>
      </c>
      <c r="AS98" s="30" t="n">
        <f aca="false">IF($H98="Boss",INDEX(Butin!$E$28:$K$37,MATCH($B98,Éléments!$C$5:$C$14,1),6),IF($H98="Dragon",INDEX(Butin!$E$41:$K$50,MATCH($B98,Éléments!$C$5:$C$14,1),6),INDEX(Butin!$E$15:$K$24,MATCH($B98,Éléments!$C$5:$C$14,1),6)))</f>
        <v>0.058</v>
      </c>
      <c r="AT98" s="30" t="n">
        <f aca="false">IF($H98="Boss",INDEX(Butin!$E$28:$K$37,MATCH($B98,Éléments!$C$5:$C$14,1),7),IF($H98="Dragon",INDEX(Butin!$E$41:$K$50,MATCH($B98,Éléments!$C$5:$C$14,1),7),INDEX(Butin!$E$15:$K$24,MATCH($B98,Éléments!$C$5:$C$14,1),7)))</f>
        <v>0.007</v>
      </c>
      <c r="AU98" s="38" t="str">
        <f aca="false">IF(AT98=0,"—",INDEX(Butin!$D$54:$D$63,MATCH($B98,Éléments!$C$5:$C$14,1))&amp;" · "&amp;INDEX(Butin!$F$54:$F$63,MATCH($B98,Éléments!$C$5:$C$14,1))&amp;" · "&amp;INDEX(Butin!$H$54:$H$63,MATCH($B98,Éléments!$C$5:$C$14,1)))</f>
        <v>Épée de la Mort · Amulette de l'Œil Maudit · Carquois du Chasseur de Spectres</v>
      </c>
      <c r="AV98" s="20" t="s">
        <v>386</v>
      </c>
      <c r="AW98" s="39" t="str">
        <f aca="false">B98&amp;IF(G98="Oui","|B","|N")</f>
        <v>100|N</v>
      </c>
      <c r="AX98" s="40" t="n">
        <f aca="false">(Paramètres!$B$5+(1-Paramètres!$B$5)*((K98-Paramètres!$B$7)/(Paramètres!$B$8-Paramètres!$B$7))^Paramètres!$B$6)</f>
        <v>1</v>
      </c>
      <c r="AY98" s="39" t="n">
        <f aca="false">MATCH(I98,Rôles!$A$5:$A$13,0)</f>
        <v>3</v>
      </c>
      <c r="AZ98" s="39" t="n">
        <f aca="false">MATCH(H98,Rôles!$A$18:$A$22,0)</f>
        <v>3</v>
      </c>
    </row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6:AZ98"/>
  <conditionalFormatting sqref="A7:AV98">
    <cfRule type="expression" priority="2" aboveAverage="0" equalAverage="0" bottom="0" percent="0" rank="0" text="" dxfId="25">
      <formula>$G7="Oui"</formula>
    </cfRule>
  </conditionalFormatting>
  <dataValidations count="5">
    <dataValidation allowBlank="true" errorStyle="stop" operator="between" showDropDown="false" showErrorMessage="false" showInputMessage="false" sqref="I7:I98" type="list">
      <formula1>Rôles!$A$5:$A$13</formula1>
      <formula2>0</formula2>
    </dataValidation>
    <dataValidation allowBlank="true" errorStyle="stop" operator="between" showDropDown="false" showErrorMessage="false" showInputMessage="false" sqref="J7:J98" type="list">
      <formula1>"Physique,Magique,Mixte"</formula1>
      <formula2>0</formula2>
    </dataValidation>
    <dataValidation allowBlank="true" errorStyle="stop" operator="between" prompt="Niveau invalide - Entier entre 1 et 110 (ou vide)." showDropDown="false" showErrorMessage="true" showInputMessage="true" sqref="F3" type="decimal">
      <formula1>1</formula1>
      <formula2>110</formula2>
    </dataValidation>
    <dataValidation allowBlank="true" errorStyle="stop" operator="between" showDropDown="false" showErrorMessage="false" showInputMessage="false" sqref="AF7:AF98 AH7:AH98" type="list">
      <formula1>Altérations!$A$5:$A$21</formula1>
      <formula2>0</formula2>
    </dataValidation>
    <dataValidation allowBlank="true" errorStyle="stop" operator="between" showDropDown="false" showErrorMessage="false" showInputMessage="false" sqref="H7:H98" type="list">
      <formula1>Rôles!$A$18:$A$22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62"/>
    <col collapsed="false" customWidth="true" hidden="false" outlineLevel="0" max="26" min="5" style="1" width="8.71"/>
  </cols>
  <sheetData>
    <row r="1" customFormat="false" ht="17.25" hidden="false" customHeight="true" outlineLevel="0" collapsed="false">
      <c r="A1" s="8" t="s">
        <v>387</v>
      </c>
    </row>
    <row r="2" customFormat="false" ht="15" hidden="false" customHeight="true" outlineLevel="0" collapsed="false">
      <c r="A2" s="3" t="s">
        <v>388</v>
      </c>
    </row>
    <row r="3" customFormat="false" ht="15" hidden="false" customHeight="true" outlineLevel="0" collapsed="false">
      <c r="A3" s="50" t="s">
        <v>91</v>
      </c>
      <c r="B3" s="34" t="s">
        <v>288</v>
      </c>
      <c r="C3" s="34"/>
    </row>
    <row r="4" customFormat="false" ht="15" hidden="false" customHeight="true" outlineLevel="0" collapsed="false">
      <c r="A4" s="50" t="s">
        <v>389</v>
      </c>
      <c r="B4" s="10" t="n">
        <v>30</v>
      </c>
    </row>
    <row r="5" customFormat="false" ht="15" hidden="false" customHeight="true" outlineLevel="0" collapsed="false">
      <c r="A5" s="50" t="s">
        <v>390</v>
      </c>
      <c r="B5" s="51" t="n">
        <v>0.15</v>
      </c>
    </row>
    <row r="7" customFormat="false" ht="15" hidden="false" customHeight="true" outlineLevel="0" collapsed="false">
      <c r="A7" s="52" t="s">
        <v>391</v>
      </c>
    </row>
    <row r="8" customFormat="false" ht="15" hidden="false" customHeight="true" outlineLevel="0" collapsed="false">
      <c r="A8" s="53" t="s">
        <v>392</v>
      </c>
      <c r="B8" s="54" t="n">
        <f aca="false">MATCH(B3,Monstres!$F$7:$F$98,0)</f>
        <v>53</v>
      </c>
      <c r="C8" s="54"/>
      <c r="D8" s="54"/>
    </row>
    <row r="9" customFormat="false" ht="15" hidden="false" customHeight="true" outlineLevel="0" collapsed="false">
      <c r="A9" s="53" t="s">
        <v>88</v>
      </c>
      <c r="B9" s="55" t="str">
        <f aca="false" t="array" ref="B9:B9">INDEX(Monstres!$C$7:$C$98,$B$8)</f>
        <v>Palais des Atlantes</v>
      </c>
      <c r="C9" s="55"/>
      <c r="D9" s="55"/>
    </row>
    <row r="10" customFormat="false" ht="15" hidden="false" customHeight="true" outlineLevel="0" collapsed="false">
      <c r="A10" s="53" t="s">
        <v>393</v>
      </c>
      <c r="B10" s="55" t="str">
        <f aca="false" t="array" ref="B10:B10">INDEX(Monstres!$D$7:$D$98,$B$8)&amp;" / "&amp;INDEX(Monstres!$E$7:$E$98,$B$8)</f>
        <v>Océan / Île / Eau</v>
      </c>
      <c r="C10" s="55"/>
      <c r="D10" s="55"/>
    </row>
    <row r="11" customFormat="false" ht="15" hidden="false" customHeight="true" outlineLevel="0" collapsed="false">
      <c r="A11" s="53" t="s">
        <v>394</v>
      </c>
      <c r="B11" s="55" t="str">
        <f aca="false" t="array" ref="B11:B11">INDEX(Monstres!$H$7:$H$98,$B$8)&amp;" · "&amp;INDEX(Monstres!$I$7:$I$98,$B$8)&amp;" · "&amp;INDEX(Monstres!$J$7:$J$98,$B$8)</f>
        <v>Normal · Guerrier · Physique</v>
      </c>
      <c r="C11" s="55"/>
      <c r="D11" s="55"/>
    </row>
    <row r="12" customFormat="false" ht="15" hidden="false" customHeight="true" outlineLevel="0" collapsed="false">
      <c r="A12" s="53" t="s">
        <v>113</v>
      </c>
      <c r="B12" s="55" t="str">
        <f aca="false" t="array" ref="B12:B12">INDEX(Monstres!$AD$7:$AD$98,$B$8)</f>
        <v>Électricité</v>
      </c>
      <c r="C12" s="55"/>
      <c r="D12" s="55"/>
    </row>
    <row r="13" customFormat="false" ht="15" hidden="false" customHeight="true" outlineLevel="0" collapsed="false">
      <c r="A13" s="53" t="s">
        <v>114</v>
      </c>
      <c r="B13" s="55" t="str">
        <f aca="false" t="array" ref="B13:B13">INDEX(Monstres!$AE$7:$AE$98,$B$8)</f>
        <v>Feu</v>
      </c>
      <c r="C13" s="55"/>
      <c r="D13" s="55"/>
    </row>
    <row r="14" customFormat="false" ht="15" hidden="false" customHeight="true" outlineLevel="0" collapsed="false">
      <c r="A14" s="53" t="s">
        <v>109</v>
      </c>
      <c r="B14" s="56" t="n">
        <f aca="false" t="array" ref="B14:B14">INDEX(Monstres!$Z$7:$Z$98,$B$8)</f>
        <v>0.5</v>
      </c>
      <c r="C14" s="56"/>
      <c r="D14" s="56"/>
    </row>
    <row r="15" customFormat="false" ht="15" hidden="false" customHeight="true" outlineLevel="0" collapsed="false">
      <c r="A15" s="53" t="s">
        <v>87</v>
      </c>
      <c r="B15" s="57" t="n">
        <f aca="false" t="array" ref="B15:B15">INDEX(Monstres!$B$7:$B$98,$B$8)</f>
        <v>60</v>
      </c>
      <c r="C15" s="57"/>
      <c r="D15" s="57"/>
    </row>
    <row r="17" customFormat="false" ht="33.75" hidden="false" customHeight="true" outlineLevel="0" collapsed="false">
      <c r="A17" s="12" t="s">
        <v>395</v>
      </c>
      <c r="B17" s="12" t="s">
        <v>396</v>
      </c>
      <c r="C17" s="12" t="s">
        <v>397</v>
      </c>
      <c r="D17" s="12" t="s">
        <v>398</v>
      </c>
    </row>
    <row r="18" customFormat="false" ht="15" hidden="false" customHeight="true" outlineLevel="0" collapsed="false">
      <c r="A18" s="58" t="s">
        <v>96</v>
      </c>
      <c r="B18" s="59" t="n">
        <f aca="false">B4</f>
        <v>30</v>
      </c>
      <c r="C18" s="59" t="n">
        <f aca="false" t="array" ref="C18:C18">IF(INDEX(Zones!$G$6:$G$35,MATCH($B$15,Zones!$A$6:$A$35,0))="Oui",$B$15,"—")</f>
        <v>60</v>
      </c>
      <c r="D18" s="59" t="n">
        <f aca="false" t="array" ref="D18:D18">IF(INDEX(Zones!$G$6:$G$35,MATCH($B$15,Zones!$A$6:$A$35,0))="Oui",$B$15+Paramètres!$B$43,"—")</f>
        <v>70</v>
      </c>
    </row>
    <row r="19" customFormat="false" ht="15" hidden="false" customHeight="true" outlineLevel="0" collapsed="false">
      <c r="A19" s="50" t="s">
        <v>43</v>
      </c>
      <c r="B19" s="28" t="n">
        <f aca="false" t="array" ref="B19:B19">ROUND(Paramètres!$B$16*(Paramètres!$B$5+(1-Paramètres!$B$5)*((B$18-Paramètres!$B$7)/(Paramètres!$B$8-Paramètres!$B$7))^Paramètres!$B$6)*INDEX(Rôles!$B$18:$B$22,INDEX(Monstres!$AZ$7:$AZ$98,$B$8))*INDEX(Rôles!$B$5:$B$13,INDEX(Monstres!$AY$7:$AY$98,$B$8)),0)</f>
        <v>485</v>
      </c>
      <c r="C19" s="28" t="n">
        <f aca="false" t="array" ref="C19:C19">IF(ISNUMBER(C$18),ROUND(Paramètres!$B$16*(Paramètres!$B$5+(1-Paramètres!$B$5)*((C$18-Paramètres!$B$7)/(Paramètres!$B$8-Paramètres!$B$7))^Paramètres!$B$6)*INDEX(Rôles!$B$18:$B$22,INDEX(Monstres!$AZ$7:$AZ$98,$B$8))*INDEX(Rôles!$B$5:$B$13,INDEX(Monstres!$AY$7:$AY$98,$B$8)),0),"—")</f>
        <v>1015</v>
      </c>
      <c r="D19" s="28" t="n">
        <f aca="false" t="array" ref="D19:D19">IF(ISNUMBER(D$18),ROUND(Paramètres!$B$16*(Paramètres!$B$5+(1-Paramètres!$B$5)*((D$18-Paramètres!$B$7)/(Paramètres!$B$8-Paramètres!$B$7))^Paramètres!$B$6)*INDEX(Rôles!$B$18:$B$22,INDEX(Monstres!$AZ$7:$AZ$98,$B$8))*INDEX(Rôles!$B$5:$B$13,INDEX(Monstres!$AY$7:$AY$98,$B$8)),0),"—")</f>
        <v>1206</v>
      </c>
    </row>
    <row r="20" customFormat="false" ht="15" hidden="false" customHeight="true" outlineLevel="0" collapsed="false">
      <c r="A20" s="53" t="s">
        <v>97</v>
      </c>
      <c r="B20" s="29" t="n">
        <f aca="false" t="array" ref="B20:B20">ROUND(IF(INDEX(Monstres!$J$7:$J$98,$B$8)="Physique",1,IF(INDEX(Monstres!$J$7:$J$98,$B$8)="Mixte",Paramètres!$B$32,0))*Paramètres!$B$12*(Paramètres!$B$5+(1-Paramètres!$B$5)*((B$18-Paramètres!$B$7)/(Paramètres!$B$8-Paramètres!$B$7))^Paramètres!$B$6)*INDEX(Rôles!$C$18:$C$22,INDEX(Monstres!$AZ$7:$AZ$98,$B$8))*INDEX(Rôles!$C$5:$C$13,INDEX(Monstres!$AY$7:$AY$98,$B$8))/(Paramètres!$B$35*(1-Paramètres!$B$36)),0)</f>
        <v>92</v>
      </c>
      <c r="C20" s="29" t="n">
        <f aca="false" t="array" ref="C20:C20">IF(ISNUMBER(C$18),ROUND(IF(INDEX(Monstres!$J$7:$J$98,$B$8)="Physique",1,IF(INDEX(Monstres!$J$7:$J$98,$B$8)="Mixte",Paramètres!$B$32,0))*Paramètres!$B$12*(Paramètres!$B$5+(1-Paramètres!$B$5)*((C$18-Paramètres!$B$7)/(Paramètres!$B$8-Paramètres!$B$7))^Paramètres!$B$6)*INDEX(Rôles!$C$18:$C$22,INDEX(Monstres!$AZ$7:$AZ$98,$B$8))*INDEX(Rôles!$C$5:$C$13,INDEX(Monstres!$AY$7:$AY$98,$B$8))/(Paramètres!$B$35*(1-Paramètres!$B$36)),0),"—")</f>
        <v>192</v>
      </c>
      <c r="D20" s="29" t="n">
        <f aca="false" t="array" ref="D20:D20">IF(ISNUMBER(D$18),ROUND(IF(INDEX(Monstres!$J$7:$J$98,$B$8)="Physique",1,IF(INDEX(Monstres!$J$7:$J$98,$B$8)="Mixte",Paramètres!$B$32,0))*Paramètres!$B$12*(Paramètres!$B$5+(1-Paramètres!$B$5)*((D$18-Paramètres!$B$7)/(Paramètres!$B$8-Paramètres!$B$7))^Paramètres!$B$6)*INDEX(Rôles!$C$18:$C$22,INDEX(Monstres!$AZ$7:$AZ$98,$B$8))*INDEX(Rôles!$C$5:$C$13,INDEX(Monstres!$AY$7:$AY$98,$B$8))/(Paramètres!$B$35*(1-Paramètres!$B$36)),0),"—")</f>
        <v>228</v>
      </c>
    </row>
    <row r="21" customFormat="false" ht="15.75" hidden="false" customHeight="true" outlineLevel="0" collapsed="false">
      <c r="A21" s="53" t="s">
        <v>98</v>
      </c>
      <c r="B21" s="29" t="n">
        <f aca="false" t="array" ref="B21:B21">ROUND(IF(INDEX(Monstres!$J$7:$J$98,$B$8)="Magique",1,IF(INDEX(Monstres!$J$7:$J$98,$B$8)="Mixte",Paramètres!$B$32,0))*Paramètres!$B$12*(Paramètres!$B$5+(1-Paramètres!$B$5)*((B$18-Paramètres!$B$7)/(Paramètres!$B$8-Paramètres!$B$7))^Paramètres!$B$6)*INDEX(Rôles!$C$18:$C$22,INDEX(Monstres!$AZ$7:$AZ$98,$B$8))*INDEX(Rôles!$C$5:$C$13,INDEX(Monstres!$AY$7:$AY$98,$B$8))/(Paramètres!$B$35*(1-Paramètres!$B$36)),0)</f>
        <v>0</v>
      </c>
      <c r="C21" s="29" t="n">
        <f aca="false" t="array" ref="C21:C21">IF(ISNUMBER(C$18),ROUND(IF(INDEX(Monstres!$J$7:$J$98,$B$8)="Magique",1,IF(INDEX(Monstres!$J$7:$J$98,$B$8)="Mixte",Paramètres!$B$32,0))*Paramètres!$B$12*(Paramètres!$B$5+(1-Paramètres!$B$5)*((C$18-Paramètres!$B$7)/(Paramètres!$B$8-Paramètres!$B$7))^Paramètres!$B$6)*INDEX(Rôles!$C$18:$C$22,INDEX(Monstres!$AZ$7:$AZ$98,$B$8))*INDEX(Rôles!$C$5:$C$13,INDEX(Monstres!$AY$7:$AY$98,$B$8))/(Paramètres!$B$35*(1-Paramètres!$B$36)),0),"—")</f>
        <v>0</v>
      </c>
      <c r="D21" s="29" t="n">
        <f aca="false" t="array" ref="D21:D21">IF(ISNUMBER(D$18),ROUND(IF(INDEX(Monstres!$J$7:$J$98,$B$8)="Magique",1,IF(INDEX(Monstres!$J$7:$J$98,$B$8)="Mixte",Paramètres!$B$32,0))*Paramètres!$B$12*(Paramètres!$B$5+(1-Paramètres!$B$5)*((D$18-Paramètres!$B$7)/(Paramètres!$B$8-Paramètres!$B$7))^Paramètres!$B$6)*INDEX(Rôles!$C$18:$C$22,INDEX(Monstres!$AZ$7:$AZ$98,$B$8))*INDEX(Rôles!$C$5:$C$13,INDEX(Monstres!$AY$7:$AY$98,$B$8))/(Paramètres!$B$35*(1-Paramètres!$B$36)),0),"—")</f>
        <v>0</v>
      </c>
    </row>
    <row r="22" customFormat="false" ht="15.75" hidden="false" customHeight="true" outlineLevel="0" collapsed="false">
      <c r="A22" s="53" t="s">
        <v>99</v>
      </c>
      <c r="B22" s="29" t="n">
        <f aca="false" t="array" ref="B22:B22">ROUND(Paramètres!$B$18*(Paramètres!$B$5+(1-Paramètres!$B$5)*((B$18-Paramètres!$B$7)/(Paramètres!$B$8-Paramètres!$B$7))^Paramètres!$B$6)*INDEX(Rôles!$D$5:$D$13,INDEX(Monstres!$AY$7:$AY$98,$B$8))*INDEX(Rôles!$D$18:$D$22,INDEX(Monstres!$AZ$7:$AZ$98,$B$8)),0)</f>
        <v>120</v>
      </c>
      <c r="C22" s="29" t="n">
        <f aca="false" t="array" ref="C22:C22">IF(ISNUMBER(C$18),ROUND(Paramètres!$B$18*(Paramètres!$B$5+(1-Paramètres!$B$5)*((C$18-Paramètres!$B$7)/(Paramètres!$B$8-Paramètres!$B$7))^Paramètres!$B$6)*INDEX(Rôles!$D$5:$D$13,INDEX(Monstres!$AY$7:$AY$98,$B$8))*INDEX(Rôles!$D$18:$D$22,INDEX(Monstres!$AZ$7:$AZ$98,$B$8)),0),"—")</f>
        <v>252</v>
      </c>
      <c r="D22" s="29" t="n">
        <f aca="false" t="array" ref="D22:D22">IF(ISNUMBER(D$18),ROUND(Paramètres!$B$18*(Paramètres!$B$5+(1-Paramètres!$B$5)*((D$18-Paramètres!$B$7)/(Paramètres!$B$8-Paramètres!$B$7))^Paramètres!$B$6)*INDEX(Rôles!$D$5:$D$13,INDEX(Monstres!$AY$7:$AY$98,$B$8))*INDEX(Rôles!$D$18:$D$22,INDEX(Monstres!$AZ$7:$AZ$98,$B$8)),0),"—")</f>
        <v>300</v>
      </c>
    </row>
    <row r="23" customFormat="false" ht="15.75" hidden="false" customHeight="true" outlineLevel="0" collapsed="false">
      <c r="A23" s="53" t="s">
        <v>100</v>
      </c>
      <c r="B23" s="29" t="n">
        <f aca="false" t="array" ref="B23:B23">ROUND(Paramètres!$B$19*(Paramètres!$B$5+(1-Paramètres!$B$5)*((B$18-Paramètres!$B$7)/(Paramètres!$B$8-Paramètres!$B$7))^Paramètres!$B$6)*INDEX(Rôles!$E$5:$E$13,INDEX(Monstres!$AY$7:$AY$98,$B$8))*INDEX(Rôles!$D$18:$D$22,INDEX(Monstres!$AZ$7:$AZ$98,$B$8)),0)</f>
        <v>128</v>
      </c>
      <c r="C23" s="29" t="n">
        <f aca="false" t="array" ref="C23:C23">IF(ISNUMBER(C$18),ROUND(Paramètres!$B$19*(Paramètres!$B$5+(1-Paramètres!$B$5)*((C$18-Paramètres!$B$7)/(Paramètres!$B$8-Paramètres!$B$7))^Paramètres!$B$6)*INDEX(Rôles!$E$5:$E$13,INDEX(Monstres!$AY$7:$AY$98,$B$8))*INDEX(Rôles!$D$18:$D$22,INDEX(Monstres!$AZ$7:$AZ$98,$B$8)),0),"—")</f>
        <v>269</v>
      </c>
      <c r="D23" s="29" t="n">
        <f aca="false" t="array" ref="D23:D23">IF(ISNUMBER(D$18),ROUND(Paramètres!$B$19*(Paramètres!$B$5+(1-Paramètres!$B$5)*((D$18-Paramètres!$B$7)/(Paramètres!$B$8-Paramètres!$B$7))^Paramètres!$B$6)*INDEX(Rôles!$E$5:$E$13,INDEX(Monstres!$AY$7:$AY$98,$B$8))*INDEX(Rôles!$D$18:$D$22,INDEX(Monstres!$AZ$7:$AZ$98,$B$8)),0),"—")</f>
        <v>320</v>
      </c>
    </row>
    <row r="24" customFormat="false" ht="15.75" hidden="false" customHeight="true" outlineLevel="0" collapsed="false">
      <c r="A24" s="53" t="s">
        <v>101</v>
      </c>
      <c r="B24" s="29" t="n">
        <f aca="false" t="array" ref="B24:B24">ROUND(Paramètres!$B$20*(Paramètres!$B$5+(1-Paramètres!$B$5)*((B$18-Paramètres!$B$7)/(Paramètres!$B$8-Paramètres!$B$7))^Paramètres!$B$6)*INDEX(Rôles!$F$5:$F$13,INDEX(Monstres!$AY$7:$AY$98,$B$8)),0)</f>
        <v>29</v>
      </c>
      <c r="C24" s="29" t="n">
        <f aca="false" t="array" ref="C24:C24">IF(ISNUMBER(C$18),ROUND(Paramètres!$B$20*(Paramètres!$B$5+(1-Paramètres!$B$5)*((C$18-Paramètres!$B$7)/(Paramètres!$B$8-Paramètres!$B$7))^Paramètres!$B$6)*INDEX(Rôles!$F$5:$F$13,INDEX(Monstres!$AY$7:$AY$98,$B$8)),0),"—")</f>
        <v>61</v>
      </c>
      <c r="D24" s="29" t="n">
        <f aca="false" t="array" ref="D24:D24">IF(ISNUMBER(D$18),ROUND(Paramètres!$B$20*(Paramètres!$B$5+(1-Paramètres!$B$5)*((D$18-Paramètres!$B$7)/(Paramètres!$B$8-Paramètres!$B$7))^Paramètres!$B$6)*INDEX(Rôles!$F$5:$F$13,INDEX(Monstres!$AY$7:$AY$98,$B$8)),0),"—")</f>
        <v>72</v>
      </c>
    </row>
    <row r="25" customFormat="false" ht="15.75" hidden="false" customHeight="true" outlineLevel="0" collapsed="false">
      <c r="A25" s="53" t="s">
        <v>78</v>
      </c>
      <c r="B25" s="29" t="n">
        <f aca="false">ROUND(Paramètres!$B$64*(Paramètres!$B$5+(1-Paramètres!$B$5)*((B$18-Paramètres!$B$7)/(Paramètres!$B$8-Paramètres!$B$7))^Paramètres!$B$6)*INDEX(Rôles!$N$5:$N$13,INDEX(Monstres!$AY$7:$AY$98,$B$8))*INDEX(Rôles!$I$18:$I$22,INDEX(Monstres!$AZ$7:$AZ$98,$B$8)),0)</f>
        <v>25</v>
      </c>
      <c r="C25" s="29" t="n">
        <f aca="false">IF(ISNUMBER(C$18),ROUND(Paramètres!$B$64*(Paramètres!$B$5+(1-Paramètres!$B$5)*((C$18-Paramètres!$B$7)/(Paramètres!$B$8-Paramètres!$B$7))^Paramètres!$B$6)*INDEX(Rôles!$N$5:$N$13,INDEX(Monstres!$AY$7:$AY$98,$B$8))*INDEX(Rôles!$I$18:$I$22,INDEX(Monstres!$AZ$7:$AZ$98,$B$8)),0),"—")</f>
        <v>53</v>
      </c>
      <c r="D25" s="29" t="n">
        <f aca="false">IF(ISNUMBER(D$18),ROUND(Paramètres!$B$64*(Paramètres!$B$5+(1-Paramètres!$B$5)*((D$18-Paramètres!$B$7)/(Paramètres!$B$8-Paramètres!$B$7))^Paramètres!$B$6)*INDEX(Rôles!$N$5:$N$13,INDEX(Monstres!$AY$7:$AY$98,$B$8))*INDEX(Rôles!$I$18:$I$22,INDEX(Monstres!$AZ$7:$AZ$98,$B$8)),0),"—")</f>
        <v>63</v>
      </c>
    </row>
    <row r="26" customFormat="false" ht="15.75" hidden="false" customHeight="true" outlineLevel="0" collapsed="false">
      <c r="A26" s="53" t="s">
        <v>102</v>
      </c>
      <c r="B26" s="30" t="n">
        <f aca="false" t="array" ref="B26:B26">MIN(1,ROUND(Paramètres!$B$21*INDEX(Rôles!$G$5:$G$13,INDEX(Monstres!$AY$7:$AY$98,$B$8)),3))</f>
        <v>0.9</v>
      </c>
      <c r="C26" s="30" t="n">
        <f aca="false" t="array" ref="C26:C26">IF(ISNUMBER(C$18),MIN(1,ROUND(Paramètres!$B$21*INDEX(Rôles!$G$5:$G$13,INDEX(Monstres!$AY$7:$AY$98,$B$8)),3)),"—")</f>
        <v>0.9</v>
      </c>
      <c r="D26" s="30" t="n">
        <f aca="false" t="array" ref="D26:D26">IF(ISNUMBER(D$18),MIN(1,ROUND(Paramètres!$B$21*INDEX(Rôles!$G$5:$G$13,INDEX(Monstres!$AY$7:$AY$98,$B$8)),3)),"—")</f>
        <v>0.9</v>
      </c>
    </row>
    <row r="27" customFormat="false" ht="15.75" hidden="false" customHeight="true" outlineLevel="0" collapsed="false">
      <c r="A27" s="53" t="s">
        <v>103</v>
      </c>
      <c r="B27" s="30" t="n">
        <f aca="false" t="array" ref="B27:B27">MIN(Paramètres!$B$28,ROUND(Paramètres!$B$22*INDEX(Rôles!$H$5:$H$13,INDEX(Monstres!$AY$7:$AY$98,$B$8)),3))</f>
        <v>0.05</v>
      </c>
      <c r="C27" s="30" t="n">
        <f aca="false" t="array" ref="C27:C27">IF(ISNUMBER(C$18),MIN(Paramètres!$B$28,ROUND(Paramètres!$B$22*INDEX(Rôles!$H$5:$H$13,INDEX(Monstres!$AY$7:$AY$98,$B$8)),3)),"—")</f>
        <v>0.05</v>
      </c>
      <c r="D27" s="30" t="n">
        <f aca="false" t="array" ref="D27:D27">IF(ISNUMBER(D$18),MIN(Paramètres!$B$28,ROUND(Paramètres!$B$22*INDEX(Rôles!$H$5:$H$13,INDEX(Monstres!$AY$7:$AY$98,$B$8)),3)),"—")</f>
        <v>0.05</v>
      </c>
    </row>
    <row r="28" customFormat="false" ht="15.75" hidden="false" customHeight="true" outlineLevel="0" collapsed="false">
      <c r="A28" s="53" t="s">
        <v>104</v>
      </c>
      <c r="B28" s="30" t="n">
        <f aca="false" t="array" ref="B28:B28">ROUND(Paramètres!$B$23*INDEX(Rôles!$I$5:$I$13,INDEX(Monstres!$AY$7:$AY$98,$B$8)),3)</f>
        <v>0.5</v>
      </c>
      <c r="C28" s="30" t="n">
        <f aca="false" t="array" ref="C28:C28">IF(ISNUMBER(C$18),ROUND(Paramètres!$B$23*INDEX(Rôles!$I$5:$I$13,INDEX(Monstres!$AY$7:$AY$98,$B$8)),3),"—")</f>
        <v>0.5</v>
      </c>
      <c r="D28" s="30" t="n">
        <f aca="false" t="array" ref="D28:D28">IF(ISNUMBER(D$18),ROUND(Paramètres!$B$23*INDEX(Rôles!$I$5:$I$13,INDEX(Monstres!$AY$7:$AY$98,$B$8)),3),"—")</f>
        <v>0.5</v>
      </c>
    </row>
    <row r="29" customFormat="false" ht="15.75" hidden="false" customHeight="true" outlineLevel="0" collapsed="false">
      <c r="A29" s="53" t="s">
        <v>105</v>
      </c>
      <c r="B29" s="30" t="n">
        <f aca="false" t="array" ref="B29:B29">MIN(Paramètres!$B$29,ROUND(Paramètres!$B$24*INDEX(Rôles!$J$5:$J$13,INDEX(Monstres!$AY$7:$AY$98,$B$8)),3))</f>
        <v>0.05</v>
      </c>
      <c r="C29" s="30" t="n">
        <f aca="false" t="array" ref="C29:C29">IF(ISNUMBER(C$18),MIN(Paramètres!$B$29,ROUND(Paramètres!$B$24*INDEX(Rôles!$J$5:$J$13,INDEX(Monstres!$AY$7:$AY$98,$B$8)),3)),"—")</f>
        <v>0.05</v>
      </c>
      <c r="D29" s="30" t="n">
        <f aca="false" t="array" ref="D29:D29">IF(ISNUMBER(D$18),MIN(Paramètres!$B$29,ROUND(Paramètres!$B$24*INDEX(Rôles!$J$5:$J$13,INDEX(Monstres!$AY$7:$AY$98,$B$8)),3)),"—")</f>
        <v>0.05</v>
      </c>
    </row>
    <row r="30" customFormat="false" ht="15.75" hidden="false" customHeight="true" outlineLevel="0" collapsed="false">
      <c r="A30" s="53" t="s">
        <v>399</v>
      </c>
      <c r="B30" s="30" t="n">
        <f aca="false" t="array" ref="B30:B30">MIN(Paramètres!$B$27,ROUND((Paramètres!$B$25+(Paramètres!$B$26-Paramètres!$B$25)*(B$18-Paramètres!$B$7)/(Paramètres!$B$8-Paramètres!$B$7))*INDEX(Rôles!$K$5:$K$13,INDEX(Monstres!$AY$7:$AY$98,$B$8))+INDEX(Rôles!$G$18:$G$22,INDEX(Monstres!$AZ$7:$AZ$98,$B$8)),3))</f>
        <v>0.123</v>
      </c>
      <c r="C30" s="30" t="n">
        <f aca="false" t="array" ref="C30:C30">IF(ISNUMBER(C$18),MIN(Paramètres!$B$27,ROUND((Paramètres!$B$25+(Paramètres!$B$26-Paramètres!$B$25)*(C$18-Paramètres!$B$7)/(Paramètres!$B$8-Paramètres!$B$7))*INDEX(Rôles!$K$5:$K$13,INDEX(Monstres!$AY$7:$AY$98,$B$8))+INDEX(Rôles!$G$18:$G$22,INDEX(Monstres!$AZ$7:$AZ$98,$B$8)),3)),"—")</f>
        <v>0.199</v>
      </c>
      <c r="D30" s="30" t="n">
        <f aca="false" t="array" ref="D30:D30">IF(ISNUMBER(D$18),MIN(Paramètres!$B$27,ROUND((Paramètres!$B$25+(Paramètres!$B$26-Paramètres!$B$25)*(D$18-Paramètres!$B$7)/(Paramètres!$B$8-Paramètres!$B$7))*INDEX(Rôles!$K$5:$K$13,INDEX(Monstres!$AY$7:$AY$98,$B$8))+INDEX(Rôles!$G$18:$G$22,INDEX(Monstres!$AZ$7:$AZ$98,$B$8)),3)),"—")</f>
        <v>0.224</v>
      </c>
    </row>
    <row r="31" customFormat="false" ht="15.75" hidden="false" customHeight="true" outlineLevel="0" collapsed="false">
      <c r="A31" s="53" t="s">
        <v>107</v>
      </c>
      <c r="B31" s="30" t="n">
        <f aca="false">ROUND(1-(1-B23/(B23+(Paramètres!$B$19*(Paramètres!$B$5+(1-Paramètres!$B$5)*((B$18-Paramètres!$B$7)/(Paramètres!$B$8-Paramètres!$B$7))^Paramètres!$B$6)*(1-Paramètres!$B$30)/Paramètres!$B$30)))*(1-B22/(B22+(Paramètres!$B$18*(Paramètres!$B$5+(1-Paramètres!$B$5)*((B$18-Paramètres!$B$7)/(Paramètres!$B$8-Paramètres!$B$7))^Paramètres!$B$6)*(1-Paramètres!$B$31)/Paramètres!$B$31))),3)</f>
        <v>0.345</v>
      </c>
      <c r="C31" s="30" t="n">
        <f aca="false">IF(ISNUMBER(C$18),ROUND(1-(1-C23/(C23+(Paramètres!$B$19*(Paramètres!$B$5+(1-Paramètres!$B$5)*((C$18-Paramètres!$B$7)/(Paramètres!$B$8-Paramètres!$B$7))^Paramètres!$B$6)*(1-Paramètres!$B$30)/Paramètres!$B$30)))*(1-C22/(C22+(Paramètres!$B$18*(Paramètres!$B$5+(1-Paramètres!$B$5)*((C$18-Paramètres!$B$7)/(Paramètres!$B$8-Paramètres!$B$7))^Paramètres!$B$6)*(1-Paramètres!$B$31)/Paramètres!$B$31))),3),"—")</f>
        <v>0.346</v>
      </c>
      <c r="D31" s="30" t="n">
        <f aca="false">IF(ISNUMBER(D$18),ROUND(1-(1-D23/(D23+(Paramètres!$B$19*(Paramètres!$B$5+(1-Paramètres!$B$5)*((D$18-Paramètres!$B$7)/(Paramètres!$B$8-Paramètres!$B$7))^Paramètres!$B$6)*(1-Paramètres!$B$30)/Paramètres!$B$30)))*(1-D22/(D22+(Paramètres!$B$18*(Paramètres!$B$5+(1-Paramètres!$B$5)*((D$18-Paramètres!$B$7)/(Paramètres!$B$8-Paramètres!$B$7))^Paramètres!$B$6)*(1-Paramètres!$B$31)/Paramètres!$B$31))),3),"—")</f>
        <v>0.346</v>
      </c>
    </row>
    <row r="32" customFormat="false" ht="15.75" hidden="false" customHeight="true" outlineLevel="0" collapsed="false">
      <c r="A32" s="53" t="s">
        <v>108</v>
      </c>
      <c r="B32" s="30" t="n">
        <f aca="false">ROUND(B22/(B22+(Paramètres!$B$18*(Paramètres!$B$5+(1-Paramètres!$B$5)*((B$18-Paramètres!$B$7)/(Paramètres!$B$8-Paramètres!$B$7))^Paramètres!$B$6)*(1-Paramètres!$B$31)/Paramètres!$B$31)),3)</f>
        <v>0.15</v>
      </c>
      <c r="C32" s="30" t="n">
        <f aca="false">IF(ISNUMBER(C$18),ROUND(C22/(C22+(Paramètres!$B$18*(Paramètres!$B$5+(1-Paramètres!$B$5)*((C$18-Paramètres!$B$7)/(Paramètres!$B$8-Paramètres!$B$7))^Paramètres!$B$6)*(1-Paramètres!$B$31)/Paramètres!$B$31)),3),"—")</f>
        <v>0.15</v>
      </c>
      <c r="D32" s="30" t="n">
        <f aca="false">IF(ISNUMBER(D$18),ROUND(D22/(D22+(Paramètres!$B$18*(Paramètres!$B$5+(1-Paramètres!$B$5)*((D$18-Paramètres!$B$7)/(Paramètres!$B$8-Paramètres!$B$7))^Paramètres!$B$6)*(1-Paramètres!$B$31)/Paramètres!$B$31)),3),"—")</f>
        <v>0.15</v>
      </c>
    </row>
    <row r="33" customFormat="false" ht="15.75" hidden="false" customHeight="true" outlineLevel="0" collapsed="false">
      <c r="A33" s="53" t="s">
        <v>110</v>
      </c>
      <c r="B33" s="32" t="n">
        <f aca="false" t="array" ref="B33:B33">ROUND(INDEX(Rôles!$C$18:$C$22,INDEX(Monstres!$AZ$7:$AZ$98,$B$8))*INDEX(Rôles!$C$5:$C$13,INDEX(Monstres!$AY$7:$AY$98,$B$8)),4)</f>
        <v>0.015</v>
      </c>
      <c r="C33" s="32" t="n">
        <f aca="false" t="array" ref="C33:C33">IF(ISNUMBER(C$18),ROUND(INDEX(Rôles!$C$18:$C$22,INDEX(Monstres!$AZ$7:$AZ$98,$B$8))*INDEX(Rôles!$C$5:$C$13,INDEX(Monstres!$AY$7:$AY$98,$B$8)),4),"—")</f>
        <v>0.015</v>
      </c>
      <c r="D33" s="32" t="n">
        <f aca="false" t="array" ref="D33:D33">IF(ISNUMBER(D$18),ROUND(INDEX(Rôles!$C$18:$C$22,INDEX(Monstres!$AZ$7:$AZ$98,$B$8))*INDEX(Rôles!$C$5:$C$13,INDEX(Monstres!$AY$7:$AY$98,$B$8)),4),"—")</f>
        <v>0.015</v>
      </c>
    </row>
    <row r="34" customFormat="false" ht="15.75" hidden="false" customHeight="true" outlineLevel="0" collapsed="false">
      <c r="A34" s="53" t="s">
        <v>119</v>
      </c>
      <c r="B34" s="29" t="n">
        <f aca="false" t="array" ref="B34:B34">ROUND(ROUND(Paramètres!$B$49*B$18^Paramètres!$B$50,0)*INDEX(Rôles!$E$18:$E$22,INDEX(Monstres!$AZ$7:$AZ$98,$B$8)),0)</f>
        <v>421</v>
      </c>
      <c r="C34" s="29" t="n">
        <f aca="false" t="array" ref="C34:C34">IF(ISNUMBER(C$18),ROUND(ROUND(Paramètres!$B$49*C$18^Paramètres!$B$50,0)*INDEX(Rôles!$E$18:$E$22,INDEX(Monstres!$AZ$7:$AZ$98,$B$8)),0),"—")</f>
        <v>1002</v>
      </c>
      <c r="D34" s="29" t="n">
        <f aca="false" t="array" ref="D34:D34">IF(ISNUMBER(D$18),ROUND(ROUND(Paramètres!$B$49*D$18^Paramètres!$B$50,0)*INDEX(Rôles!$E$18:$E$22,INDEX(Monstres!$AZ$7:$AZ$98,$B$8)),0),"—")</f>
        <v>1215</v>
      </c>
    </row>
    <row r="35" customFormat="false" ht="15.75" hidden="false" customHeight="true" outlineLevel="0" collapsed="false">
      <c r="A35" s="53" t="s">
        <v>120</v>
      </c>
      <c r="B35" s="29" t="n">
        <f aca="false" t="array" ref="B35:B35">ROUND(ROUND(Paramètres!$B$53*B$18^Paramètres!$B$54,0)*INDEX(Rôles!$E$18:$E$22,INDEX(Monstres!$AZ$7:$AZ$98,$B$8)),0)</f>
        <v>296</v>
      </c>
      <c r="C35" s="29" t="n">
        <f aca="false" t="array" ref="C35:C35">IF(ISNUMBER(C$18),ROUND(ROUND(Paramètres!$B$53*C$18^Paramètres!$B$54,0)*INDEX(Rôles!$E$18:$E$22,INDEX(Monstres!$AZ$7:$AZ$98,$B$8)),0),"—")</f>
        <v>754</v>
      </c>
      <c r="D35" s="29" t="n">
        <f aca="false" t="array" ref="D35:D35">IF(ISNUMBER(D$18),ROUND(ROUND(Paramètres!$B$53*D$18^Paramètres!$B$54,0)*INDEX(Rôles!$E$18:$E$22,INDEX(Monstres!$AZ$7:$AZ$98,$B$8)),0),"—")</f>
        <v>929</v>
      </c>
    </row>
    <row r="36" customFormat="false" ht="15.75" hidden="false" customHeight="true" outlineLevel="0" collapsed="false"/>
    <row r="37" customFormat="false" ht="15.75" hidden="false" customHeight="true" outlineLevel="0" collapsed="false">
      <c r="A37" s="52" t="s">
        <v>400</v>
      </c>
    </row>
    <row r="38" customFormat="false" ht="33.75" hidden="false" customHeight="true" outlineLevel="0" collapsed="false">
      <c r="A38" s="12" t="s">
        <v>401</v>
      </c>
      <c r="B38" s="12" t="s">
        <v>402</v>
      </c>
      <c r="C38" s="12" t="s">
        <v>403</v>
      </c>
      <c r="D38" s="12" t="s">
        <v>404</v>
      </c>
    </row>
    <row r="39" customFormat="false" ht="42" hidden="false" customHeight="true" outlineLevel="0" collapsed="false">
      <c r="A39" s="50" t="str">
        <f aca="false" t="array" ref="A39:A39">IF(INDEX(Monstres!$AF$7:$AF$98,$B$8)="","—",INDEX(Monstres!$AF$7:$AF$98,$B$8))</f>
        <v>Mouillé</v>
      </c>
      <c r="B39" s="36" t="n">
        <f aca="false" t="array" ref="B39:B39">IF(INDEX(Monstres!$AF$7:$AF$98,$B$8)="","—",INDEX(Monstres!$AG$7:$AG$98,$B$8))</f>
        <v>0.25</v>
      </c>
      <c r="C39" s="32" t="n">
        <f aca="false" t="array" ref="C39:C39">IF(INDEX(Monstres!$AF$7:$AF$98,$B$8)="","—",B39*(1-$B$5))</f>
        <v>0.2125</v>
      </c>
      <c r="D39" s="60" t="str">
        <f aca="false" t="array" ref="D39:D39">IF(INDEX(Monstres!$AF$7:$AF$98,$B$8)="","—",INDEX(Altérations!$D$5:$D$21,MATCH(INDEX(Monstres!$AF$7:$AF$98,$B$8),Altérations!$A$5:$A$21,0))&amp;" Durée : "&amp;INDEX(Altérations!$G$5:$G$21,MATCH(INDEX(Monstres!$AF$7:$AF$98,$B$8),Altérations!$A$5:$A$21,0))&amp;" tour(s). "&amp;INDEX(Altérations!$I$5:$I$21,MATCH(INDEX(Monstres!$AF$7:$AF$98,$B$8),Altérations!$A$5:$A$21,0)))</f>
        <v>+25 % de dégâts d'Électricité subis ; retire Brûlure. Durée : 3 tour(s). Non cumulable.</v>
      </c>
    </row>
    <row r="40" customFormat="false" ht="42" hidden="false" customHeight="true" outlineLevel="0" collapsed="false">
      <c r="A40" s="50" t="str">
        <f aca="false" t="array" ref="A40:A40">IF(INDEX(Monstres!$AH$7:$AH$98,$B$8)="","—",INDEX(Monstres!$AH$7:$AH$98,$B$8))</f>
        <v>Saignement</v>
      </c>
      <c r="B40" s="36" t="n">
        <f aca="false" t="array" ref="B40:B40">IF(INDEX(Monstres!$AH$7:$AH$98,$B$8)="","—",INDEX(Monstres!$AI$7:$AI$98,$B$8))</f>
        <v>0.15</v>
      </c>
      <c r="C40" s="32" t="n">
        <f aca="false" t="array" ref="C40:C40">IF(INDEX(Monstres!$AH$7:$AH$98,$B$8)="","—",B40*(1-$B$5))</f>
        <v>0.1275</v>
      </c>
      <c r="D40" s="60" t="str">
        <f aca="false" t="array" ref="D40:D40">IF(INDEX(Monstres!$AH$7:$AH$98,$B$8)="","—",INDEX(Altérations!$D$5:$D$21,MATCH(INDEX(Monstres!$AH$7:$AH$98,$B$8),Altérations!$A$5:$A$21,0))&amp;" Durée : "&amp;INDEX(Altérations!$G$5:$G$21,MATCH(INDEX(Monstres!$AH$7:$AH$98,$B$8),Altérations!$A$5:$A$21,0))&amp;" tour(s). "&amp;INDEX(Altérations!$I$5:$I$21,MATCH(INDEX(Monstres!$AH$7:$AH$98,$B$8),Altérations!$A$5:$A$21,0)))</f>
        <v>Perd 5 % de la Force du monstre par tour. Durée : 3 tour(s). 3 piles max ; durée rafraîchie.</v>
      </c>
    </row>
    <row r="41" customFormat="false" ht="15.75" hidden="false" customHeight="true" outlineLevel="0" collapsed="false"/>
    <row r="42" customFormat="false" ht="15.75" hidden="false" customHeight="true" outlineLevel="0" collapsed="false">
      <c r="A42" s="11" t="s">
        <v>405</v>
      </c>
    </row>
    <row r="43" customFormat="false" ht="15.75" hidden="false" customHeight="true" outlineLevel="0" collapsed="false"/>
    <row r="44" customFormat="false" ht="15.75" hidden="false" customHeight="true" outlineLevel="0" collapsed="false">
      <c r="A44" s="52" t="s">
        <v>20</v>
      </c>
    </row>
    <row r="45" customFormat="false" ht="15.75" hidden="false" customHeight="true" outlineLevel="0" collapsed="false">
      <c r="A45" s="12" t="s">
        <v>406</v>
      </c>
      <c r="B45" s="12" t="s">
        <v>407</v>
      </c>
      <c r="C45" s="12" t="s">
        <v>408</v>
      </c>
      <c r="D45" s="12" t="s">
        <v>409</v>
      </c>
    </row>
    <row r="46" customFormat="false" ht="15.75" hidden="false" customHeight="true" outlineLevel="0" collapsed="false">
      <c r="A46" s="53" t="s">
        <v>121</v>
      </c>
      <c r="B46" s="36" t="n">
        <f aca="false">INDEX(Monstres!$AL$7:$AL$98,$B$8)</f>
        <v>0.05</v>
      </c>
    </row>
    <row r="47" customFormat="false" ht="15.75" hidden="false" customHeight="true" outlineLevel="0" collapsed="false">
      <c r="A47" s="53" t="s">
        <v>410</v>
      </c>
      <c r="B47" s="37" t="n">
        <f aca="false">INDEX(Monstres!$AM$7:$AM$98,$B$8)</f>
        <v>0.05</v>
      </c>
    </row>
    <row r="48" customFormat="false" ht="15.75" hidden="false" customHeight="true" outlineLevel="0" collapsed="false">
      <c r="A48" s="61" t="s">
        <v>411</v>
      </c>
      <c r="B48" s="30" t="n">
        <f aca="false">INDEX(Monstres!$AN$7:$AN$98,$B$8)</f>
        <v>0.27</v>
      </c>
      <c r="C48" s="62" t="n">
        <f aca="false">B48*$B$47</f>
        <v>0.0135</v>
      </c>
    </row>
    <row r="49" customFormat="false" ht="15.75" hidden="false" customHeight="true" outlineLevel="0" collapsed="false">
      <c r="A49" s="63" t="s">
        <v>412</v>
      </c>
      <c r="B49" s="30" t="n">
        <f aca="false">INDEX(Monstres!$AO$7:$AO$98,$B$8)</f>
        <v>0.3</v>
      </c>
      <c r="C49" s="62" t="n">
        <f aca="false">B49*$B$47</f>
        <v>0.015</v>
      </c>
    </row>
    <row r="50" customFormat="false" ht="15.75" hidden="false" customHeight="true" outlineLevel="0" collapsed="false">
      <c r="A50" s="64" t="s">
        <v>413</v>
      </c>
      <c r="B50" s="30" t="n">
        <f aca="false">INDEX(Monstres!$AP$7:$AP$98,$B$8)</f>
        <v>0.25</v>
      </c>
      <c r="C50" s="62" t="n">
        <f aca="false">B50*$B$47</f>
        <v>0.0125</v>
      </c>
    </row>
    <row r="51" customFormat="false" ht="15.75" hidden="false" customHeight="true" outlineLevel="0" collapsed="false">
      <c r="A51" s="65" t="s">
        <v>414</v>
      </c>
      <c r="B51" s="30" t="n">
        <f aca="false">INDEX(Monstres!$AQ$7:$AQ$98,$B$8)</f>
        <v>0.128</v>
      </c>
      <c r="C51" s="62" t="n">
        <f aca="false">B51*$B$47</f>
        <v>0.0064</v>
      </c>
    </row>
    <row r="52" customFormat="false" ht="15.75" hidden="false" customHeight="true" outlineLevel="0" collapsed="false">
      <c r="A52" s="66" t="s">
        <v>415</v>
      </c>
      <c r="B52" s="30" t="n">
        <f aca="false">INDEX(Monstres!$AR$7:$AR$98,$B$8)</f>
        <v>0.045</v>
      </c>
      <c r="C52" s="62" t="n">
        <f aca="false">B52*$B$47</f>
        <v>0.00225</v>
      </c>
    </row>
    <row r="53" customFormat="false" ht="15.75" hidden="false" customHeight="true" outlineLevel="0" collapsed="false">
      <c r="A53" s="67" t="s">
        <v>416</v>
      </c>
      <c r="B53" s="30" t="n">
        <f aca="false">INDEX(Monstres!$AS$7:$AS$98,$B$8)</f>
        <v>0.005</v>
      </c>
      <c r="C53" s="62" t="n">
        <f aca="false">B53*$B$47</f>
        <v>0.00025</v>
      </c>
    </row>
    <row r="54" customFormat="false" ht="15.75" hidden="false" customHeight="true" outlineLevel="0" collapsed="false">
      <c r="A54" s="68" t="s">
        <v>417</v>
      </c>
      <c r="B54" s="30" t="n">
        <f aca="false">INDEX(Monstres!$AT$7:$AT$98,$B$8)</f>
        <v>0.002</v>
      </c>
      <c r="C54" s="62" t="n">
        <f aca="false">B54*$B$47</f>
        <v>0.0001</v>
      </c>
    </row>
    <row r="55" customFormat="false" ht="15.75" hidden="false" customHeight="true" outlineLevel="0" collapsed="false">
      <c r="A55" s="53" t="s">
        <v>418</v>
      </c>
      <c r="B55" s="69" t="str">
        <f aca="false">INDEX(Monstres!$AU$7:$AU$98,$B$8)</f>
        <v>Chevalière du Gardien des Marées · Bottes du Voyageur des Eaux · Veste du Brouillard Mouvant</v>
      </c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9">
    <mergeCell ref="B3:C3"/>
    <mergeCell ref="B8:D8"/>
    <mergeCell ref="B9:D9"/>
    <mergeCell ref="B10:D10"/>
    <mergeCell ref="B11:D11"/>
    <mergeCell ref="B12:D12"/>
    <mergeCell ref="B13:D13"/>
    <mergeCell ref="B14:D14"/>
    <mergeCell ref="B15:D15"/>
  </mergeCells>
  <dataValidations count="3">
    <dataValidation allowBlank="true" errorStyle="stop" operator="between" prompt="Valeur invalide - Entre 0 % et 75 %." showDropDown="false" showErrorMessage="true" showInputMessage="true" sqref="B5" type="decimal">
      <formula1>0</formula1>
      <formula2>0.75</formula2>
    </dataValidation>
    <dataValidation allowBlank="true" errorStyle="stop" operator="between" prompt="Niveau invalide - Entier entre 1 et 110." showDropDown="false" showErrorMessage="true" showInputMessage="true" sqref="B4" type="decimal">
      <formula1>1</formula1>
      <formula2>110</formula2>
    </dataValidation>
    <dataValidation allowBlank="true" errorStyle="stop" operator="between" showDropDown="false" showErrorMessage="false" showInputMessage="false" sqref="B3" type="list">
      <formula1>Monstres!$F$7:$F$98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8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11" min="9" style="1" width="11"/>
    <col collapsed="false" customWidth="true" hidden="false" outlineLevel="0" max="12" min="12" style="1" width="26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3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3"/>
    <col collapsed="false" customWidth="true" hidden="false" outlineLevel="0" max="21" min="19" style="1" width="11"/>
    <col collapsed="false" customWidth="true" hidden="false" outlineLevel="0" max="30" min="22" style="1" width="12"/>
  </cols>
  <sheetData>
    <row r="1" customFormat="false" ht="17.25" hidden="false" customHeight="true" outlineLevel="0" collapsed="false">
      <c r="A1" s="8" t="s">
        <v>419</v>
      </c>
    </row>
    <row r="2" customFormat="false" ht="15" hidden="false" customHeight="true" outlineLevel="0" collapsed="false">
      <c r="A2" s="3" t="s">
        <v>420</v>
      </c>
    </row>
    <row r="3" customFormat="false" ht="15" hidden="false" customHeight="true" outlineLevel="0" collapsed="false">
      <c r="A3" s="70" t="s">
        <v>421</v>
      </c>
    </row>
    <row r="5" customFormat="false" ht="57.75" hidden="false" customHeight="true" outlineLevel="0" collapsed="false">
      <c r="A5" s="12" t="s">
        <v>422</v>
      </c>
      <c r="B5" s="12" t="s">
        <v>88</v>
      </c>
      <c r="C5" s="12" t="s">
        <v>423</v>
      </c>
      <c r="D5" s="12" t="s">
        <v>89</v>
      </c>
      <c r="E5" s="12" t="s">
        <v>90</v>
      </c>
      <c r="F5" s="12" t="s">
        <v>424</v>
      </c>
      <c r="G5" s="12" t="s">
        <v>425</v>
      </c>
      <c r="H5" s="12" t="s">
        <v>426</v>
      </c>
      <c r="I5" s="12" t="s">
        <v>427</v>
      </c>
      <c r="J5" s="12" t="s">
        <v>428</v>
      </c>
      <c r="K5" s="12" t="s">
        <v>429</v>
      </c>
      <c r="L5" s="12" t="s">
        <v>430</v>
      </c>
      <c r="M5" s="12" t="s">
        <v>431</v>
      </c>
      <c r="N5" s="12" t="s">
        <v>432</v>
      </c>
      <c r="O5" s="12" t="s">
        <v>433</v>
      </c>
      <c r="P5" s="12" t="s">
        <v>434</v>
      </c>
      <c r="Q5" s="12" t="s">
        <v>435</v>
      </c>
      <c r="R5" s="12" t="s">
        <v>436</v>
      </c>
      <c r="S5" s="12" t="s">
        <v>437</v>
      </c>
      <c r="T5" s="12" t="s">
        <v>438</v>
      </c>
      <c r="U5" s="12" t="s">
        <v>439</v>
      </c>
      <c r="V5" s="12" t="s">
        <v>440</v>
      </c>
      <c r="W5" s="12" t="s">
        <v>441</v>
      </c>
      <c r="X5" s="12" t="s">
        <v>442</v>
      </c>
      <c r="Y5" s="12" t="s">
        <v>443</v>
      </c>
      <c r="Z5" s="12" t="s">
        <v>444</v>
      </c>
      <c r="AA5" s="12" t="s">
        <v>445</v>
      </c>
      <c r="AB5" s="12" t="s">
        <v>446</v>
      </c>
      <c r="AC5" s="12" t="s">
        <v>447</v>
      </c>
      <c r="AD5" s="12" t="s">
        <v>448</v>
      </c>
    </row>
    <row r="6" customFormat="false" ht="15" hidden="false" customHeight="true" outlineLevel="0" collapsed="false">
      <c r="A6" s="71" t="n">
        <v>5</v>
      </c>
      <c r="B6" s="34" t="s">
        <v>449</v>
      </c>
      <c r="C6" s="23" t="s">
        <v>88</v>
      </c>
      <c r="D6" s="23" t="str">
        <f aca="false" t="array" ref="D6:D6">INDEX(Éléments!$B$5:$B$14,MATCH(A6,Éléments!$C$5:$C$14,1))</f>
        <v>Forêt</v>
      </c>
      <c r="E6" s="24" t="str">
        <f aca="false" t="array" ref="E6:E6">INDEX(Éléments!$A$5:$A$14,MATCH(A6,Éléments!$C$5:$C$14,1))</f>
        <v>Neutre</v>
      </c>
      <c r="F6" s="22" t="s">
        <v>450</v>
      </c>
      <c r="G6" s="23" t="str">
        <f aca="false">IF(C6="Zone","Oui","Non")</f>
        <v>Oui</v>
      </c>
      <c r="H6" s="27" t="n">
        <f aca="false">IF(G6="Oui",A6,"—")</f>
        <v>5</v>
      </c>
      <c r="I6" s="27" t="n">
        <f aca="false">IF(G6="Oui",A6,"—")</f>
        <v>5</v>
      </c>
      <c r="J6" s="27" t="n">
        <f aca="false">IF(G6="Oui",A6+Paramètres!$B$43,"—")</f>
        <v>15</v>
      </c>
      <c r="K6" s="72" t="n">
        <f aca="false">COUNTIFS(Monstres!$B$7:$B$98,A6,Monstres!$G$7:$G$98,"Non")</f>
        <v>3</v>
      </c>
      <c r="L6" s="22" t="str">
        <f aca="false" t="array" ref="L6:L6">INDEX(Monstres!$F$7:$F$98,MATCH(A6&amp;"|B",Monstres!$AW$7:$AW$98,0))</f>
        <v>Ours enragé</v>
      </c>
      <c r="M6" s="37" t="n">
        <f aca="false">IFERROR(AVERAGEIFS(Monstres!$AB$7:$AB$98,Monstres!$B$7:$B$98,A6,Monstres!$G$7:$G$98,"Non"),"—")</f>
        <v>2.53333333333333</v>
      </c>
      <c r="N6" s="73" t="n">
        <f aca="false">IFERROR(AVERAGEIFS(Monstres!$AA$7:$AA$98,Monstres!$B$7:$B$98,A6,Monstres!$G$7:$G$98,"Non"),"—")</f>
        <v>0.0173</v>
      </c>
      <c r="O6" s="37" t="n">
        <f aca="false">IFERROR(AVERAGEIFS(Monstres!$AC$7:$AC$98,Monstres!$B$7:$B$98,A6,Monstres!$G$7:$G$98,"Non"),"—")</f>
        <v>1.13333333333333</v>
      </c>
      <c r="P6" s="33" t="n">
        <f aca="false" t="array" ref="P6:P6">INDEX(Monstres!$AB$7:$AB$98,MATCH(A6&amp;"|B",Monstres!$AW$7:$AW$98,0))</f>
        <v>18</v>
      </c>
      <c r="Q6" s="73" t="n">
        <f aca="false" t="array" ref="Q6:Q6">INDEX(Monstres!$AA$7:$AA$98,MATCH(A6&amp;"|B",Monstres!$AW$7:$AW$98,0))</f>
        <v>0.0285</v>
      </c>
      <c r="R6" s="33" t="n">
        <f aca="false" t="array" ref="R6:R6">INDEX(Monstres!$AC$7:$AC$98,MATCH(A6&amp;"|B",Monstres!$AW$7:$AW$98,0))</f>
        <v>8</v>
      </c>
      <c r="S6" s="33" t="n">
        <f aca="false">IF(G6="Oui",(I6+J6)/2,"—")</f>
        <v>10</v>
      </c>
      <c r="T6" s="29" t="n">
        <f aca="false">IF(G6="Oui",ROUND(O6*ROUND(Paramètres!$B$49*S6^Paramètres!$B$50,0),0),"—")</f>
        <v>121</v>
      </c>
      <c r="U6" s="29" t="n">
        <f aca="false">IF(G6="Oui",ROUND(O6*ROUND(Paramètres!$B$53*S6^Paramètres!$B$54,0),0),"—")</f>
        <v>76</v>
      </c>
      <c r="V6" s="33" t="n">
        <f aca="false">IF(G6="Oui",M6*(1-Paramètres!$B$46)*Paramètres!$B$45+Paramètres!$B$47/Paramètres!$B$39,"—")</f>
        <v>10.8333333333333</v>
      </c>
      <c r="W6" s="29" t="n">
        <f aca="false">IF(G6="Oui",3600/V6,"—")</f>
        <v>332.307692307692</v>
      </c>
      <c r="X6" s="29" t="n">
        <f aca="false">IF(G6="Oui",W6*T6,"—")</f>
        <v>40209.2307692308</v>
      </c>
      <c r="Y6" s="29" t="n">
        <f aca="false">IF(G6="Oui",W6*U6,"—")</f>
        <v>25255.3846153846</v>
      </c>
      <c r="Z6" s="32" t="n">
        <f aca="false">IF(G6="Oui",AVERAGEIFS(Monstres!$AL$7:$AL$98,Monstres!$B$7:$B$98,A6,Monstres!$G$7:$G$98,"Non"),"—")</f>
        <v>0.06</v>
      </c>
      <c r="AA6" s="33" t="n">
        <f aca="false">IF(G6="Oui",W6*Z6,"—")</f>
        <v>19.9384615384615</v>
      </c>
      <c r="AB6" s="37" t="n">
        <f aca="false">IF(G6="Oui",AA6*(INDEX(Butin!$H$15:$H$24,MATCH($A6,Éléments!$C$5:$C$14,1))+INDEX(Butin!$I$15:$I$24,MATCH($A6,Éléments!$C$5:$C$14,1))+INDEX(Butin!$J$15:$J$24,MATCH($A6,Éléments!$C$5:$C$14,1))+INDEX(Butin!$K$15:$K$24,MATCH($A6,Éléments!$C$5:$C$14,1))),"—")</f>
        <v>0</v>
      </c>
      <c r="AC6" s="74" t="n">
        <f aca="false">IF(G6="Oui",AA6*INDEX(Butin!$J$15:$J$24,MATCH($A6,Éléments!$C$5:$C$14,1)),"—")</f>
        <v>0</v>
      </c>
      <c r="AD6" s="33" t="str">
        <f aca="false">IF(G6&lt;&gt;"Oui","—",IF(INDEX(Butin!$K$15:$K$24,MATCH($A6,Éléments!$C$5:$C$14,1))=0,"Aucun",ROUND(1/(AA6*INDEX(Butin!$K$15:$K$24,MATCH($A6,Éléments!$C$5:$C$14,1))),1)))</f>
        <v>Aucun</v>
      </c>
    </row>
    <row r="7" customFormat="false" ht="15" hidden="false" customHeight="true" outlineLevel="0" collapsed="false">
      <c r="A7" s="71" t="n">
        <v>9</v>
      </c>
      <c r="B7" s="34" t="s">
        <v>451</v>
      </c>
      <c r="C7" s="23" t="s">
        <v>452</v>
      </c>
      <c r="D7" s="23" t="str">
        <f aca="false" t="array" ref="D7:D7">INDEX(Éléments!$B$5:$B$14,MATCH(A7,Éléments!$C$5:$C$14,1))</f>
        <v>Forêt</v>
      </c>
      <c r="E7" s="24" t="str">
        <f aca="false" t="array" ref="E7:E7">INDEX(Éléments!$A$5:$A$14,MATCH(A7,Éléments!$C$5:$C$14,1))</f>
        <v>Neutre</v>
      </c>
      <c r="F7" s="22" t="s">
        <v>453</v>
      </c>
      <c r="G7" s="23" t="str">
        <f aca="false">IF(C7="Zone","Oui","Non")</f>
        <v>Non</v>
      </c>
      <c r="H7" s="27" t="str">
        <f aca="false">IF(G7="Oui",A7,"—")</f>
        <v>—</v>
      </c>
      <c r="I7" s="27" t="str">
        <f aca="false">IF(G7="Oui",A7,"—")</f>
        <v>—</v>
      </c>
      <c r="J7" s="27" t="str">
        <f aca="false">IF(G7="Oui",A7+Paramètres!$B$43,"—")</f>
        <v>—</v>
      </c>
      <c r="K7" s="72" t="n">
        <f aca="false">COUNTIFS(Monstres!$B$7:$B$98,A7,Monstres!$G$7:$G$98,"Non")</f>
        <v>0</v>
      </c>
      <c r="L7" s="22" t="str">
        <f aca="false" t="array" ref="L7:L7">INDEX(Monstres!$F$7:$F$98,MATCH(A7&amp;"|B",Monstres!$AW$7:$AW$98,0))</f>
        <v>Dragon (Neutre)</v>
      </c>
      <c r="M7" s="37" t="str">
        <f aca="false">IFERROR(AVERAGEIFS(Monstres!$AB$7:$AB$98,Monstres!$B$7:$B$98,A7,Monstres!$G$7:$G$98,"Non"),"—")</f>
        <v>—</v>
      </c>
      <c r="N7" s="73" t="str">
        <f aca="false">IFERROR(AVERAGEIFS(Monstres!$AA$7:$AA$98,Monstres!$B$7:$B$98,A7,Monstres!$G$7:$G$98,"Non"),"—")</f>
        <v>—</v>
      </c>
      <c r="O7" s="37" t="str">
        <f aca="false">IFERROR(AVERAGEIFS(Monstres!$AC$7:$AC$98,Monstres!$B$7:$B$98,A7,Monstres!$G$7:$G$98,"Non"),"—")</f>
        <v>—</v>
      </c>
      <c r="P7" s="33" t="n">
        <f aca="false" t="array" ref="P7:P7">INDEX(Monstres!$AB$7:$AB$98,MATCH(A7&amp;"|B",Monstres!$AW$7:$AW$98,0))</f>
        <v>20</v>
      </c>
      <c r="Q7" s="73" t="n">
        <f aca="false" t="array" ref="Q7:Q7">INDEX(Monstres!$AA$7:$AA$98,MATCH(A7&amp;"|B",Monstres!$AW$7:$AW$98,0))</f>
        <v>0.03</v>
      </c>
      <c r="R7" s="33" t="n">
        <f aca="false" t="array" ref="R7:R7">INDEX(Monstres!$AC$7:$AC$98,MATCH(A7&amp;"|B",Monstres!$AW$7:$AW$98,0))</f>
        <v>12</v>
      </c>
      <c r="S7" s="33" t="str">
        <f aca="false">IF(G7="Oui",(I7+J7)/2,"—")</f>
        <v>—</v>
      </c>
      <c r="T7" s="29" t="str">
        <f aca="false">IF(G7="Oui",ROUND(O7*ROUND(Paramètres!$B$49*S7^Paramètres!$B$50,0),0),"—")</f>
        <v>—</v>
      </c>
      <c r="U7" s="29" t="str">
        <f aca="false">IF(G7="Oui",ROUND(O7*ROUND(Paramètres!$B$53*S7^Paramètres!$B$54,0),0),"—")</f>
        <v>—</v>
      </c>
      <c r="V7" s="33" t="str">
        <f aca="false">IF(G7="Oui",M7*(1-Paramètres!$B$46)*Paramètres!$B$45+Paramètres!$B$47/Paramètres!$B$39,"—")</f>
        <v>—</v>
      </c>
      <c r="W7" s="29" t="str">
        <f aca="false">IF(G7="Oui",3600/V7,"—")</f>
        <v>—</v>
      </c>
      <c r="X7" s="29" t="str">
        <f aca="false">IF(G7="Oui",W7*T7,"—")</f>
        <v>—</v>
      </c>
      <c r="Y7" s="29" t="str">
        <f aca="false">IF(G7="Oui",W7*U7,"—")</f>
        <v>—</v>
      </c>
      <c r="Z7" s="32" t="str">
        <f aca="false">IF(G7="Oui",AVERAGEIFS(Monstres!$AL$7:$AL$98,Monstres!$B$7:$B$98,A7,Monstres!$G$7:$G$98,"Non"),"—")</f>
        <v>—</v>
      </c>
      <c r="AA7" s="33" t="str">
        <f aca="false">IF(G7="Oui",W7*Z7,"—")</f>
        <v>—</v>
      </c>
      <c r="AB7" s="37" t="str">
        <f aca="false">IF(G7="Oui",AA7*(INDEX(Butin!$H$15:$H$24,MATCH($A7,Éléments!$C$5:$C$14,1))+INDEX(Butin!$I$15:$I$24,MATCH($A7,Éléments!$C$5:$C$14,1))+INDEX(Butin!$J$15:$J$24,MATCH($A7,Éléments!$C$5:$C$14,1))+INDEX(Butin!$K$15:$K$24,MATCH($A7,Éléments!$C$5:$C$14,1))),"—")</f>
        <v>—</v>
      </c>
      <c r="AC7" s="74" t="str">
        <f aca="false">IF(G7="Oui",AA7*INDEX(Butin!$J$15:$J$24,MATCH($A7,Éléments!$C$5:$C$14,1)),"—")</f>
        <v>—</v>
      </c>
      <c r="AD7" s="33" t="str">
        <f aca="false">IF(G7&lt;&gt;"Oui","—",IF(INDEX(Butin!$K$15:$K$24,MATCH($A7,Éléments!$C$5:$C$14,1))=0,"Aucun",ROUND(1/(AA7*INDEX(Butin!$K$15:$K$24,MATCH($A7,Éléments!$C$5:$C$14,1))),1)))</f>
        <v>—</v>
      </c>
    </row>
    <row r="8" customFormat="false" ht="15" hidden="false" customHeight="true" outlineLevel="0" collapsed="false">
      <c r="A8" s="71" t="n">
        <v>10</v>
      </c>
      <c r="B8" s="34" t="s">
        <v>454</v>
      </c>
      <c r="C8" s="23" t="s">
        <v>88</v>
      </c>
      <c r="D8" s="23" t="str">
        <f aca="false" t="array" ref="D8:D8">INDEX(Éléments!$B$5:$B$14,MATCH(A8,Éléments!$C$5:$C$14,1))</f>
        <v>Forêt</v>
      </c>
      <c r="E8" s="24" t="str">
        <f aca="false" t="array" ref="E8:E8">INDEX(Éléments!$A$5:$A$14,MATCH(A8,Éléments!$C$5:$C$14,1))</f>
        <v>Neutre</v>
      </c>
      <c r="F8" s="22" t="s">
        <v>455</v>
      </c>
      <c r="G8" s="23" t="str">
        <f aca="false">IF(C8="Zone","Oui","Non")</f>
        <v>Oui</v>
      </c>
      <c r="H8" s="27" t="n">
        <f aca="false">IF(G8="Oui",A8,"—")</f>
        <v>10</v>
      </c>
      <c r="I8" s="27" t="n">
        <f aca="false">IF(G8="Oui",A8,"—")</f>
        <v>10</v>
      </c>
      <c r="J8" s="27" t="n">
        <f aca="false">IF(G8="Oui",A8+Paramètres!$B$43,"—")</f>
        <v>20</v>
      </c>
      <c r="K8" s="72" t="n">
        <f aca="false">COUNTIFS(Monstres!$B$7:$B$98,A8,Monstres!$G$7:$G$98,"Non")</f>
        <v>4</v>
      </c>
      <c r="L8" s="22" t="str">
        <f aca="false" t="array" ref="L8:L8">INDEX(Monstres!$F$7:$F$98,MATCH(A8&amp;"|B",Monstres!$AW$7:$AW$98,0))</f>
        <v>Chef gobelin</v>
      </c>
      <c r="M8" s="37" t="n">
        <f aca="false">IFERROR(AVERAGEIFS(Monstres!$AB$7:$AB$98,Monstres!$B$7:$B$98,A8,Monstres!$G$7:$G$98,"Non"),"—")</f>
        <v>1.6825</v>
      </c>
      <c r="N8" s="73" t="n">
        <f aca="false">IFERROR(AVERAGEIFS(Monstres!$AA$7:$AA$98,Monstres!$B$7:$B$98,A8,Monstres!$G$7:$G$98,"Non"),"—")</f>
        <v>0.013875</v>
      </c>
      <c r="O8" s="37" t="n">
        <f aca="false">IFERROR(AVERAGEIFS(Monstres!$AC$7:$AC$98,Monstres!$B$7:$B$98,A8,Monstres!$G$7:$G$98,"Non"),"—")</f>
        <v>0.925</v>
      </c>
      <c r="P8" s="33" t="n">
        <f aca="false" t="array" ref="P8:P8">INDEX(Monstres!$AB$7:$AB$98,MATCH(A8&amp;"|B",Monstres!$AW$7:$AW$98,0))</f>
        <v>13.8</v>
      </c>
      <c r="Q8" s="73" t="n">
        <f aca="false" t="array" ref="Q8:Q8">INDEX(Monstres!$AA$7:$AA$98,MATCH(A8&amp;"|B",Monstres!$AW$7:$AW$98,0))</f>
        <v>0.03</v>
      </c>
      <c r="R8" s="33" t="n">
        <f aca="false" t="array" ref="R8:R8">INDEX(Monstres!$AC$7:$AC$98,MATCH(A8&amp;"|B",Monstres!$AW$7:$AW$98,0))</f>
        <v>8</v>
      </c>
      <c r="S8" s="33" t="n">
        <f aca="false">IF(G8="Oui",(I8+J8)/2,"—")</f>
        <v>15</v>
      </c>
      <c r="T8" s="29" t="n">
        <f aca="false">IF(G8="Oui",ROUND(O8*ROUND(Paramètres!$B$49*S8^Paramètres!$B$50,0),0),"—")</f>
        <v>164</v>
      </c>
      <c r="U8" s="29" t="n">
        <f aca="false">IF(G8="Oui",ROUND(O8*ROUND(Paramètres!$B$53*S8^Paramètres!$B$54,0),0),"—")</f>
        <v>107</v>
      </c>
      <c r="V8" s="33" t="n">
        <f aca="false">IF(G8="Oui",M8*(1-Paramètres!$B$46)*Paramètres!$B$45+Paramètres!$B$47/Paramètres!$B$39,"—")</f>
        <v>7.64270833333333</v>
      </c>
      <c r="W8" s="29" t="n">
        <f aca="false">IF(G8="Oui",3600/V8,"—")</f>
        <v>471.037208668393</v>
      </c>
      <c r="X8" s="29" t="n">
        <f aca="false">IF(G8="Oui",W8*T8,"—")</f>
        <v>77250.1022216165</v>
      </c>
      <c r="Y8" s="29" t="n">
        <f aca="false">IF(G8="Oui",W8*U8,"—")</f>
        <v>50400.9813275181</v>
      </c>
      <c r="Z8" s="32" t="n">
        <f aca="false">IF(G8="Oui",AVERAGEIFS(Monstres!$AL$7:$AL$98,Monstres!$B$7:$B$98,A8,Monstres!$G$7:$G$98,"Non"),"—")</f>
        <v>0.045</v>
      </c>
      <c r="AA8" s="33" t="n">
        <f aca="false">IF(G8="Oui",W8*Z8,"—")</f>
        <v>21.1966743900777</v>
      </c>
      <c r="AB8" s="37" t="n">
        <f aca="false">IF(G8="Oui",AA8*(INDEX(Butin!$H$15:$H$24,MATCH($A8,Éléments!$C$5:$C$14,1))+INDEX(Butin!$I$15:$I$24,MATCH($A8,Éléments!$C$5:$C$14,1))+INDEX(Butin!$J$15:$J$24,MATCH($A8,Éléments!$C$5:$C$14,1))+INDEX(Butin!$K$15:$K$24,MATCH($A8,Éléments!$C$5:$C$14,1))),"—")</f>
        <v>0</v>
      </c>
      <c r="AC8" s="74" t="n">
        <f aca="false">IF(G8="Oui",AA8*INDEX(Butin!$J$15:$J$24,MATCH($A8,Éléments!$C$5:$C$14,1)),"—")</f>
        <v>0</v>
      </c>
      <c r="AD8" s="33" t="str">
        <f aca="false">IF(G8&lt;&gt;"Oui","—",IF(INDEX(Butin!$K$15:$K$24,MATCH($A8,Éléments!$C$5:$C$14,1))=0,"Aucun",ROUND(1/(AA8*INDEX(Butin!$K$15:$K$24,MATCH($A8,Éléments!$C$5:$C$14,1))),1)))</f>
        <v>Aucun</v>
      </c>
    </row>
    <row r="9" customFormat="false" ht="15" hidden="false" customHeight="true" outlineLevel="0" collapsed="false">
      <c r="A9" s="71" t="n">
        <v>15</v>
      </c>
      <c r="B9" s="34" t="s">
        <v>456</v>
      </c>
      <c r="C9" s="23" t="s">
        <v>88</v>
      </c>
      <c r="D9" s="23" t="str">
        <f aca="false" t="array" ref="D9:D9">INDEX(Éléments!$B$5:$B$14,MATCH(A9,Éléments!$C$5:$C$14,1))</f>
        <v>Montagne</v>
      </c>
      <c r="E9" s="41" t="str">
        <f aca="false" t="array" ref="E9:E9">INDEX(Éléments!$A$5:$A$14,MATCH(A9,Éléments!$C$5:$C$14,1))</f>
        <v>Terre</v>
      </c>
      <c r="F9" s="22" t="s">
        <v>457</v>
      </c>
      <c r="G9" s="23" t="str">
        <f aca="false">IF(C9="Zone","Oui","Non")</f>
        <v>Oui</v>
      </c>
      <c r="H9" s="27" t="n">
        <f aca="false">IF(G9="Oui",A9,"—")</f>
        <v>15</v>
      </c>
      <c r="I9" s="27" t="n">
        <f aca="false">IF(G9="Oui",A9,"—")</f>
        <v>15</v>
      </c>
      <c r="J9" s="27" t="n">
        <f aca="false">IF(G9="Oui",A9+Paramètres!$B$43,"—")</f>
        <v>25</v>
      </c>
      <c r="K9" s="72" t="n">
        <f aca="false">COUNTIFS(Monstres!$B$7:$B$98,A9,Monstres!$G$7:$G$98,"Non")</f>
        <v>4</v>
      </c>
      <c r="L9" s="22" t="str">
        <f aca="false" t="array" ref="L9:L9">INDEX(Monstres!$F$7:$F$98,MATCH(A9&amp;"|B",Monstres!$AW$7:$AW$98,0))</f>
        <v>Haut chaman gobelin</v>
      </c>
      <c r="M9" s="37" t="n">
        <f aca="false">IFERROR(AVERAGEIFS(Monstres!$AB$7:$AB$98,Monstres!$B$7:$B$98,A9,Monstres!$G$7:$G$98,"Non"),"—")</f>
        <v>2.13</v>
      </c>
      <c r="N9" s="73" t="n">
        <f aca="false">IFERROR(AVERAGEIFS(Monstres!$AA$7:$AA$98,Monstres!$B$7:$B$98,A9,Monstres!$G$7:$G$98,"Non"),"—")</f>
        <v>0.017325</v>
      </c>
      <c r="O9" s="37" t="n">
        <f aca="false">IFERROR(AVERAGEIFS(Monstres!$AC$7:$AC$98,Monstres!$B$7:$B$98,A9,Monstres!$G$7:$G$98,"Non"),"—")</f>
        <v>1.1</v>
      </c>
      <c r="P9" s="33" t="n">
        <f aca="false" t="array" ref="P9:P9">INDEX(Monstres!$AB$7:$AB$98,MATCH(A9&amp;"|B",Monstres!$AW$7:$AW$98,0))</f>
        <v>10.2</v>
      </c>
      <c r="Q9" s="73" t="n">
        <f aca="false" t="array" ref="Q9:Q9">INDEX(Monstres!$AA$7:$AA$98,MATCH(A9&amp;"|B",Monstres!$AW$7:$AW$98,0))</f>
        <v>0.024</v>
      </c>
      <c r="R9" s="33" t="n">
        <f aca="false" t="array" ref="R9:R9">INDEX(Monstres!$AC$7:$AC$98,MATCH(A9&amp;"|B",Monstres!$AW$7:$AW$98,0))</f>
        <v>8</v>
      </c>
      <c r="S9" s="33" t="n">
        <f aca="false">IF(G9="Oui",(I9+J9)/2,"—")</f>
        <v>20</v>
      </c>
      <c r="T9" s="29" t="n">
        <f aca="false">IF(G9="Oui",ROUND(O9*ROUND(Paramètres!$B$49*S9^Paramètres!$B$50,0),0),"—")</f>
        <v>279</v>
      </c>
      <c r="U9" s="29" t="n">
        <f aca="false">IF(G9="Oui",ROUND(O9*ROUND(Paramètres!$B$53*S9^Paramètres!$B$54,0),0),"—")</f>
        <v>188</v>
      </c>
      <c r="V9" s="33" t="n">
        <f aca="false">IF(G9="Oui",M9*(1-Paramètres!$B$46)*Paramètres!$B$45+Paramètres!$B$47/Paramètres!$B$39,"—")</f>
        <v>9.32083333333333</v>
      </c>
      <c r="W9" s="29" t="n">
        <f aca="false">IF(G9="Oui",3600/V9,"—")</f>
        <v>386.231560125168</v>
      </c>
      <c r="X9" s="29" t="n">
        <f aca="false">IF(G9="Oui",W9*T9,"—")</f>
        <v>107758.605274922</v>
      </c>
      <c r="Y9" s="29" t="n">
        <f aca="false">IF(G9="Oui",W9*U9,"—")</f>
        <v>72611.5333035315</v>
      </c>
      <c r="Z9" s="32" t="n">
        <f aca="false">IF(G9="Oui",AVERAGEIFS(Monstres!$AL$7:$AL$98,Monstres!$B$7:$B$98,A9,Monstres!$G$7:$G$98,"Non"),"—")</f>
        <v>0.0575</v>
      </c>
      <c r="AA9" s="33" t="n">
        <f aca="false">IF(G9="Oui",W9*Z9,"—")</f>
        <v>22.2083147071971</v>
      </c>
      <c r="AB9" s="37" t="n">
        <f aca="false">IF(G9="Oui",AA9*(INDEX(Butin!$H$15:$H$24,MATCH($A9,Éléments!$C$5:$C$14,1))+INDEX(Butin!$I$15:$I$24,MATCH($A9,Éléments!$C$5:$C$14,1))+INDEX(Butin!$J$15:$J$24,MATCH($A9,Éléments!$C$5:$C$14,1))+INDEX(Butin!$K$15:$K$24,MATCH($A9,Éléments!$C$5:$C$14,1))),"—")</f>
        <v>0</v>
      </c>
      <c r="AC9" s="74" t="n">
        <f aca="false">IF(G9="Oui",AA9*INDEX(Butin!$J$15:$J$24,MATCH($A9,Éléments!$C$5:$C$14,1)),"—")</f>
        <v>0</v>
      </c>
      <c r="AD9" s="33" t="str">
        <f aca="false">IF(G9&lt;&gt;"Oui","—",IF(INDEX(Butin!$K$15:$K$24,MATCH($A9,Éléments!$C$5:$C$14,1))=0,"Aucun",ROUND(1/(AA9*INDEX(Butin!$K$15:$K$24,MATCH($A9,Éléments!$C$5:$C$14,1))),1)))</f>
        <v>Aucun</v>
      </c>
    </row>
    <row r="10" customFormat="false" ht="15" hidden="false" customHeight="true" outlineLevel="0" collapsed="false">
      <c r="A10" s="71" t="n">
        <v>19</v>
      </c>
      <c r="B10" s="34" t="s">
        <v>458</v>
      </c>
      <c r="C10" s="23" t="s">
        <v>452</v>
      </c>
      <c r="D10" s="23" t="str">
        <f aca="false" t="array" ref="D10:D10">INDEX(Éléments!$B$5:$B$14,MATCH(A10,Éléments!$C$5:$C$14,1))</f>
        <v>Montagne</v>
      </c>
      <c r="E10" s="41" t="str">
        <f aca="false" t="array" ref="E10:E10">INDEX(Éléments!$A$5:$A$14,MATCH(A10,Éléments!$C$5:$C$14,1))</f>
        <v>Terre</v>
      </c>
      <c r="F10" s="22" t="s">
        <v>459</v>
      </c>
      <c r="G10" s="23" t="str">
        <f aca="false">IF(C10="Zone","Oui","Non")</f>
        <v>Non</v>
      </c>
      <c r="H10" s="27" t="str">
        <f aca="false">IF(G10="Oui",A10,"—")</f>
        <v>—</v>
      </c>
      <c r="I10" s="27" t="str">
        <f aca="false">IF(G10="Oui",A10,"—")</f>
        <v>—</v>
      </c>
      <c r="J10" s="27" t="str">
        <f aca="false">IF(G10="Oui",A10+Paramètres!$B$43,"—")</f>
        <v>—</v>
      </c>
      <c r="K10" s="72" t="n">
        <f aca="false">COUNTIFS(Monstres!$B$7:$B$98,A10,Monstres!$G$7:$G$98,"Non")</f>
        <v>0</v>
      </c>
      <c r="L10" s="22" t="str">
        <f aca="false" t="array" ref="L10:L10">INDEX(Monstres!$F$7:$F$98,MATCH(A10&amp;"|B",Monstres!$AW$7:$AW$98,0))</f>
        <v>Dragon (Terre)</v>
      </c>
      <c r="M10" s="37" t="str">
        <f aca="false">IFERROR(AVERAGEIFS(Monstres!$AB$7:$AB$98,Monstres!$B$7:$B$98,A10,Monstres!$G$7:$G$98,"Non"),"—")</f>
        <v>—</v>
      </c>
      <c r="N10" s="73" t="str">
        <f aca="false">IFERROR(AVERAGEIFS(Monstres!$AA$7:$AA$98,Monstres!$B$7:$B$98,A10,Monstres!$G$7:$G$98,"Non"),"—")</f>
        <v>—</v>
      </c>
      <c r="O10" s="37" t="str">
        <f aca="false">IFERROR(AVERAGEIFS(Monstres!$AC$7:$AC$98,Monstres!$B$7:$B$98,A10,Monstres!$G$7:$G$98,"Non"),"—")</f>
        <v>—</v>
      </c>
      <c r="P10" s="33" t="n">
        <f aca="false" t="array" ref="P10:P10">INDEX(Monstres!$AB$7:$AB$98,MATCH(A10&amp;"|B",Monstres!$AW$7:$AW$98,0))</f>
        <v>20</v>
      </c>
      <c r="Q10" s="73" t="n">
        <f aca="false" t="array" ref="Q10:Q10">INDEX(Monstres!$AA$7:$AA$98,MATCH(A10&amp;"|B",Monstres!$AW$7:$AW$98,0))</f>
        <v>0.03</v>
      </c>
      <c r="R10" s="33" t="n">
        <f aca="false" t="array" ref="R10:R10">INDEX(Monstres!$AC$7:$AC$98,MATCH(A10&amp;"|B",Monstres!$AW$7:$AW$98,0))</f>
        <v>12</v>
      </c>
      <c r="S10" s="33" t="str">
        <f aca="false">IF(G10="Oui",(I10+J10)/2,"—")</f>
        <v>—</v>
      </c>
      <c r="T10" s="29" t="str">
        <f aca="false">IF(G10="Oui",ROUND(O10*ROUND(Paramètres!$B$49*S10^Paramètres!$B$50,0),0),"—")</f>
        <v>—</v>
      </c>
      <c r="U10" s="29" t="str">
        <f aca="false">IF(G10="Oui",ROUND(O10*ROUND(Paramètres!$B$53*S10^Paramètres!$B$54,0),0),"—")</f>
        <v>—</v>
      </c>
      <c r="V10" s="33" t="str">
        <f aca="false">IF(G10="Oui",M10*(1-Paramètres!$B$46)*Paramètres!$B$45+Paramètres!$B$47/Paramètres!$B$39,"—")</f>
        <v>—</v>
      </c>
      <c r="W10" s="29" t="str">
        <f aca="false">IF(G10="Oui",3600/V10,"—")</f>
        <v>—</v>
      </c>
      <c r="X10" s="29" t="str">
        <f aca="false">IF(G10="Oui",W10*T10,"—")</f>
        <v>—</v>
      </c>
      <c r="Y10" s="29" t="str">
        <f aca="false">IF(G10="Oui",W10*U10,"—")</f>
        <v>—</v>
      </c>
      <c r="Z10" s="32" t="str">
        <f aca="false">IF(G10="Oui",AVERAGEIFS(Monstres!$AL$7:$AL$98,Monstres!$B$7:$B$98,A10,Monstres!$G$7:$G$98,"Non"),"—")</f>
        <v>—</v>
      </c>
      <c r="AA10" s="33" t="str">
        <f aca="false">IF(G10="Oui",W10*Z10,"—")</f>
        <v>—</v>
      </c>
      <c r="AB10" s="37" t="str">
        <f aca="false">IF(G10="Oui",AA10*(INDEX(Butin!$H$15:$H$24,MATCH($A10,Éléments!$C$5:$C$14,1))+INDEX(Butin!$I$15:$I$24,MATCH($A10,Éléments!$C$5:$C$14,1))+INDEX(Butin!$J$15:$J$24,MATCH($A10,Éléments!$C$5:$C$14,1))+INDEX(Butin!$K$15:$K$24,MATCH($A10,Éléments!$C$5:$C$14,1))),"—")</f>
        <v>—</v>
      </c>
      <c r="AC10" s="74" t="str">
        <f aca="false">IF(G10="Oui",AA10*INDEX(Butin!$J$15:$J$24,MATCH($A10,Éléments!$C$5:$C$14,1)),"—")</f>
        <v>—</v>
      </c>
      <c r="AD10" s="33" t="str">
        <f aca="false">IF(G10&lt;&gt;"Oui","—",IF(INDEX(Butin!$K$15:$K$24,MATCH($A10,Éléments!$C$5:$C$14,1))=0,"Aucun",ROUND(1/(AA10*INDEX(Butin!$K$15:$K$24,MATCH($A10,Éléments!$C$5:$C$14,1))),1)))</f>
        <v>—</v>
      </c>
    </row>
    <row r="11" customFormat="false" ht="15" hidden="false" customHeight="true" outlineLevel="0" collapsed="false">
      <c r="A11" s="71" t="n">
        <v>20</v>
      </c>
      <c r="B11" s="34" t="s">
        <v>460</v>
      </c>
      <c r="C11" s="23" t="s">
        <v>88</v>
      </c>
      <c r="D11" s="23" t="str">
        <f aca="false" t="array" ref="D11:D11">INDEX(Éléments!$B$5:$B$14,MATCH(A11,Éléments!$C$5:$C$14,1))</f>
        <v>Montagne</v>
      </c>
      <c r="E11" s="41" t="str">
        <f aca="false" t="array" ref="E11:E11">INDEX(Éléments!$A$5:$A$14,MATCH(A11,Éléments!$C$5:$C$14,1))</f>
        <v>Terre</v>
      </c>
      <c r="F11" s="22" t="s">
        <v>461</v>
      </c>
      <c r="G11" s="23" t="str">
        <f aca="false">IF(C11="Zone","Oui","Non")</f>
        <v>Oui</v>
      </c>
      <c r="H11" s="27" t="n">
        <f aca="false">IF(G11="Oui",A11,"—")</f>
        <v>20</v>
      </c>
      <c r="I11" s="27" t="n">
        <f aca="false">IF(G11="Oui",A11,"—")</f>
        <v>20</v>
      </c>
      <c r="J11" s="27" t="n">
        <f aca="false">IF(G11="Oui",A11+Paramètres!$B$43,"—")</f>
        <v>30</v>
      </c>
      <c r="K11" s="72" t="n">
        <f aca="false">COUNTIFS(Monstres!$B$7:$B$98,A11,Monstres!$G$7:$G$98,"Non")</f>
        <v>3</v>
      </c>
      <c r="L11" s="22" t="str">
        <f aca="false" t="array" ref="L11:L11">INDEX(Monstres!$F$7:$F$98,MATCH(A11&amp;"|B",Monstres!$AW$7:$AW$98,0))</f>
        <v>Chef orc</v>
      </c>
      <c r="M11" s="37" t="n">
        <f aca="false">IFERROR(AVERAGEIFS(Monstres!$AB$7:$AB$98,Monstres!$B$7:$B$98,A11,Monstres!$G$7:$G$98,"Non"),"—")</f>
        <v>2.30666666666667</v>
      </c>
      <c r="N11" s="73" t="n">
        <f aca="false">IFERROR(AVERAGEIFS(Monstres!$AA$7:$AA$98,Monstres!$B$7:$B$98,A11,Monstres!$G$7:$G$98,"Non"),"—")</f>
        <v>0.0176</v>
      </c>
      <c r="O11" s="37" t="n">
        <f aca="false">IFERROR(AVERAGEIFS(Monstres!$AC$7:$AC$98,Monstres!$B$7:$B$98,A11,Monstres!$G$7:$G$98,"Non"),"—")</f>
        <v>1.13333333333333</v>
      </c>
      <c r="P11" s="33" t="n">
        <f aca="false" t="array" ref="P11:P11">INDEX(Monstres!$AB$7:$AB$98,MATCH(A11&amp;"|B",Monstres!$AW$7:$AW$98,0))</f>
        <v>18</v>
      </c>
      <c r="Q11" s="73" t="n">
        <f aca="false" t="array" ref="Q11:Q11">INDEX(Monstres!$AA$7:$AA$98,MATCH(A11&amp;"|B",Monstres!$AW$7:$AW$98,0))</f>
        <v>0.0285</v>
      </c>
      <c r="R11" s="33" t="n">
        <f aca="false" t="array" ref="R11:R11">INDEX(Monstres!$AC$7:$AC$98,MATCH(A11&amp;"|B",Monstres!$AW$7:$AW$98,0))</f>
        <v>8</v>
      </c>
      <c r="S11" s="33" t="n">
        <f aca="false">IF(G11="Oui",(I11+J11)/2,"—")</f>
        <v>25</v>
      </c>
      <c r="T11" s="29" t="n">
        <f aca="false">IF(G11="Oui",ROUND(O11*ROUND(Paramètres!$B$49*S11^Paramètres!$B$50,0),0),"—")</f>
        <v>380</v>
      </c>
      <c r="U11" s="29" t="n">
        <f aca="false">IF(G11="Oui",ROUND(O11*ROUND(Paramètres!$B$53*S11^Paramètres!$B$54,0),0),"—")</f>
        <v>262</v>
      </c>
      <c r="V11" s="33" t="n">
        <f aca="false">IF(G11="Oui",M11*(1-Paramètres!$B$46)*Paramètres!$B$45+Paramètres!$B$47/Paramètres!$B$39,"—")</f>
        <v>9.98333333333333</v>
      </c>
      <c r="W11" s="29" t="n">
        <f aca="false">IF(G11="Oui",3600/V11,"—")</f>
        <v>360.601001669449</v>
      </c>
      <c r="X11" s="29" t="n">
        <f aca="false">IF(G11="Oui",W11*T11,"—")</f>
        <v>137028.380634391</v>
      </c>
      <c r="Y11" s="29" t="n">
        <f aca="false">IF(G11="Oui",W11*U11,"—")</f>
        <v>94477.4624373957</v>
      </c>
      <c r="Z11" s="32" t="n">
        <f aca="false">IF(G11="Oui",AVERAGEIFS(Monstres!$AL$7:$AL$98,Monstres!$B$7:$B$98,A11,Monstres!$G$7:$G$98,"Non"),"—")</f>
        <v>0.06</v>
      </c>
      <c r="AA11" s="33" t="n">
        <f aca="false">IF(G11="Oui",W11*Z11,"—")</f>
        <v>21.6360601001669</v>
      </c>
      <c r="AB11" s="37" t="n">
        <f aca="false">IF(G11="Oui",AA11*(INDEX(Butin!$H$15:$H$24,MATCH($A11,Éléments!$C$5:$C$14,1))+INDEX(Butin!$I$15:$I$24,MATCH($A11,Éléments!$C$5:$C$14,1))+INDEX(Butin!$J$15:$J$24,MATCH($A11,Éléments!$C$5:$C$14,1))+INDEX(Butin!$K$15:$K$24,MATCH($A11,Éléments!$C$5:$C$14,1))),"—")</f>
        <v>0</v>
      </c>
      <c r="AC11" s="74" t="n">
        <f aca="false">IF(G11="Oui",AA11*INDEX(Butin!$J$15:$J$24,MATCH($A11,Éléments!$C$5:$C$14,1)),"—")</f>
        <v>0</v>
      </c>
      <c r="AD11" s="33" t="str">
        <f aca="false">IF(G11&lt;&gt;"Oui","—",IF(INDEX(Butin!$K$15:$K$24,MATCH($A11,Éléments!$C$5:$C$14,1))=0,"Aucun",ROUND(1/(AA11*INDEX(Butin!$K$15:$K$24,MATCH($A11,Éléments!$C$5:$C$14,1))),1)))</f>
        <v>Aucun</v>
      </c>
    </row>
    <row r="12" customFormat="false" ht="15" hidden="false" customHeight="true" outlineLevel="0" collapsed="false">
      <c r="A12" s="71" t="n">
        <v>25</v>
      </c>
      <c r="B12" s="34" t="s">
        <v>462</v>
      </c>
      <c r="C12" s="23" t="s">
        <v>88</v>
      </c>
      <c r="D12" s="23" t="str">
        <f aca="false" t="array" ref="D12:D12">INDEX(Éléments!$B$5:$B$14,MATCH(A12,Éléments!$C$5:$C$14,1))</f>
        <v>Volcan</v>
      </c>
      <c r="E12" s="42" t="str">
        <f aca="false" t="array" ref="E12:E12">INDEX(Éléments!$A$5:$A$14,MATCH(A12,Éléments!$C$5:$C$14,1))</f>
        <v>Feu</v>
      </c>
      <c r="F12" s="22" t="s">
        <v>463</v>
      </c>
      <c r="G12" s="23" t="str">
        <f aca="false">IF(C12="Zone","Oui","Non")</f>
        <v>Oui</v>
      </c>
      <c r="H12" s="27" t="n">
        <f aca="false">IF(G12="Oui",A12,"—")</f>
        <v>25</v>
      </c>
      <c r="I12" s="27" t="n">
        <f aca="false">IF(G12="Oui",A12,"—")</f>
        <v>25</v>
      </c>
      <c r="J12" s="27" t="n">
        <f aca="false">IF(G12="Oui",A12+Paramètres!$B$43,"—")</f>
        <v>35</v>
      </c>
      <c r="K12" s="72" t="n">
        <f aca="false">COUNTIFS(Monstres!$B$7:$B$98,A12,Monstres!$G$7:$G$98,"Non")</f>
        <v>2</v>
      </c>
      <c r="L12" s="22" t="str">
        <f aca="false" t="array" ref="L12:L12">INDEX(Monstres!$F$7:$F$98,MATCH(A12&amp;"|B",Monstres!$AW$7:$AW$98,0))</f>
        <v>Malphite</v>
      </c>
      <c r="M12" s="37" t="n">
        <f aca="false">IFERROR(AVERAGEIFS(Monstres!$AB$7:$AB$98,Monstres!$B$7:$B$98,A12,Monstres!$G$7:$G$98,"Non"),"—")</f>
        <v>3.05</v>
      </c>
      <c r="N12" s="73" t="n">
        <f aca="false">IFERROR(AVERAGEIFS(Monstres!$AA$7:$AA$98,Monstres!$B$7:$B$98,A12,Monstres!$G$7:$G$98,"Non"),"—")</f>
        <v>0.01695</v>
      </c>
      <c r="O12" s="37" t="n">
        <f aca="false">IFERROR(AVERAGEIFS(Monstres!$AC$7:$AC$98,Monstres!$B$7:$B$98,A12,Monstres!$G$7:$G$98,"Non"),"—")</f>
        <v>1.2</v>
      </c>
      <c r="P12" s="33" t="n">
        <f aca="false" t="array" ref="P12:P12">INDEX(Monstres!$AB$7:$AB$98,MATCH(A12&amp;"|B",Monstres!$AW$7:$AW$98,0))</f>
        <v>18</v>
      </c>
      <c r="Q12" s="73" t="n">
        <f aca="false" t="array" ref="Q12:Q12">INDEX(Monstres!$AA$7:$AA$98,MATCH(A12&amp;"|B",Monstres!$AW$7:$AW$98,0))</f>
        <v>0.0285</v>
      </c>
      <c r="R12" s="33" t="n">
        <f aca="false" t="array" ref="R12:R12">INDEX(Monstres!$AC$7:$AC$98,MATCH(A12&amp;"|B",Monstres!$AW$7:$AW$98,0))</f>
        <v>8</v>
      </c>
      <c r="S12" s="33" t="n">
        <f aca="false">IF(G12="Oui",(I12+J12)/2,"—")</f>
        <v>30</v>
      </c>
      <c r="T12" s="29" t="n">
        <f aca="false">IF(G12="Oui",ROUND(O12*ROUND(Paramètres!$B$49*S12^Paramètres!$B$50,0),0),"—")</f>
        <v>505</v>
      </c>
      <c r="U12" s="29" t="n">
        <f aca="false">IF(G12="Oui",ROUND(O12*ROUND(Paramètres!$B$53*S12^Paramètres!$B$54,0),0),"—")</f>
        <v>355</v>
      </c>
      <c r="V12" s="33" t="n">
        <f aca="false">IF(G12="Oui",M12*(1-Paramètres!$B$46)*Paramètres!$B$45+Paramètres!$B$47/Paramètres!$B$39,"—")</f>
        <v>12.7708333333333</v>
      </c>
      <c r="W12" s="29" t="n">
        <f aca="false">IF(G12="Oui",3600/V12,"—")</f>
        <v>281.89233278956</v>
      </c>
      <c r="X12" s="29" t="n">
        <f aca="false">IF(G12="Oui",W12*T12,"—")</f>
        <v>142355.628058728</v>
      </c>
      <c r="Y12" s="29" t="n">
        <f aca="false">IF(G12="Oui",W12*U12,"—")</f>
        <v>100071.778140294</v>
      </c>
      <c r="Z12" s="32" t="n">
        <f aca="false">IF(G12="Oui",AVERAGEIFS(Monstres!$AL$7:$AL$98,Monstres!$B$7:$B$98,A12,Monstres!$G$7:$G$98,"Non"),"—")</f>
        <v>0.065</v>
      </c>
      <c r="AA12" s="33" t="n">
        <f aca="false">IF(G12="Oui",W12*Z12,"—")</f>
        <v>18.3230016313214</v>
      </c>
      <c r="AB12" s="37" t="n">
        <f aca="false">IF(G12="Oui",AA12*(INDEX(Butin!$H$15:$H$24,MATCH($A12,Éléments!$C$5:$C$14,1))+INDEX(Butin!$I$15:$I$24,MATCH($A12,Éléments!$C$5:$C$14,1))+INDEX(Butin!$J$15:$J$24,MATCH($A12,Éléments!$C$5:$C$14,1))+INDEX(Butin!$K$15:$K$24,MATCH($A12,Éléments!$C$5:$C$14,1))),"—")</f>
        <v>0.549690048939641</v>
      </c>
      <c r="AC12" s="74" t="n">
        <f aca="false">IF(G12="Oui",AA12*INDEX(Butin!$J$15:$J$24,MATCH($A12,Éléments!$C$5:$C$14,1)),"—")</f>
        <v>0</v>
      </c>
      <c r="AD12" s="33" t="str">
        <f aca="false">IF(G12&lt;&gt;"Oui","—",IF(INDEX(Butin!$K$15:$K$24,MATCH($A12,Éléments!$C$5:$C$14,1))=0,"Aucun",ROUND(1/(AA12*INDEX(Butin!$K$15:$K$24,MATCH($A12,Éléments!$C$5:$C$14,1))),1)))</f>
        <v>Aucun</v>
      </c>
    </row>
    <row r="13" customFormat="false" ht="15" hidden="false" customHeight="true" outlineLevel="0" collapsed="false">
      <c r="A13" s="71" t="n">
        <v>29</v>
      </c>
      <c r="B13" s="34" t="s">
        <v>464</v>
      </c>
      <c r="C13" s="23" t="s">
        <v>452</v>
      </c>
      <c r="D13" s="23" t="str">
        <f aca="false" t="array" ref="D13:D13">INDEX(Éléments!$B$5:$B$14,MATCH(A13,Éléments!$C$5:$C$14,1))</f>
        <v>Volcan</v>
      </c>
      <c r="E13" s="42" t="str">
        <f aca="false" t="array" ref="E13:E13">INDEX(Éléments!$A$5:$A$14,MATCH(A13,Éléments!$C$5:$C$14,1))</f>
        <v>Feu</v>
      </c>
      <c r="F13" s="22" t="s">
        <v>465</v>
      </c>
      <c r="G13" s="23" t="str">
        <f aca="false">IF(C13="Zone","Oui","Non")</f>
        <v>Non</v>
      </c>
      <c r="H13" s="27" t="str">
        <f aca="false">IF(G13="Oui",A13,"—")</f>
        <v>—</v>
      </c>
      <c r="I13" s="27" t="str">
        <f aca="false">IF(G13="Oui",A13,"—")</f>
        <v>—</v>
      </c>
      <c r="J13" s="27" t="str">
        <f aca="false">IF(G13="Oui",A13+Paramètres!$B$43,"—")</f>
        <v>—</v>
      </c>
      <c r="K13" s="72" t="n">
        <f aca="false">COUNTIFS(Monstres!$B$7:$B$98,A13,Monstres!$G$7:$G$98,"Non")</f>
        <v>0</v>
      </c>
      <c r="L13" s="22" t="str">
        <f aca="false" t="array" ref="L13:L13">INDEX(Monstres!$F$7:$F$98,MATCH(A13&amp;"|B",Monstres!$AW$7:$AW$98,0))</f>
        <v>Dragon (Feu)</v>
      </c>
      <c r="M13" s="37" t="str">
        <f aca="false">IFERROR(AVERAGEIFS(Monstres!$AB$7:$AB$98,Monstres!$B$7:$B$98,A13,Monstres!$G$7:$G$98,"Non"),"—")</f>
        <v>—</v>
      </c>
      <c r="N13" s="73" t="str">
        <f aca="false">IFERROR(AVERAGEIFS(Monstres!$AA$7:$AA$98,Monstres!$B$7:$B$98,A13,Monstres!$G$7:$G$98,"Non"),"—")</f>
        <v>—</v>
      </c>
      <c r="O13" s="37" t="str">
        <f aca="false">IFERROR(AVERAGEIFS(Monstres!$AC$7:$AC$98,Monstres!$B$7:$B$98,A13,Monstres!$G$7:$G$98,"Non"),"—")</f>
        <v>—</v>
      </c>
      <c r="P13" s="33" t="n">
        <f aca="false" t="array" ref="P13:P13">INDEX(Monstres!$AB$7:$AB$98,MATCH(A13&amp;"|B",Monstres!$AW$7:$AW$98,0))</f>
        <v>20</v>
      </c>
      <c r="Q13" s="73" t="n">
        <f aca="false" t="array" ref="Q13:Q13">INDEX(Monstres!$AA$7:$AA$98,MATCH(A13&amp;"|B",Monstres!$AW$7:$AW$98,0))</f>
        <v>0.03</v>
      </c>
      <c r="R13" s="33" t="n">
        <f aca="false" t="array" ref="R13:R13">INDEX(Monstres!$AC$7:$AC$98,MATCH(A13&amp;"|B",Monstres!$AW$7:$AW$98,0))</f>
        <v>12</v>
      </c>
      <c r="S13" s="33" t="str">
        <f aca="false">IF(G13="Oui",(I13+J13)/2,"—")</f>
        <v>—</v>
      </c>
      <c r="T13" s="29" t="str">
        <f aca="false">IF(G13="Oui",ROUND(O13*ROUND(Paramètres!$B$49*S13^Paramètres!$B$50,0),0),"—")</f>
        <v>—</v>
      </c>
      <c r="U13" s="29" t="str">
        <f aca="false">IF(G13="Oui",ROUND(O13*ROUND(Paramètres!$B$53*S13^Paramètres!$B$54,0),0),"—")</f>
        <v>—</v>
      </c>
      <c r="V13" s="33" t="str">
        <f aca="false">IF(G13="Oui",M13*(1-Paramètres!$B$46)*Paramètres!$B$45+Paramètres!$B$47/Paramètres!$B$39,"—")</f>
        <v>—</v>
      </c>
      <c r="W13" s="29" t="str">
        <f aca="false">IF(G13="Oui",3600/V13,"—")</f>
        <v>—</v>
      </c>
      <c r="X13" s="29" t="str">
        <f aca="false">IF(G13="Oui",W13*T13,"—")</f>
        <v>—</v>
      </c>
      <c r="Y13" s="29" t="str">
        <f aca="false">IF(G13="Oui",W13*U13,"—")</f>
        <v>—</v>
      </c>
      <c r="Z13" s="32" t="str">
        <f aca="false">IF(G13="Oui",AVERAGEIFS(Monstres!$AL$7:$AL$98,Monstres!$B$7:$B$98,A13,Monstres!$G$7:$G$98,"Non"),"—")</f>
        <v>—</v>
      </c>
      <c r="AA13" s="33" t="str">
        <f aca="false">IF(G13="Oui",W13*Z13,"—")</f>
        <v>—</v>
      </c>
      <c r="AB13" s="37" t="str">
        <f aca="false">IF(G13="Oui",AA13*(INDEX(Butin!$H$15:$H$24,MATCH($A13,Éléments!$C$5:$C$14,1))+INDEX(Butin!$I$15:$I$24,MATCH($A13,Éléments!$C$5:$C$14,1))+INDEX(Butin!$J$15:$J$24,MATCH($A13,Éléments!$C$5:$C$14,1))+INDEX(Butin!$K$15:$K$24,MATCH($A13,Éléments!$C$5:$C$14,1))),"—")</f>
        <v>—</v>
      </c>
      <c r="AC13" s="74" t="str">
        <f aca="false">IF(G13="Oui",AA13*INDEX(Butin!$J$15:$J$24,MATCH($A13,Éléments!$C$5:$C$14,1)),"—")</f>
        <v>—</v>
      </c>
      <c r="AD13" s="33" t="str">
        <f aca="false">IF(G13&lt;&gt;"Oui","—",IF(INDEX(Butin!$K$15:$K$24,MATCH($A13,Éléments!$C$5:$C$14,1))=0,"Aucun",ROUND(1/(AA13*INDEX(Butin!$K$15:$K$24,MATCH($A13,Éléments!$C$5:$C$14,1))),1)))</f>
        <v>—</v>
      </c>
    </row>
    <row r="14" customFormat="false" ht="15" hidden="false" customHeight="true" outlineLevel="0" collapsed="false">
      <c r="A14" s="71" t="n">
        <v>30</v>
      </c>
      <c r="B14" s="34" t="s">
        <v>466</v>
      </c>
      <c r="C14" s="23" t="s">
        <v>88</v>
      </c>
      <c r="D14" s="23" t="str">
        <f aca="false" t="array" ref="D14:D14">INDEX(Éléments!$B$5:$B$14,MATCH(A14,Éléments!$C$5:$C$14,1))</f>
        <v>Volcan</v>
      </c>
      <c r="E14" s="42" t="str">
        <f aca="false" t="array" ref="E14:E14">INDEX(Éléments!$A$5:$A$14,MATCH(A14,Éléments!$C$5:$C$14,1))</f>
        <v>Feu</v>
      </c>
      <c r="F14" s="22" t="s">
        <v>467</v>
      </c>
      <c r="G14" s="23" t="str">
        <f aca="false">IF(C14="Zone","Oui","Non")</f>
        <v>Oui</v>
      </c>
      <c r="H14" s="27" t="n">
        <f aca="false">IF(G14="Oui",A14,"—")</f>
        <v>30</v>
      </c>
      <c r="I14" s="27" t="n">
        <f aca="false">IF(G14="Oui",A14,"—")</f>
        <v>30</v>
      </c>
      <c r="J14" s="27" t="n">
        <f aca="false">IF(G14="Oui",A14+Paramètres!$B$43,"—")</f>
        <v>40</v>
      </c>
      <c r="K14" s="72" t="n">
        <f aca="false">COUNTIFS(Monstres!$B$7:$B$98,A14,Monstres!$G$7:$G$98,"Non")</f>
        <v>3</v>
      </c>
      <c r="L14" s="22" t="str">
        <f aca="false" t="array" ref="L14:L14">INDEX(Monstres!$F$7:$F$98,MATCH(A14&amp;"|B",Monstres!$AW$7:$AW$98,0))</f>
        <v>Ifrit</v>
      </c>
      <c r="M14" s="37" t="n">
        <f aca="false">IFERROR(AVERAGEIFS(Monstres!$AB$7:$AB$98,Monstres!$B$7:$B$98,A14,Monstres!$G$7:$G$98,"Non"),"—")</f>
        <v>1.67666666666667</v>
      </c>
      <c r="N14" s="73" t="n">
        <f aca="false">IFERROR(AVERAGEIFS(Monstres!$AA$7:$AA$98,Monstres!$B$7:$B$98,A14,Monstres!$G$7:$G$98,"Non"),"—")</f>
        <v>0.0152666666666667</v>
      </c>
      <c r="O14" s="37" t="n">
        <f aca="false">IFERROR(AVERAGEIFS(Monstres!$AC$7:$AC$98,Monstres!$B$7:$B$98,A14,Monstres!$G$7:$G$98,"Non"),"—")</f>
        <v>0.9</v>
      </c>
      <c r="P14" s="33" t="n">
        <f aca="false" t="array" ref="P14:P14">INDEX(Monstres!$AB$7:$AB$98,MATCH(A14&amp;"|B",Monstres!$AW$7:$AW$98,0))</f>
        <v>8.4</v>
      </c>
      <c r="Q14" s="73" t="n">
        <f aca="false" t="array" ref="Q14:Q14">INDEX(Monstres!$AA$7:$AA$98,MATCH(A14&amp;"|B",Monstres!$AW$7:$AW$98,0))</f>
        <v>0.0375</v>
      </c>
      <c r="R14" s="33" t="n">
        <f aca="false" t="array" ref="R14:R14">INDEX(Monstres!$AC$7:$AC$98,MATCH(A14&amp;"|B",Monstres!$AW$7:$AW$98,0))</f>
        <v>8</v>
      </c>
      <c r="S14" s="33" t="n">
        <f aca="false">IF(G14="Oui",(I14+J14)/2,"—")</f>
        <v>35</v>
      </c>
      <c r="T14" s="29" t="n">
        <f aca="false">IF(G14="Oui",ROUND(O14*ROUND(Paramètres!$B$49*S14^Paramètres!$B$50,0),0),"—")</f>
        <v>460</v>
      </c>
      <c r="U14" s="29" t="n">
        <f aca="false">IF(G14="Oui",ROUND(O14*ROUND(Paramètres!$B$53*S14^Paramètres!$B$54,0),0),"—")</f>
        <v>328</v>
      </c>
      <c r="V14" s="33" t="n">
        <f aca="false">IF(G14="Oui",M14*(1-Paramètres!$B$46)*Paramètres!$B$45+Paramètres!$B$47/Paramètres!$B$39,"—")</f>
        <v>7.62083333333333</v>
      </c>
      <c r="W14" s="29" t="n">
        <f aca="false">IF(G14="Oui",3600/V14,"—")</f>
        <v>472.389283761618</v>
      </c>
      <c r="X14" s="29" t="n">
        <f aca="false">IF(G14="Oui",W14*T14,"—")</f>
        <v>217299.070530344</v>
      </c>
      <c r="Y14" s="29" t="n">
        <f aca="false">IF(G14="Oui",W14*U14,"—")</f>
        <v>154943.685073811</v>
      </c>
      <c r="Z14" s="32" t="n">
        <f aca="false">IF(G14="Oui",AVERAGEIFS(Monstres!$AL$7:$AL$98,Monstres!$B$7:$B$98,A14,Monstres!$G$7:$G$98,"Non"),"—")</f>
        <v>0.0433333333333333</v>
      </c>
      <c r="AA14" s="33" t="n">
        <f aca="false">IF(G14="Oui",W14*Z14,"—")</f>
        <v>20.4702022963368</v>
      </c>
      <c r="AB14" s="37" t="n">
        <f aca="false">IF(G14="Oui",AA14*(INDEX(Butin!$H$15:$H$24,MATCH($A14,Éléments!$C$5:$C$14,1))+INDEX(Butin!$I$15:$I$24,MATCH($A14,Éléments!$C$5:$C$14,1))+INDEX(Butin!$J$15:$J$24,MATCH($A14,Éléments!$C$5:$C$14,1))+INDEX(Butin!$K$15:$K$24,MATCH($A14,Éléments!$C$5:$C$14,1))),"—")</f>
        <v>0.614106068890104</v>
      </c>
      <c r="AC14" s="74" t="n">
        <f aca="false">IF(G14="Oui",AA14*INDEX(Butin!$J$15:$J$24,MATCH($A14,Éléments!$C$5:$C$14,1)),"—")</f>
        <v>0</v>
      </c>
      <c r="AD14" s="33" t="str">
        <f aca="false">IF(G14&lt;&gt;"Oui","—",IF(INDEX(Butin!$K$15:$K$24,MATCH($A14,Éléments!$C$5:$C$14,1))=0,"Aucun",ROUND(1/(AA14*INDEX(Butin!$K$15:$K$24,MATCH($A14,Éléments!$C$5:$C$14,1))),1)))</f>
        <v>Aucun</v>
      </c>
    </row>
    <row r="15" customFormat="false" ht="15" hidden="false" customHeight="true" outlineLevel="0" collapsed="false">
      <c r="A15" s="71" t="n">
        <v>35</v>
      </c>
      <c r="B15" s="34" t="s">
        <v>468</v>
      </c>
      <c r="C15" s="23" t="s">
        <v>88</v>
      </c>
      <c r="D15" s="23" t="str">
        <f aca="false" t="array" ref="D15:D15">INDEX(Éléments!$B$5:$B$14,MATCH(A15,Éléments!$C$5:$C$14,1))</f>
        <v>Désert</v>
      </c>
      <c r="E15" s="43" t="str">
        <f aca="false" t="array" ref="E15:E15">INDEX(Éléments!$A$5:$A$14,MATCH(A15,Éléments!$C$5:$C$14,1))</f>
        <v>Vent</v>
      </c>
      <c r="F15" s="22" t="s">
        <v>469</v>
      </c>
      <c r="G15" s="23" t="str">
        <f aca="false">IF(C15="Zone","Oui","Non")</f>
        <v>Oui</v>
      </c>
      <c r="H15" s="27" t="n">
        <f aca="false">IF(G15="Oui",A15,"—")</f>
        <v>35</v>
      </c>
      <c r="I15" s="27" t="n">
        <f aca="false">IF(G15="Oui",A15,"—")</f>
        <v>35</v>
      </c>
      <c r="J15" s="27" t="n">
        <f aca="false">IF(G15="Oui",A15+Paramètres!$B$43,"—")</f>
        <v>45</v>
      </c>
      <c r="K15" s="72" t="n">
        <f aca="false">COUNTIFS(Monstres!$B$7:$B$98,A15,Monstres!$G$7:$G$98,"Non")</f>
        <v>3</v>
      </c>
      <c r="L15" s="22" t="str">
        <f aca="false" t="array" ref="L15:L15">INDEX(Monstres!$F$7:$F$98,MATCH(A15&amp;"|B",Monstres!$AW$7:$AW$98,0))</f>
        <v>Ver des sables</v>
      </c>
      <c r="M15" s="37" t="n">
        <f aca="false">IFERROR(AVERAGEIFS(Monstres!$AB$7:$AB$98,Monstres!$B$7:$B$98,A15,Monstres!$G$7:$G$98,"Non"),"—")</f>
        <v>1.43333333333333</v>
      </c>
      <c r="N15" s="73" t="n">
        <f aca="false">IFERROR(AVERAGEIFS(Monstres!$AA$7:$AA$98,Monstres!$B$7:$B$98,A15,Monstres!$G$7:$G$98,"Non"),"—")</f>
        <v>0.0185333333333333</v>
      </c>
      <c r="O15" s="37" t="n">
        <f aca="false">IFERROR(AVERAGEIFS(Monstres!$AC$7:$AC$98,Monstres!$B$7:$B$98,A15,Monstres!$G$7:$G$98,"Non"),"—")</f>
        <v>1</v>
      </c>
      <c r="P15" s="33" t="n">
        <f aca="false" t="array" ref="P15:P15">INDEX(Monstres!$AB$7:$AB$98,MATCH(A15&amp;"|B",Monstres!$AW$7:$AW$98,0))</f>
        <v>18</v>
      </c>
      <c r="Q15" s="73" t="n">
        <f aca="false" t="array" ref="Q15:Q15">INDEX(Monstres!$AA$7:$AA$98,MATCH(A15&amp;"|B",Monstres!$AW$7:$AW$98,0))</f>
        <v>0.0285</v>
      </c>
      <c r="R15" s="33" t="n">
        <f aca="false" t="array" ref="R15:R15">INDEX(Monstres!$AC$7:$AC$98,MATCH(A15&amp;"|B",Monstres!$AW$7:$AW$98,0))</f>
        <v>8</v>
      </c>
      <c r="S15" s="33" t="n">
        <f aca="false">IF(G15="Oui",(I15+J15)/2,"—")</f>
        <v>40</v>
      </c>
      <c r="T15" s="29" t="n">
        <f aca="false">IF(G15="Oui",ROUND(O15*ROUND(Paramètres!$B$49*S15^Paramètres!$B$50,0),0),"—")</f>
        <v>604</v>
      </c>
      <c r="U15" s="29" t="n">
        <f aca="false">IF(G15="Oui",ROUND(O15*ROUND(Paramètres!$B$53*S15^Paramètres!$B$54,0),0),"—")</f>
        <v>436</v>
      </c>
      <c r="V15" s="33" t="n">
        <f aca="false">IF(G15="Oui",M15*(1-Paramètres!$B$46)*Paramètres!$B$45+Paramètres!$B$47/Paramètres!$B$39,"—")</f>
        <v>6.70833333333333</v>
      </c>
      <c r="W15" s="29" t="n">
        <f aca="false">IF(G15="Oui",3600/V15,"—")</f>
        <v>536.645962732919</v>
      </c>
      <c r="X15" s="29" t="n">
        <f aca="false">IF(G15="Oui",W15*T15,"—")</f>
        <v>324134.161490683</v>
      </c>
      <c r="Y15" s="29" t="n">
        <f aca="false">IF(G15="Oui",W15*U15,"—")</f>
        <v>233977.639751553</v>
      </c>
      <c r="Z15" s="32" t="n">
        <f aca="false">IF(G15="Oui",AVERAGEIFS(Monstres!$AL$7:$AL$98,Monstres!$B$7:$B$98,A15,Monstres!$G$7:$G$98,"Non"),"—")</f>
        <v>0.05</v>
      </c>
      <c r="AA15" s="33" t="n">
        <f aca="false">IF(G15="Oui",W15*Z15,"—")</f>
        <v>26.832298136646</v>
      </c>
      <c r="AB15" s="37" t="n">
        <f aca="false">IF(G15="Oui",AA15*(INDEX(Butin!$H$15:$H$24,MATCH($A15,Éléments!$C$5:$C$14,1))+INDEX(Butin!$I$15:$I$24,MATCH($A15,Éléments!$C$5:$C$14,1))+INDEX(Butin!$J$15:$J$24,MATCH($A15,Éléments!$C$5:$C$14,1))+INDEX(Butin!$K$15:$K$24,MATCH($A15,Éléments!$C$5:$C$14,1))),"—")</f>
        <v>1.87826086956522</v>
      </c>
      <c r="AC15" s="74" t="n">
        <f aca="false">IF(G15="Oui",AA15*INDEX(Butin!$J$15:$J$24,MATCH($A15,Éléments!$C$5:$C$14,1)),"—")</f>
        <v>0</v>
      </c>
      <c r="AD15" s="33" t="str">
        <f aca="false">IF(G15&lt;&gt;"Oui","—",IF(INDEX(Butin!$K$15:$K$24,MATCH($A15,Éléments!$C$5:$C$14,1))=0,"Aucun",ROUND(1/(AA15*INDEX(Butin!$K$15:$K$24,MATCH($A15,Éléments!$C$5:$C$14,1))),1)))</f>
        <v>Aucun</v>
      </c>
    </row>
    <row r="16" customFormat="false" ht="15" hidden="false" customHeight="true" outlineLevel="0" collapsed="false">
      <c r="A16" s="71" t="n">
        <v>39</v>
      </c>
      <c r="B16" s="34" t="s">
        <v>470</v>
      </c>
      <c r="C16" s="23" t="s">
        <v>452</v>
      </c>
      <c r="D16" s="23" t="str">
        <f aca="false" t="array" ref="D16:D16">INDEX(Éléments!$B$5:$B$14,MATCH(A16,Éléments!$C$5:$C$14,1))</f>
        <v>Désert</v>
      </c>
      <c r="E16" s="43" t="str">
        <f aca="false" t="array" ref="E16:E16">INDEX(Éléments!$A$5:$A$14,MATCH(A16,Éléments!$C$5:$C$14,1))</f>
        <v>Vent</v>
      </c>
      <c r="F16" s="22" t="s">
        <v>471</v>
      </c>
      <c r="G16" s="23" t="str">
        <f aca="false">IF(C16="Zone","Oui","Non")</f>
        <v>Non</v>
      </c>
      <c r="H16" s="27" t="str">
        <f aca="false">IF(G16="Oui",A16,"—")</f>
        <v>—</v>
      </c>
      <c r="I16" s="27" t="str">
        <f aca="false">IF(G16="Oui",A16,"—")</f>
        <v>—</v>
      </c>
      <c r="J16" s="27" t="str">
        <f aca="false">IF(G16="Oui",A16+Paramètres!$B$43,"—")</f>
        <v>—</v>
      </c>
      <c r="K16" s="72" t="n">
        <f aca="false">COUNTIFS(Monstres!$B$7:$B$98,A16,Monstres!$G$7:$G$98,"Non")</f>
        <v>0</v>
      </c>
      <c r="L16" s="22" t="str">
        <f aca="false" t="array" ref="L16:L16">INDEX(Monstres!$F$7:$F$98,MATCH(A16&amp;"|B",Monstres!$AW$7:$AW$98,0))</f>
        <v>Dragon (Vent)</v>
      </c>
      <c r="M16" s="37" t="str">
        <f aca="false">IFERROR(AVERAGEIFS(Monstres!$AB$7:$AB$98,Monstres!$B$7:$B$98,A16,Monstres!$G$7:$G$98,"Non"),"—")</f>
        <v>—</v>
      </c>
      <c r="N16" s="73" t="str">
        <f aca="false">IFERROR(AVERAGEIFS(Monstres!$AA$7:$AA$98,Monstres!$B$7:$B$98,A16,Monstres!$G$7:$G$98,"Non"),"—")</f>
        <v>—</v>
      </c>
      <c r="O16" s="37" t="str">
        <f aca="false">IFERROR(AVERAGEIFS(Monstres!$AC$7:$AC$98,Monstres!$B$7:$B$98,A16,Monstres!$G$7:$G$98,"Non"),"—")</f>
        <v>—</v>
      </c>
      <c r="P16" s="33" t="n">
        <f aca="false" t="array" ref="P16:P16">INDEX(Monstres!$AB$7:$AB$98,MATCH(A16&amp;"|B",Monstres!$AW$7:$AW$98,0))</f>
        <v>20</v>
      </c>
      <c r="Q16" s="73" t="n">
        <f aca="false" t="array" ref="Q16:Q16">INDEX(Monstres!$AA$7:$AA$98,MATCH(A16&amp;"|B",Monstres!$AW$7:$AW$98,0))</f>
        <v>0.03</v>
      </c>
      <c r="R16" s="33" t="n">
        <f aca="false" t="array" ref="R16:R16">INDEX(Monstres!$AC$7:$AC$98,MATCH(A16&amp;"|B",Monstres!$AW$7:$AW$98,0))</f>
        <v>12</v>
      </c>
      <c r="S16" s="33" t="str">
        <f aca="false">IF(G16="Oui",(I16+J16)/2,"—")</f>
        <v>—</v>
      </c>
      <c r="T16" s="29" t="str">
        <f aca="false">IF(G16="Oui",ROUND(O16*ROUND(Paramètres!$B$49*S16^Paramètres!$B$50,0),0),"—")</f>
        <v>—</v>
      </c>
      <c r="U16" s="29" t="str">
        <f aca="false">IF(G16="Oui",ROUND(O16*ROUND(Paramètres!$B$53*S16^Paramètres!$B$54,0),0),"—")</f>
        <v>—</v>
      </c>
      <c r="V16" s="33" t="str">
        <f aca="false">IF(G16="Oui",M16*(1-Paramètres!$B$46)*Paramètres!$B$45+Paramètres!$B$47/Paramètres!$B$39,"—")</f>
        <v>—</v>
      </c>
      <c r="W16" s="29" t="str">
        <f aca="false">IF(G16="Oui",3600/V16,"—")</f>
        <v>—</v>
      </c>
      <c r="X16" s="29" t="str">
        <f aca="false">IF(G16="Oui",W16*T16,"—")</f>
        <v>—</v>
      </c>
      <c r="Y16" s="29" t="str">
        <f aca="false">IF(G16="Oui",W16*U16,"—")</f>
        <v>—</v>
      </c>
      <c r="Z16" s="32" t="str">
        <f aca="false">IF(G16="Oui",AVERAGEIFS(Monstres!$AL$7:$AL$98,Monstres!$B$7:$B$98,A16,Monstres!$G$7:$G$98,"Non"),"—")</f>
        <v>—</v>
      </c>
      <c r="AA16" s="33" t="str">
        <f aca="false">IF(G16="Oui",W16*Z16,"—")</f>
        <v>—</v>
      </c>
      <c r="AB16" s="37" t="str">
        <f aca="false">IF(G16="Oui",AA16*(INDEX(Butin!$H$15:$H$24,MATCH($A16,Éléments!$C$5:$C$14,1))+INDEX(Butin!$I$15:$I$24,MATCH($A16,Éléments!$C$5:$C$14,1))+INDEX(Butin!$J$15:$J$24,MATCH($A16,Éléments!$C$5:$C$14,1))+INDEX(Butin!$K$15:$K$24,MATCH($A16,Éléments!$C$5:$C$14,1))),"—")</f>
        <v>—</v>
      </c>
      <c r="AC16" s="74" t="str">
        <f aca="false">IF(G16="Oui",AA16*INDEX(Butin!$J$15:$J$24,MATCH($A16,Éléments!$C$5:$C$14,1)),"—")</f>
        <v>—</v>
      </c>
      <c r="AD16" s="33" t="str">
        <f aca="false">IF(G16&lt;&gt;"Oui","—",IF(INDEX(Butin!$K$15:$K$24,MATCH($A16,Éléments!$C$5:$C$14,1))=0,"Aucun",ROUND(1/(AA16*INDEX(Butin!$K$15:$K$24,MATCH($A16,Éléments!$C$5:$C$14,1))),1)))</f>
        <v>—</v>
      </c>
    </row>
    <row r="17" customFormat="false" ht="15" hidden="false" customHeight="true" outlineLevel="0" collapsed="false">
      <c r="A17" s="71" t="n">
        <v>40</v>
      </c>
      <c r="B17" s="34" t="s">
        <v>472</v>
      </c>
      <c r="C17" s="23" t="s">
        <v>88</v>
      </c>
      <c r="D17" s="23" t="str">
        <f aca="false" t="array" ref="D17:D17">INDEX(Éléments!$B$5:$B$14,MATCH(A17,Éléments!$C$5:$C$14,1))</f>
        <v>Désert</v>
      </c>
      <c r="E17" s="43" t="str">
        <f aca="false" t="array" ref="E17:E17">INDEX(Éléments!$A$5:$A$14,MATCH(A17,Éléments!$C$5:$C$14,1))</f>
        <v>Vent</v>
      </c>
      <c r="F17" s="22" t="s">
        <v>473</v>
      </c>
      <c r="G17" s="23" t="str">
        <f aca="false">IF(C17="Zone","Oui","Non")</f>
        <v>Oui</v>
      </c>
      <c r="H17" s="27" t="n">
        <f aca="false">IF(G17="Oui",A17,"—")</f>
        <v>40</v>
      </c>
      <c r="I17" s="27" t="n">
        <f aca="false">IF(G17="Oui",A17,"—")</f>
        <v>40</v>
      </c>
      <c r="J17" s="27" t="n">
        <f aca="false">IF(G17="Oui",A17+Paramètres!$B$43,"—")</f>
        <v>50</v>
      </c>
      <c r="K17" s="72" t="n">
        <f aca="false">COUNTIFS(Monstres!$B$7:$B$98,A17,Monstres!$G$7:$G$98,"Non")</f>
        <v>3</v>
      </c>
      <c r="L17" s="22" t="str">
        <f aca="false" t="array" ref="L17:L17">INDEX(Monstres!$F$7:$F$98,MATCH(A17&amp;"|B",Monstres!$AW$7:$AW$98,0))</f>
        <v>Anubis</v>
      </c>
      <c r="M17" s="37" t="n">
        <f aca="false">IFERROR(AVERAGEIFS(Monstres!$AB$7:$AB$98,Monstres!$B$7:$B$98,A17,Monstres!$G$7:$G$98,"Non"),"—")</f>
        <v>2.66666666666667</v>
      </c>
      <c r="N17" s="73" t="n">
        <f aca="false">IFERROR(AVERAGEIFS(Monstres!$AA$7:$AA$98,Monstres!$B$7:$B$98,A17,Monstres!$G$7:$G$98,"Non"),"—")</f>
        <v>0.0170333333333333</v>
      </c>
      <c r="O17" s="37" t="n">
        <f aca="false">IFERROR(AVERAGEIFS(Monstres!$AC$7:$AC$98,Monstres!$B$7:$B$98,A17,Monstres!$G$7:$G$98,"Non"),"—")</f>
        <v>1.13333333333333</v>
      </c>
      <c r="P17" s="33" t="n">
        <f aca="false" t="array" ref="P17:P17">INDEX(Monstres!$AB$7:$AB$98,MATCH(A17&amp;"|B",Monstres!$AW$7:$AW$98,0))</f>
        <v>13.8</v>
      </c>
      <c r="Q17" s="73" t="n">
        <f aca="false" t="array" ref="Q17:Q17">INDEX(Monstres!$AA$7:$AA$98,MATCH(A17&amp;"|B",Monstres!$AW$7:$AW$98,0))</f>
        <v>0.03</v>
      </c>
      <c r="R17" s="33" t="n">
        <f aca="false" t="array" ref="R17:R17">INDEX(Monstres!$AC$7:$AC$98,MATCH(A17&amp;"|B",Monstres!$AW$7:$AW$98,0))</f>
        <v>8</v>
      </c>
      <c r="S17" s="33" t="n">
        <f aca="false">IF(G17="Oui",(I17+J17)/2,"—")</f>
        <v>45</v>
      </c>
      <c r="T17" s="29" t="n">
        <f aca="false">IF(G17="Oui",ROUND(O17*ROUND(Paramètres!$B$49*S17^Paramètres!$B$50,0),0),"—")</f>
        <v>792</v>
      </c>
      <c r="U17" s="29" t="n">
        <f aca="false">IF(G17="Oui",ROUND(O17*ROUND(Paramètres!$B$53*S17^Paramètres!$B$54,0),0),"—")</f>
        <v>580</v>
      </c>
      <c r="V17" s="33" t="n">
        <f aca="false">IF(G17="Oui",M17*(1-Paramètres!$B$46)*Paramètres!$B$45+Paramètres!$B$47/Paramètres!$B$39,"—")</f>
        <v>11.3333333333333</v>
      </c>
      <c r="W17" s="29" t="n">
        <f aca="false">IF(G17="Oui",3600/V17,"—")</f>
        <v>317.647058823529</v>
      </c>
      <c r="X17" s="29" t="n">
        <f aca="false">IF(G17="Oui",W17*T17,"—")</f>
        <v>251576.470588235</v>
      </c>
      <c r="Y17" s="29" t="n">
        <f aca="false">IF(G17="Oui",W17*U17,"—")</f>
        <v>184235.294117647</v>
      </c>
      <c r="Z17" s="32" t="n">
        <f aca="false">IF(G17="Oui",AVERAGEIFS(Monstres!$AL$7:$AL$98,Monstres!$B$7:$B$98,A17,Monstres!$G$7:$G$98,"Non"),"—")</f>
        <v>0.06</v>
      </c>
      <c r="AA17" s="33" t="n">
        <f aca="false">IF(G17="Oui",W17*Z17,"—")</f>
        <v>19.0588235294118</v>
      </c>
      <c r="AB17" s="37" t="n">
        <f aca="false">IF(G17="Oui",AA17*(INDEX(Butin!$H$15:$H$24,MATCH($A17,Éléments!$C$5:$C$14,1))+INDEX(Butin!$I$15:$I$24,MATCH($A17,Éléments!$C$5:$C$14,1))+INDEX(Butin!$J$15:$J$24,MATCH($A17,Éléments!$C$5:$C$14,1))+INDEX(Butin!$K$15:$K$24,MATCH($A17,Éléments!$C$5:$C$14,1))),"—")</f>
        <v>1.33411764705882</v>
      </c>
      <c r="AC17" s="74" t="n">
        <f aca="false">IF(G17="Oui",AA17*INDEX(Butin!$J$15:$J$24,MATCH($A17,Éléments!$C$5:$C$14,1)),"—")</f>
        <v>0</v>
      </c>
      <c r="AD17" s="33" t="str">
        <f aca="false">IF(G17&lt;&gt;"Oui","—",IF(INDEX(Butin!$K$15:$K$24,MATCH($A17,Éléments!$C$5:$C$14,1))=0,"Aucun",ROUND(1/(AA17*INDEX(Butin!$K$15:$K$24,MATCH($A17,Éléments!$C$5:$C$14,1))),1)))</f>
        <v>Aucun</v>
      </c>
    </row>
    <row r="18" customFormat="false" ht="15" hidden="false" customHeight="true" outlineLevel="0" collapsed="false">
      <c r="A18" s="71" t="n">
        <v>45</v>
      </c>
      <c r="B18" s="34" t="s">
        <v>474</v>
      </c>
      <c r="C18" s="23" t="s">
        <v>88</v>
      </c>
      <c r="D18" s="23" t="str">
        <f aca="false" t="array" ref="D18:D18">INDEX(Éléments!$B$5:$B$14,MATCH(A18,Éléments!$C$5:$C$14,1))</f>
        <v>Marais</v>
      </c>
      <c r="E18" s="44" t="str">
        <f aca="false" t="array" ref="E18:E18">INDEX(Éléments!$A$5:$A$14,MATCH(A18,Éléments!$C$5:$C$14,1))</f>
        <v>Acide</v>
      </c>
      <c r="F18" s="22" t="s">
        <v>475</v>
      </c>
      <c r="G18" s="23" t="str">
        <f aca="false">IF(C18="Zone","Oui","Non")</f>
        <v>Oui</v>
      </c>
      <c r="H18" s="27" t="n">
        <f aca="false">IF(G18="Oui",A18,"—")</f>
        <v>45</v>
      </c>
      <c r="I18" s="27" t="n">
        <f aca="false">IF(G18="Oui",A18,"—")</f>
        <v>45</v>
      </c>
      <c r="J18" s="27" t="n">
        <f aca="false">IF(G18="Oui",A18+Paramètres!$B$43,"—")</f>
        <v>55</v>
      </c>
      <c r="K18" s="72" t="n">
        <f aca="false">COUNTIFS(Monstres!$B$7:$B$98,A18,Monstres!$G$7:$G$98,"Non")</f>
        <v>3</v>
      </c>
      <c r="L18" s="22" t="str">
        <f aca="false" t="array" ref="L18:L18">INDEX(Monstres!$F$7:$F$98,MATCH(A18&amp;"|B",Monstres!$AW$7:$AW$98,0))</f>
        <v>Roi slime</v>
      </c>
      <c r="M18" s="37" t="n">
        <f aca="false">IFERROR(AVERAGEIFS(Monstres!$AB$7:$AB$98,Monstres!$B$7:$B$98,A18,Monstres!$G$7:$G$98,"Non"),"—")</f>
        <v>1.89666666666667</v>
      </c>
      <c r="N18" s="73" t="n">
        <f aca="false">IFERROR(AVERAGEIFS(Monstres!$AA$7:$AA$98,Monstres!$B$7:$B$98,A18,Monstres!$G$7:$G$98,"Non"),"—")</f>
        <v>0.0156666666666667</v>
      </c>
      <c r="O18" s="37" t="n">
        <f aca="false">IFERROR(AVERAGEIFS(Monstres!$AC$7:$AC$98,Monstres!$B$7:$B$98,A18,Monstres!$G$7:$G$98,"Non"),"—")</f>
        <v>1.03333333333333</v>
      </c>
      <c r="P18" s="33" t="n">
        <f aca="false" t="array" ref="P18:P18">INDEX(Monstres!$AB$7:$AB$98,MATCH(A18&amp;"|B",Monstres!$AW$7:$AW$98,0))</f>
        <v>18</v>
      </c>
      <c r="Q18" s="73" t="n">
        <f aca="false" t="array" ref="Q18:Q18">INDEX(Monstres!$AA$7:$AA$98,MATCH(A18&amp;"|B",Monstres!$AW$7:$AW$98,0))</f>
        <v>0.0285</v>
      </c>
      <c r="R18" s="33" t="n">
        <f aca="false" t="array" ref="R18:R18">INDEX(Monstres!$AC$7:$AC$98,MATCH(A18&amp;"|B",Monstres!$AW$7:$AW$98,0))</f>
        <v>8</v>
      </c>
      <c r="S18" s="33" t="n">
        <f aca="false">IF(G18="Oui",(I18+J18)/2,"—")</f>
        <v>50</v>
      </c>
      <c r="T18" s="29" t="n">
        <f aca="false">IF(G18="Oui",ROUND(O18*ROUND(Paramètres!$B$49*S18^Paramètres!$B$50,0),0),"—")</f>
        <v>825</v>
      </c>
      <c r="U18" s="29" t="n">
        <f aca="false">IF(G18="Oui",ROUND(O18*ROUND(Paramètres!$B$53*S18^Paramètres!$B$54,0),0),"—")</f>
        <v>610</v>
      </c>
      <c r="V18" s="33" t="n">
        <f aca="false">IF(G18="Oui",M18*(1-Paramètres!$B$46)*Paramètres!$B$45+Paramètres!$B$47/Paramètres!$B$39,"—")</f>
        <v>8.44583333333334</v>
      </c>
      <c r="W18" s="29" t="n">
        <f aca="false">IF(G18="Oui",3600/V18,"—")</f>
        <v>426.245683275777</v>
      </c>
      <c r="X18" s="29" t="n">
        <f aca="false">IF(G18="Oui",W18*T18,"—")</f>
        <v>351652.688702516</v>
      </c>
      <c r="Y18" s="29" t="n">
        <f aca="false">IF(G18="Oui",W18*U18,"—")</f>
        <v>260009.866798224</v>
      </c>
      <c r="Z18" s="32" t="n">
        <f aca="false">IF(G18="Oui",AVERAGEIFS(Monstres!$AL$7:$AL$98,Monstres!$B$7:$B$98,A18,Monstres!$G$7:$G$98,"Non"),"—")</f>
        <v>0.0533333333333333</v>
      </c>
      <c r="AA18" s="33" t="n">
        <f aca="false">IF(G18="Oui",W18*Z18,"—")</f>
        <v>22.7331031080414</v>
      </c>
      <c r="AB18" s="37" t="n">
        <f aca="false">IF(G18="Oui",AA18*(INDEX(Butin!$H$15:$H$24,MATCH($A18,Éléments!$C$5:$C$14,1))+INDEX(Butin!$I$15:$I$24,MATCH($A18,Éléments!$C$5:$C$14,1))+INDEX(Butin!$J$15:$J$24,MATCH($A18,Éléments!$C$5:$C$14,1))+INDEX(Butin!$K$15:$K$24,MATCH($A18,Éléments!$C$5:$C$14,1))),"—")</f>
        <v>2.72797237296497</v>
      </c>
      <c r="AC18" s="74" t="n">
        <f aca="false">IF(G18="Oui",AA18*INDEX(Butin!$J$15:$J$24,MATCH($A18,Éléments!$C$5:$C$14,1)),"—")</f>
        <v>0</v>
      </c>
      <c r="AD18" s="33" t="n">
        <f aca="false">IF(G18&lt;&gt;"Oui","—",IF(INDEX(Butin!$K$15:$K$24,MATCH($A18,Éléments!$C$5:$C$14,1))=0,"Aucun",ROUND(1/(AA18*INDEX(Butin!$K$15:$K$24,MATCH($A18,Éléments!$C$5:$C$14,1))),1)))</f>
        <v>44</v>
      </c>
    </row>
    <row r="19" customFormat="false" ht="15" hidden="false" customHeight="true" outlineLevel="0" collapsed="false">
      <c r="A19" s="71" t="n">
        <v>49</v>
      </c>
      <c r="B19" s="34" t="s">
        <v>476</v>
      </c>
      <c r="C19" s="23" t="s">
        <v>452</v>
      </c>
      <c r="D19" s="23" t="str">
        <f aca="false" t="array" ref="D19:D19">INDEX(Éléments!$B$5:$B$14,MATCH(A19,Éléments!$C$5:$C$14,1))</f>
        <v>Marais</v>
      </c>
      <c r="E19" s="44" t="str">
        <f aca="false" t="array" ref="E19:E19">INDEX(Éléments!$A$5:$A$14,MATCH(A19,Éléments!$C$5:$C$14,1))</f>
        <v>Acide</v>
      </c>
      <c r="F19" s="22" t="s">
        <v>477</v>
      </c>
      <c r="G19" s="23" t="str">
        <f aca="false">IF(C19="Zone","Oui","Non")</f>
        <v>Non</v>
      </c>
      <c r="H19" s="27" t="str">
        <f aca="false">IF(G19="Oui",A19,"—")</f>
        <v>—</v>
      </c>
      <c r="I19" s="27" t="str">
        <f aca="false">IF(G19="Oui",A19,"—")</f>
        <v>—</v>
      </c>
      <c r="J19" s="27" t="str">
        <f aca="false">IF(G19="Oui",A19+Paramètres!$B$43,"—")</f>
        <v>—</v>
      </c>
      <c r="K19" s="72" t="n">
        <f aca="false">COUNTIFS(Monstres!$B$7:$B$98,A19,Monstres!$G$7:$G$98,"Non")</f>
        <v>0</v>
      </c>
      <c r="L19" s="22" t="str">
        <f aca="false" t="array" ref="L19:L19">INDEX(Monstres!$F$7:$F$98,MATCH(A19&amp;"|B",Monstres!$AW$7:$AW$98,0))</f>
        <v>Dragon (Acide)</v>
      </c>
      <c r="M19" s="37" t="str">
        <f aca="false">IFERROR(AVERAGEIFS(Monstres!$AB$7:$AB$98,Monstres!$B$7:$B$98,A19,Monstres!$G$7:$G$98,"Non"),"—")</f>
        <v>—</v>
      </c>
      <c r="N19" s="73" t="str">
        <f aca="false">IFERROR(AVERAGEIFS(Monstres!$AA$7:$AA$98,Monstres!$B$7:$B$98,A19,Monstres!$G$7:$G$98,"Non"),"—")</f>
        <v>—</v>
      </c>
      <c r="O19" s="37" t="str">
        <f aca="false">IFERROR(AVERAGEIFS(Monstres!$AC$7:$AC$98,Monstres!$B$7:$B$98,A19,Monstres!$G$7:$G$98,"Non"),"—")</f>
        <v>—</v>
      </c>
      <c r="P19" s="33" t="n">
        <f aca="false" t="array" ref="P19:P19">INDEX(Monstres!$AB$7:$AB$98,MATCH(A19&amp;"|B",Monstres!$AW$7:$AW$98,0))</f>
        <v>20</v>
      </c>
      <c r="Q19" s="73" t="n">
        <f aca="false" t="array" ref="Q19:Q19">INDEX(Monstres!$AA$7:$AA$98,MATCH(A19&amp;"|B",Monstres!$AW$7:$AW$98,0))</f>
        <v>0.03</v>
      </c>
      <c r="R19" s="33" t="n">
        <f aca="false" t="array" ref="R19:R19">INDEX(Monstres!$AC$7:$AC$98,MATCH(A19&amp;"|B",Monstres!$AW$7:$AW$98,0))</f>
        <v>12</v>
      </c>
      <c r="S19" s="33" t="str">
        <f aca="false">IF(G19="Oui",(I19+J19)/2,"—")</f>
        <v>—</v>
      </c>
      <c r="T19" s="29" t="str">
        <f aca="false">IF(G19="Oui",ROUND(O19*ROUND(Paramètres!$B$49*S19^Paramètres!$B$50,0),0),"—")</f>
        <v>—</v>
      </c>
      <c r="U19" s="29" t="str">
        <f aca="false">IF(G19="Oui",ROUND(O19*ROUND(Paramètres!$B$53*S19^Paramètres!$B$54,0),0),"—")</f>
        <v>—</v>
      </c>
      <c r="V19" s="33" t="str">
        <f aca="false">IF(G19="Oui",M19*(1-Paramètres!$B$46)*Paramètres!$B$45+Paramètres!$B$47/Paramètres!$B$39,"—")</f>
        <v>—</v>
      </c>
      <c r="W19" s="29" t="str">
        <f aca="false">IF(G19="Oui",3600/V19,"—")</f>
        <v>—</v>
      </c>
      <c r="X19" s="29" t="str">
        <f aca="false">IF(G19="Oui",W19*T19,"—")</f>
        <v>—</v>
      </c>
      <c r="Y19" s="29" t="str">
        <f aca="false">IF(G19="Oui",W19*U19,"—")</f>
        <v>—</v>
      </c>
      <c r="Z19" s="32" t="str">
        <f aca="false">IF(G19="Oui",AVERAGEIFS(Monstres!$AL$7:$AL$98,Monstres!$B$7:$B$98,A19,Monstres!$G$7:$G$98,"Non"),"—")</f>
        <v>—</v>
      </c>
      <c r="AA19" s="33" t="str">
        <f aca="false">IF(G19="Oui",W19*Z19,"—")</f>
        <v>—</v>
      </c>
      <c r="AB19" s="37" t="str">
        <f aca="false">IF(G19="Oui",AA19*(INDEX(Butin!$H$15:$H$24,MATCH($A19,Éléments!$C$5:$C$14,1))+INDEX(Butin!$I$15:$I$24,MATCH($A19,Éléments!$C$5:$C$14,1))+INDEX(Butin!$J$15:$J$24,MATCH($A19,Éléments!$C$5:$C$14,1))+INDEX(Butin!$K$15:$K$24,MATCH($A19,Éléments!$C$5:$C$14,1))),"—")</f>
        <v>—</v>
      </c>
      <c r="AC19" s="74" t="str">
        <f aca="false">IF(G19="Oui",AA19*INDEX(Butin!$J$15:$J$24,MATCH($A19,Éléments!$C$5:$C$14,1)),"—")</f>
        <v>—</v>
      </c>
      <c r="AD19" s="33" t="str">
        <f aca="false">IF(G19&lt;&gt;"Oui","—",IF(INDEX(Butin!$K$15:$K$24,MATCH($A19,Éléments!$C$5:$C$14,1))=0,"Aucun",ROUND(1/(AA19*INDEX(Butin!$K$15:$K$24,MATCH($A19,Éléments!$C$5:$C$14,1))),1)))</f>
        <v>—</v>
      </c>
    </row>
    <row r="20" customFormat="false" ht="15" hidden="false" customHeight="true" outlineLevel="0" collapsed="false">
      <c r="A20" s="71" t="n">
        <v>50</v>
      </c>
      <c r="B20" s="34" t="s">
        <v>478</v>
      </c>
      <c r="C20" s="23" t="s">
        <v>88</v>
      </c>
      <c r="D20" s="23" t="str">
        <f aca="false" t="array" ref="D20:D20">INDEX(Éléments!$B$5:$B$14,MATCH(A20,Éléments!$C$5:$C$14,1))</f>
        <v>Marais</v>
      </c>
      <c r="E20" s="44" t="str">
        <f aca="false" t="array" ref="E20:E20">INDEX(Éléments!$A$5:$A$14,MATCH(A20,Éléments!$C$5:$C$14,1))</f>
        <v>Acide</v>
      </c>
      <c r="F20" s="22" t="s">
        <v>479</v>
      </c>
      <c r="G20" s="23" t="str">
        <f aca="false">IF(C20="Zone","Oui","Non")</f>
        <v>Oui</v>
      </c>
      <c r="H20" s="27" t="n">
        <f aca="false">IF(G20="Oui",A20,"—")</f>
        <v>50</v>
      </c>
      <c r="I20" s="27" t="n">
        <f aca="false">IF(G20="Oui",A20,"—")</f>
        <v>50</v>
      </c>
      <c r="J20" s="27" t="n">
        <f aca="false">IF(G20="Oui",A20+Paramètres!$B$43,"—")</f>
        <v>60</v>
      </c>
      <c r="K20" s="72" t="n">
        <f aca="false">COUNTIFS(Monstres!$B$7:$B$98,A20,Monstres!$G$7:$G$98,"Non")</f>
        <v>3</v>
      </c>
      <c r="L20" s="22" t="str">
        <f aca="false" t="array" ref="L20:L20">INDEX(Monstres!$F$7:$F$98,MATCH(A20&amp;"|B",Monstres!$AW$7:$AW$98,0))</f>
        <v>Nurgol le zombie</v>
      </c>
      <c r="M20" s="37" t="n">
        <f aca="false">IFERROR(AVERAGEIFS(Monstres!$AB$7:$AB$98,Monstres!$B$7:$B$98,A20,Monstres!$G$7:$G$98,"Non"),"—")</f>
        <v>2.9</v>
      </c>
      <c r="N20" s="73" t="n">
        <f aca="false">IFERROR(AVERAGEIFS(Monstres!$AA$7:$AA$98,Monstres!$B$7:$B$98,A20,Monstres!$G$7:$G$98,"Non"),"—")</f>
        <v>0.0168</v>
      </c>
      <c r="O20" s="37" t="n">
        <f aca="false">IFERROR(AVERAGEIFS(Monstres!$AC$7:$AC$98,Monstres!$B$7:$B$98,A20,Monstres!$G$7:$G$98,"Non"),"—")</f>
        <v>1.13333333333333</v>
      </c>
      <c r="P20" s="33" t="n">
        <f aca="false" t="array" ref="P20:P20">INDEX(Monstres!$AB$7:$AB$98,MATCH(A20&amp;"|B",Monstres!$AW$7:$AW$98,0))</f>
        <v>18</v>
      </c>
      <c r="Q20" s="73" t="n">
        <f aca="false" t="array" ref="Q20:Q20">INDEX(Monstres!$AA$7:$AA$98,MATCH(A20&amp;"|B",Monstres!$AW$7:$AW$98,0))</f>
        <v>0.0285</v>
      </c>
      <c r="R20" s="33" t="n">
        <f aca="false" t="array" ref="R20:R20">INDEX(Monstres!$AC$7:$AC$98,MATCH(A20&amp;"|B",Monstres!$AW$7:$AW$98,0))</f>
        <v>8</v>
      </c>
      <c r="S20" s="33" t="n">
        <f aca="false">IF(G20="Oui",(I20+J20)/2,"—")</f>
        <v>55</v>
      </c>
      <c r="T20" s="29" t="n">
        <f aca="false">IF(G20="Oui",ROUND(O20*ROUND(Paramètres!$B$49*S20^Paramètres!$B$50,0),0),"—")</f>
        <v>1019</v>
      </c>
      <c r="U20" s="29" t="n">
        <f aca="false">IF(G20="Oui",ROUND(O20*ROUND(Paramètres!$B$53*S20^Paramètres!$B$54,0),0),"—")</f>
        <v>760</v>
      </c>
      <c r="V20" s="33" t="n">
        <f aca="false">IF(G20="Oui",M20*(1-Paramètres!$B$46)*Paramètres!$B$45+Paramètres!$B$47/Paramètres!$B$39,"—")</f>
        <v>12.2083333333333</v>
      </c>
      <c r="W20" s="29" t="n">
        <f aca="false">IF(G20="Oui",3600/V20,"—")</f>
        <v>294.880546075085</v>
      </c>
      <c r="X20" s="29" t="n">
        <f aca="false">IF(G20="Oui",W20*T20,"—")</f>
        <v>300483.276450512</v>
      </c>
      <c r="Y20" s="29" t="n">
        <f aca="false">IF(G20="Oui",W20*U20,"—")</f>
        <v>224109.215017065</v>
      </c>
      <c r="Z20" s="32" t="n">
        <f aca="false">IF(G20="Oui",AVERAGEIFS(Monstres!$AL$7:$AL$98,Monstres!$B$7:$B$98,A20,Monstres!$G$7:$G$98,"Non"),"—")</f>
        <v>0.06</v>
      </c>
      <c r="AA20" s="33" t="n">
        <f aca="false">IF(G20="Oui",W20*Z20,"—")</f>
        <v>17.6928327645051</v>
      </c>
      <c r="AB20" s="37" t="n">
        <f aca="false">IF(G20="Oui",AA20*(INDEX(Butin!$H$15:$H$24,MATCH($A20,Éléments!$C$5:$C$14,1))+INDEX(Butin!$I$15:$I$24,MATCH($A20,Éléments!$C$5:$C$14,1))+INDEX(Butin!$J$15:$J$24,MATCH($A20,Éléments!$C$5:$C$14,1))+INDEX(Butin!$K$15:$K$24,MATCH($A20,Éléments!$C$5:$C$14,1))),"—")</f>
        <v>2.12313993174061</v>
      </c>
      <c r="AC20" s="74" t="n">
        <f aca="false">IF(G20="Oui",AA20*INDEX(Butin!$J$15:$J$24,MATCH($A20,Éléments!$C$5:$C$14,1)),"—")</f>
        <v>0</v>
      </c>
      <c r="AD20" s="33" t="n">
        <f aca="false">IF(G20&lt;&gt;"Oui","—",IF(INDEX(Butin!$K$15:$K$24,MATCH($A20,Éléments!$C$5:$C$14,1))=0,"Aucun",ROUND(1/(AA20*INDEX(Butin!$K$15:$K$24,MATCH($A20,Éléments!$C$5:$C$14,1))),1)))</f>
        <v>56.5</v>
      </c>
    </row>
    <row r="21" customFormat="false" ht="15.75" hidden="false" customHeight="true" outlineLevel="0" collapsed="false">
      <c r="A21" s="71" t="n">
        <v>55</v>
      </c>
      <c r="B21" s="34" t="s">
        <v>480</v>
      </c>
      <c r="C21" s="23" t="s">
        <v>88</v>
      </c>
      <c r="D21" s="23" t="str">
        <f aca="false" t="array" ref="D21:D21">INDEX(Éléments!$B$5:$B$14,MATCH(A21,Éléments!$C$5:$C$14,1))</f>
        <v>Océan / Île</v>
      </c>
      <c r="E21" s="45" t="str">
        <f aca="false" t="array" ref="E21:E21">INDEX(Éléments!$A$5:$A$14,MATCH(A21,Éléments!$C$5:$C$14,1))</f>
        <v>Eau</v>
      </c>
      <c r="F21" s="22" t="s">
        <v>481</v>
      </c>
      <c r="G21" s="23" t="str">
        <f aca="false">IF(C21="Zone","Oui","Non")</f>
        <v>Oui</v>
      </c>
      <c r="H21" s="27" t="n">
        <f aca="false">IF(G21="Oui",A21,"—")</f>
        <v>55</v>
      </c>
      <c r="I21" s="27" t="n">
        <f aca="false">IF(G21="Oui",A21,"—")</f>
        <v>55</v>
      </c>
      <c r="J21" s="27" t="n">
        <f aca="false">IF(G21="Oui",A21+Paramètres!$B$43,"—")</f>
        <v>65</v>
      </c>
      <c r="K21" s="72" t="n">
        <f aca="false">COUNTIFS(Monstres!$B$7:$B$98,A21,Monstres!$G$7:$G$98,"Non")</f>
        <v>3</v>
      </c>
      <c r="L21" s="22" t="str">
        <f aca="false" t="array" ref="L21:L21">INDEX(Monstres!$F$7:$F$98,MATCH(A21&amp;"|B",Monstres!$AW$7:$AW$98,0))</f>
        <v>Kraken</v>
      </c>
      <c r="M21" s="37" t="n">
        <f aca="false">IFERROR(AVERAGEIFS(Monstres!$AB$7:$AB$98,Monstres!$B$7:$B$98,A21,Monstres!$G$7:$G$98,"Non"),"—")</f>
        <v>2.36666666666667</v>
      </c>
      <c r="N21" s="73" t="n">
        <f aca="false">IFERROR(AVERAGEIFS(Monstres!$AA$7:$AA$98,Monstres!$B$7:$B$98,A21,Monstres!$G$7:$G$98,"Non"),"—")</f>
        <v>0.0183</v>
      </c>
      <c r="O21" s="37" t="n">
        <f aca="false">IFERROR(AVERAGEIFS(Monstres!$AC$7:$AC$98,Monstres!$B$7:$B$98,A21,Monstres!$G$7:$G$98,"Non"),"—")</f>
        <v>1.13333333333333</v>
      </c>
      <c r="P21" s="33" t="n">
        <f aca="false" t="array" ref="P21:P21">INDEX(Monstres!$AB$7:$AB$98,MATCH(A21&amp;"|B",Monstres!$AW$7:$AW$98,0))</f>
        <v>18</v>
      </c>
      <c r="Q21" s="73" t="n">
        <f aca="false" t="array" ref="Q21:Q21">INDEX(Monstres!$AA$7:$AA$98,MATCH(A21&amp;"|B",Monstres!$AW$7:$AW$98,0))</f>
        <v>0.0285</v>
      </c>
      <c r="R21" s="33" t="n">
        <f aca="false" t="array" ref="R21:R21">INDEX(Monstres!$AC$7:$AC$98,MATCH(A21&amp;"|B",Monstres!$AW$7:$AW$98,0))</f>
        <v>8</v>
      </c>
      <c r="S21" s="33" t="n">
        <f aca="false">IF(G21="Oui",(I21+J21)/2,"—")</f>
        <v>60</v>
      </c>
      <c r="T21" s="29" t="n">
        <f aca="false">IF(G21="Oui",ROUND(O21*ROUND(Paramètres!$B$49*S21^Paramètres!$B$50,0),0),"—")</f>
        <v>1136</v>
      </c>
      <c r="U21" s="29" t="n">
        <f aca="false">IF(G21="Oui",ROUND(O21*ROUND(Paramètres!$B$53*S21^Paramètres!$B$54,0),0),"—")</f>
        <v>855</v>
      </c>
      <c r="V21" s="33" t="n">
        <f aca="false">IF(G21="Oui",M21*(1-Paramètres!$B$46)*Paramètres!$B$45+Paramètres!$B$47/Paramètres!$B$39,"—")</f>
        <v>10.2083333333333</v>
      </c>
      <c r="W21" s="29" t="n">
        <f aca="false">IF(G21="Oui",3600/V21,"—")</f>
        <v>352.65306122449</v>
      </c>
      <c r="X21" s="29" t="n">
        <f aca="false">IF(G21="Oui",W21*T21,"—")</f>
        <v>400613.87755102</v>
      </c>
      <c r="Y21" s="29" t="n">
        <f aca="false">IF(G21="Oui",W21*U21,"—")</f>
        <v>301518.367346939</v>
      </c>
      <c r="Z21" s="32" t="n">
        <f aca="false">IF(G21="Oui",AVERAGEIFS(Monstres!$AL$7:$AL$98,Monstres!$B$7:$B$98,A21,Monstres!$G$7:$G$98,"Non"),"—")</f>
        <v>0.06</v>
      </c>
      <c r="AA21" s="33" t="n">
        <f aca="false">IF(G21="Oui",W21*Z21,"—")</f>
        <v>21.1591836734694</v>
      </c>
      <c r="AB21" s="37" t="n">
        <f aca="false">IF(G21="Oui",AA21*(INDEX(Butin!$H$15:$H$24,MATCH($A21,Éléments!$C$5:$C$14,1))+INDEX(Butin!$I$15:$I$24,MATCH($A21,Éléments!$C$5:$C$14,1))+INDEX(Butin!$J$15:$J$24,MATCH($A21,Éléments!$C$5:$C$14,1))+INDEX(Butin!$K$15:$K$24,MATCH($A21,Éléments!$C$5:$C$14,1))),"—")</f>
        <v>3.80865306122449</v>
      </c>
      <c r="AC21" s="74" t="n">
        <f aca="false">IF(G21="Oui",AA21*INDEX(Butin!$J$15:$J$24,MATCH($A21,Éléments!$C$5:$C$14,1)),"—")</f>
        <v>0.105795918367347</v>
      </c>
      <c r="AD21" s="33" t="n">
        <f aca="false">IF(G21&lt;&gt;"Oui","—",IF(INDEX(Butin!$K$15:$K$24,MATCH($A21,Éléments!$C$5:$C$14,1))=0,"Aucun",ROUND(1/(AA21*INDEX(Butin!$K$15:$K$24,MATCH($A21,Éléments!$C$5:$C$14,1))),1)))</f>
        <v>23.6</v>
      </c>
    </row>
    <row r="22" customFormat="false" ht="15.75" hidden="false" customHeight="true" outlineLevel="0" collapsed="false">
      <c r="A22" s="71" t="n">
        <v>59</v>
      </c>
      <c r="B22" s="34" t="s">
        <v>482</v>
      </c>
      <c r="C22" s="23" t="s">
        <v>452</v>
      </c>
      <c r="D22" s="23" t="str">
        <f aca="false" t="array" ref="D22:D22">INDEX(Éléments!$B$5:$B$14,MATCH(A22,Éléments!$C$5:$C$14,1))</f>
        <v>Océan / Île</v>
      </c>
      <c r="E22" s="45" t="str">
        <f aca="false" t="array" ref="E22:E22">INDEX(Éléments!$A$5:$A$14,MATCH(A22,Éléments!$C$5:$C$14,1))</f>
        <v>Eau</v>
      </c>
      <c r="F22" s="22" t="s">
        <v>483</v>
      </c>
      <c r="G22" s="23" t="str">
        <f aca="false">IF(C22="Zone","Oui","Non")</f>
        <v>Non</v>
      </c>
      <c r="H22" s="27" t="str">
        <f aca="false">IF(G22="Oui",A22,"—")</f>
        <v>—</v>
      </c>
      <c r="I22" s="27" t="str">
        <f aca="false">IF(G22="Oui",A22,"—")</f>
        <v>—</v>
      </c>
      <c r="J22" s="27" t="str">
        <f aca="false">IF(G22="Oui",A22+Paramètres!$B$43,"—")</f>
        <v>—</v>
      </c>
      <c r="K22" s="72" t="n">
        <f aca="false">COUNTIFS(Monstres!$B$7:$B$98,A22,Monstres!$G$7:$G$98,"Non")</f>
        <v>0</v>
      </c>
      <c r="L22" s="22" t="str">
        <f aca="false" t="array" ref="L22:L22">INDEX(Monstres!$F$7:$F$98,MATCH(A22&amp;"|B",Monstres!$AW$7:$AW$98,0))</f>
        <v>Dragon (Eau)</v>
      </c>
      <c r="M22" s="37" t="str">
        <f aca="false">IFERROR(AVERAGEIFS(Monstres!$AB$7:$AB$98,Monstres!$B$7:$B$98,A22,Monstres!$G$7:$G$98,"Non"),"—")</f>
        <v>—</v>
      </c>
      <c r="N22" s="73" t="str">
        <f aca="false">IFERROR(AVERAGEIFS(Monstres!$AA$7:$AA$98,Monstres!$B$7:$B$98,A22,Monstres!$G$7:$G$98,"Non"),"—")</f>
        <v>—</v>
      </c>
      <c r="O22" s="37" t="str">
        <f aca="false">IFERROR(AVERAGEIFS(Monstres!$AC$7:$AC$98,Monstres!$B$7:$B$98,A22,Monstres!$G$7:$G$98,"Non"),"—")</f>
        <v>—</v>
      </c>
      <c r="P22" s="33" t="n">
        <f aca="false" t="array" ref="P22:P22">INDEX(Monstres!$AB$7:$AB$98,MATCH(A22&amp;"|B",Monstres!$AW$7:$AW$98,0))</f>
        <v>20</v>
      </c>
      <c r="Q22" s="73" t="n">
        <f aca="false" t="array" ref="Q22:Q22">INDEX(Monstres!$AA$7:$AA$98,MATCH(A22&amp;"|B",Monstres!$AW$7:$AW$98,0))</f>
        <v>0.03</v>
      </c>
      <c r="R22" s="33" t="n">
        <f aca="false" t="array" ref="R22:R22">INDEX(Monstres!$AC$7:$AC$98,MATCH(A22&amp;"|B",Monstres!$AW$7:$AW$98,0))</f>
        <v>12</v>
      </c>
      <c r="S22" s="33" t="str">
        <f aca="false">IF(G22="Oui",(I22+J22)/2,"—")</f>
        <v>—</v>
      </c>
      <c r="T22" s="29" t="str">
        <f aca="false">IF(G22="Oui",ROUND(O22*ROUND(Paramètres!$B$49*S22^Paramètres!$B$50,0),0),"—")</f>
        <v>—</v>
      </c>
      <c r="U22" s="29" t="str">
        <f aca="false">IF(G22="Oui",ROUND(O22*ROUND(Paramètres!$B$53*S22^Paramètres!$B$54,0),0),"—")</f>
        <v>—</v>
      </c>
      <c r="V22" s="33" t="str">
        <f aca="false">IF(G22="Oui",M22*(1-Paramètres!$B$46)*Paramètres!$B$45+Paramètres!$B$47/Paramètres!$B$39,"—")</f>
        <v>—</v>
      </c>
      <c r="W22" s="29" t="str">
        <f aca="false">IF(G22="Oui",3600/V22,"—")</f>
        <v>—</v>
      </c>
      <c r="X22" s="29" t="str">
        <f aca="false">IF(G22="Oui",W22*T22,"—")</f>
        <v>—</v>
      </c>
      <c r="Y22" s="29" t="str">
        <f aca="false">IF(G22="Oui",W22*U22,"—")</f>
        <v>—</v>
      </c>
      <c r="Z22" s="32" t="str">
        <f aca="false">IF(G22="Oui",AVERAGEIFS(Monstres!$AL$7:$AL$98,Monstres!$B$7:$B$98,A22,Monstres!$G$7:$G$98,"Non"),"—")</f>
        <v>—</v>
      </c>
      <c r="AA22" s="33" t="str">
        <f aca="false">IF(G22="Oui",W22*Z22,"—")</f>
        <v>—</v>
      </c>
      <c r="AB22" s="37" t="str">
        <f aca="false">IF(G22="Oui",AA22*(INDEX(Butin!$H$15:$H$24,MATCH($A22,Éléments!$C$5:$C$14,1))+INDEX(Butin!$I$15:$I$24,MATCH($A22,Éléments!$C$5:$C$14,1))+INDEX(Butin!$J$15:$J$24,MATCH($A22,Éléments!$C$5:$C$14,1))+INDEX(Butin!$K$15:$K$24,MATCH($A22,Éléments!$C$5:$C$14,1))),"—")</f>
        <v>—</v>
      </c>
      <c r="AC22" s="74" t="str">
        <f aca="false">IF(G22="Oui",AA22*INDEX(Butin!$J$15:$J$24,MATCH($A22,Éléments!$C$5:$C$14,1)),"—")</f>
        <v>—</v>
      </c>
      <c r="AD22" s="33" t="str">
        <f aca="false">IF(G22&lt;&gt;"Oui","—",IF(INDEX(Butin!$K$15:$K$24,MATCH($A22,Éléments!$C$5:$C$14,1))=0,"Aucun",ROUND(1/(AA22*INDEX(Butin!$K$15:$K$24,MATCH($A22,Éléments!$C$5:$C$14,1))),1)))</f>
        <v>—</v>
      </c>
    </row>
    <row r="23" customFormat="false" ht="15.75" hidden="false" customHeight="true" outlineLevel="0" collapsed="false">
      <c r="A23" s="71" t="n">
        <v>60</v>
      </c>
      <c r="B23" s="34" t="s">
        <v>484</v>
      </c>
      <c r="C23" s="23" t="s">
        <v>88</v>
      </c>
      <c r="D23" s="23" t="str">
        <f aca="false" t="array" ref="D23:D23">INDEX(Éléments!$B$5:$B$14,MATCH(A23,Éléments!$C$5:$C$14,1))</f>
        <v>Océan / Île</v>
      </c>
      <c r="E23" s="45" t="str">
        <f aca="false" t="array" ref="E23:E23">INDEX(Éléments!$A$5:$A$14,MATCH(A23,Éléments!$C$5:$C$14,1))</f>
        <v>Eau</v>
      </c>
      <c r="F23" s="22" t="s">
        <v>485</v>
      </c>
      <c r="G23" s="23" t="str">
        <f aca="false">IF(C23="Zone","Oui","Non")</f>
        <v>Oui</v>
      </c>
      <c r="H23" s="27" t="n">
        <f aca="false">IF(G23="Oui",A23,"—")</f>
        <v>60</v>
      </c>
      <c r="I23" s="27" t="n">
        <f aca="false">IF(G23="Oui",A23,"—")</f>
        <v>60</v>
      </c>
      <c r="J23" s="27" t="n">
        <f aca="false">IF(G23="Oui",A23+Paramètres!$B$43,"—")</f>
        <v>70</v>
      </c>
      <c r="K23" s="72" t="n">
        <f aca="false">COUNTIFS(Monstres!$B$7:$B$98,A23,Monstres!$G$7:$G$98,"Non")</f>
        <v>3</v>
      </c>
      <c r="L23" s="22" t="str">
        <f aca="false" t="array" ref="L23:L23">INDEX(Monstres!$F$7:$F$98,MATCH(A23&amp;"|B",Monstres!$AW$7:$AW$98,0))</f>
        <v>Roi triton</v>
      </c>
      <c r="M23" s="37" t="n">
        <f aca="false">IFERROR(AVERAGEIFS(Monstres!$AB$7:$AB$98,Monstres!$B$7:$B$98,A23,Monstres!$G$7:$G$98,"Non"),"—")</f>
        <v>1.76666666666667</v>
      </c>
      <c r="N23" s="73" t="n">
        <f aca="false">IFERROR(AVERAGEIFS(Monstres!$AA$7:$AA$98,Monstres!$B$7:$B$98,A23,Monstres!$G$7:$G$98,"Non"),"—")</f>
        <v>0.0167666666666667</v>
      </c>
      <c r="O23" s="37" t="n">
        <f aca="false">IFERROR(AVERAGEIFS(Monstres!$AC$7:$AC$98,Monstres!$B$7:$B$98,A23,Monstres!$G$7:$G$98,"Non"),"—")</f>
        <v>1</v>
      </c>
      <c r="P23" s="33" t="n">
        <f aca="false" t="array" ref="P23:P23">INDEX(Monstres!$AB$7:$AB$98,MATCH(A23&amp;"|B",Monstres!$AW$7:$AW$98,0))</f>
        <v>13.8</v>
      </c>
      <c r="Q23" s="73" t="n">
        <f aca="false" t="array" ref="Q23:Q23">INDEX(Monstres!$AA$7:$AA$98,MATCH(A23&amp;"|B",Monstres!$AW$7:$AW$98,0))</f>
        <v>0.03</v>
      </c>
      <c r="R23" s="33" t="n">
        <f aca="false" t="array" ref="R23:R23">INDEX(Monstres!$AC$7:$AC$98,MATCH(A23&amp;"|B",Monstres!$AW$7:$AW$98,0))</f>
        <v>8</v>
      </c>
      <c r="S23" s="33" t="n">
        <f aca="false">IF(G23="Oui",(I23+J23)/2,"—")</f>
        <v>65</v>
      </c>
      <c r="T23" s="29" t="n">
        <f aca="false">IF(G23="Oui",ROUND(O23*ROUND(Paramètres!$B$49*S23^Paramètres!$B$50,0),0),"—")</f>
        <v>1107</v>
      </c>
      <c r="U23" s="29" t="n">
        <f aca="false">IF(G23="Oui",ROUND(O23*ROUND(Paramètres!$B$53*S23^Paramètres!$B$54,0),0),"—")</f>
        <v>841</v>
      </c>
      <c r="V23" s="33" t="n">
        <f aca="false">IF(G23="Oui",M23*(1-Paramètres!$B$46)*Paramètres!$B$45+Paramètres!$B$47/Paramètres!$B$39,"—")</f>
        <v>7.95833333333333</v>
      </c>
      <c r="W23" s="29" t="n">
        <f aca="false">IF(G23="Oui",3600/V23,"—")</f>
        <v>452.356020942408</v>
      </c>
      <c r="X23" s="29" t="n">
        <f aca="false">IF(G23="Oui",W23*T23,"—")</f>
        <v>500758.115183246</v>
      </c>
      <c r="Y23" s="29" t="n">
        <f aca="false">IF(G23="Oui",W23*U23,"—")</f>
        <v>380431.413612566</v>
      </c>
      <c r="Z23" s="32" t="n">
        <f aca="false">IF(G23="Oui",AVERAGEIFS(Monstres!$AL$7:$AL$98,Monstres!$B$7:$B$98,A23,Monstres!$G$7:$G$98,"Non"),"—")</f>
        <v>0.05</v>
      </c>
      <c r="AA23" s="33" t="n">
        <f aca="false">IF(G23="Oui",W23*Z23,"—")</f>
        <v>22.6178010471204</v>
      </c>
      <c r="AB23" s="37" t="n">
        <f aca="false">IF(G23="Oui",AA23*(INDEX(Butin!$H$15:$H$24,MATCH($A23,Éléments!$C$5:$C$14,1))+INDEX(Butin!$I$15:$I$24,MATCH($A23,Éléments!$C$5:$C$14,1))+INDEX(Butin!$J$15:$J$24,MATCH($A23,Éléments!$C$5:$C$14,1))+INDEX(Butin!$K$15:$K$24,MATCH($A23,Éléments!$C$5:$C$14,1))),"—")</f>
        <v>4.07120418848168</v>
      </c>
      <c r="AC23" s="74" t="n">
        <f aca="false">IF(G23="Oui",AA23*INDEX(Butin!$J$15:$J$24,MATCH($A23,Éléments!$C$5:$C$14,1)),"—")</f>
        <v>0.113089005235602</v>
      </c>
      <c r="AD23" s="33" t="n">
        <f aca="false">IF(G23&lt;&gt;"Oui","—",IF(INDEX(Butin!$K$15:$K$24,MATCH($A23,Éléments!$C$5:$C$14,1))=0,"Aucun",ROUND(1/(AA23*INDEX(Butin!$K$15:$K$24,MATCH($A23,Éléments!$C$5:$C$14,1))),1)))</f>
        <v>22.1</v>
      </c>
    </row>
    <row r="24" customFormat="false" ht="15.75" hidden="false" customHeight="true" outlineLevel="0" collapsed="false">
      <c r="A24" s="71" t="n">
        <v>65</v>
      </c>
      <c r="B24" s="34" t="s">
        <v>486</v>
      </c>
      <c r="C24" s="23" t="s">
        <v>88</v>
      </c>
      <c r="D24" s="23" t="str">
        <f aca="false" t="array" ref="D24:D24">INDEX(Éléments!$B$5:$B$14,MATCH(A24,Éléments!$C$5:$C$14,1))</f>
        <v>Iceberg</v>
      </c>
      <c r="E24" s="46" t="str">
        <f aca="false" t="array" ref="E24:E24">INDEX(Éléments!$A$5:$A$14,MATCH(A24,Éléments!$C$5:$C$14,1))</f>
        <v>Glace</v>
      </c>
      <c r="F24" s="22" t="s">
        <v>487</v>
      </c>
      <c r="G24" s="23" t="str">
        <f aca="false">IF(C24="Zone","Oui","Non")</f>
        <v>Oui</v>
      </c>
      <c r="H24" s="27" t="n">
        <f aca="false">IF(G24="Oui",A24,"—")</f>
        <v>65</v>
      </c>
      <c r="I24" s="27" t="n">
        <f aca="false">IF(G24="Oui",A24,"—")</f>
        <v>65</v>
      </c>
      <c r="J24" s="27" t="n">
        <f aca="false">IF(G24="Oui",A24+Paramètres!$B$43,"—")</f>
        <v>75</v>
      </c>
      <c r="K24" s="72" t="n">
        <f aca="false">COUNTIFS(Monstres!$B$7:$B$98,A24,Monstres!$G$7:$G$98,"Non")</f>
        <v>3</v>
      </c>
      <c r="L24" s="22" t="str">
        <f aca="false" t="array" ref="L24:L24">INDEX(Monstres!$F$7:$F$98,MATCH(A24&amp;"|B",Monstres!$AW$7:$AW$98,0))</f>
        <v>Yéti</v>
      </c>
      <c r="M24" s="37" t="n">
        <f aca="false">IFERROR(AVERAGEIFS(Monstres!$AB$7:$AB$98,Monstres!$B$7:$B$98,A24,Monstres!$G$7:$G$98,"Non"),"—")</f>
        <v>3.03333333333333</v>
      </c>
      <c r="N24" s="73" t="n">
        <f aca="false">IFERROR(AVERAGEIFS(Monstres!$AA$7:$AA$98,Monstres!$B$7:$B$98,A24,Monstres!$G$7:$G$98,"Non"),"—")</f>
        <v>0.0160666666666667</v>
      </c>
      <c r="O24" s="37" t="n">
        <f aca="false">IFERROR(AVERAGEIFS(Monstres!$AC$7:$AC$98,Monstres!$B$7:$B$98,A24,Monstres!$G$7:$G$98,"Non"),"—")</f>
        <v>1.13333333333333</v>
      </c>
      <c r="P24" s="33" t="n">
        <f aca="false" t="array" ref="P24:P24">INDEX(Monstres!$AB$7:$AB$98,MATCH(A24&amp;"|B",Monstres!$AW$7:$AW$98,0))</f>
        <v>18</v>
      </c>
      <c r="Q24" s="73" t="n">
        <f aca="false" t="array" ref="Q24:Q24">INDEX(Monstres!$AA$7:$AA$98,MATCH(A24&amp;"|B",Monstres!$AW$7:$AW$98,0))</f>
        <v>0.0285</v>
      </c>
      <c r="R24" s="33" t="n">
        <f aca="false" t="array" ref="R24:R24">INDEX(Monstres!$AC$7:$AC$98,MATCH(A24&amp;"|B",Monstres!$AW$7:$AW$98,0))</f>
        <v>8</v>
      </c>
      <c r="S24" s="33" t="n">
        <f aca="false">IF(G24="Oui",(I24+J24)/2,"—")</f>
        <v>70</v>
      </c>
      <c r="T24" s="29" t="n">
        <f aca="false">IF(G24="Oui",ROUND(O24*ROUND(Paramètres!$B$49*S24^Paramètres!$B$50,0),0),"—")</f>
        <v>1377</v>
      </c>
      <c r="U24" s="29" t="n">
        <f aca="false">IF(G24="Oui",ROUND(O24*ROUND(Paramètres!$B$53*S24^Paramètres!$B$54,0),0),"—")</f>
        <v>1053</v>
      </c>
      <c r="V24" s="33" t="n">
        <f aca="false">IF(G24="Oui",M24*(1-Paramètres!$B$46)*Paramètres!$B$45+Paramètres!$B$47/Paramètres!$B$39,"—")</f>
        <v>12.7083333333333</v>
      </c>
      <c r="W24" s="29" t="n">
        <f aca="false">IF(G24="Oui",3600/V24,"—")</f>
        <v>283.27868852459</v>
      </c>
      <c r="X24" s="29" t="n">
        <f aca="false">IF(G24="Oui",W24*T24,"—")</f>
        <v>390074.754098361</v>
      </c>
      <c r="Y24" s="29" t="n">
        <f aca="false">IF(G24="Oui",W24*U24,"—")</f>
        <v>298292.459016393</v>
      </c>
      <c r="Z24" s="32" t="n">
        <f aca="false">IF(G24="Oui",AVERAGEIFS(Monstres!$AL$7:$AL$98,Monstres!$B$7:$B$98,A24,Monstres!$G$7:$G$98,"Non"),"—")</f>
        <v>0.06</v>
      </c>
      <c r="AA24" s="33" t="n">
        <f aca="false">IF(G24="Oui",W24*Z24,"—")</f>
        <v>16.9967213114754</v>
      </c>
      <c r="AB24" s="37" t="n">
        <f aca="false">IF(G24="Oui",AA24*(INDEX(Butin!$H$15:$H$24,MATCH($A24,Éléments!$C$5:$C$14,1))+INDEX(Butin!$I$15:$I$24,MATCH($A24,Éléments!$C$5:$C$14,1))+INDEX(Butin!$J$15:$J$24,MATCH($A24,Éléments!$C$5:$C$14,1))+INDEX(Butin!$K$15:$K$24,MATCH($A24,Éléments!$C$5:$C$14,1))),"—")</f>
        <v>4.0792131147541</v>
      </c>
      <c r="AC24" s="74" t="n">
        <f aca="false">IF(G24="Oui",AA24*INDEX(Butin!$J$15:$J$24,MATCH($A24,Éléments!$C$5:$C$14,1)),"—")</f>
        <v>0.203960655737705</v>
      </c>
      <c r="AD24" s="33" t="n">
        <f aca="false">IF(G24&lt;&gt;"Oui","—",IF(INDEX(Butin!$K$15:$K$24,MATCH($A24,Éléments!$C$5:$C$14,1))=0,"Aucun",ROUND(1/(AA24*INDEX(Butin!$K$15:$K$24,MATCH($A24,Éléments!$C$5:$C$14,1))),1)))</f>
        <v>19.6</v>
      </c>
    </row>
    <row r="25" customFormat="false" ht="15.75" hidden="false" customHeight="true" outlineLevel="0" collapsed="false">
      <c r="A25" s="71" t="n">
        <v>69</v>
      </c>
      <c r="B25" s="34" t="s">
        <v>488</v>
      </c>
      <c r="C25" s="23" t="s">
        <v>452</v>
      </c>
      <c r="D25" s="23" t="str">
        <f aca="false" t="array" ref="D25:D25">INDEX(Éléments!$B$5:$B$14,MATCH(A25,Éléments!$C$5:$C$14,1))</f>
        <v>Iceberg</v>
      </c>
      <c r="E25" s="46" t="str">
        <f aca="false" t="array" ref="E25:E25">INDEX(Éléments!$A$5:$A$14,MATCH(A25,Éléments!$C$5:$C$14,1))</f>
        <v>Glace</v>
      </c>
      <c r="F25" s="22" t="s">
        <v>489</v>
      </c>
      <c r="G25" s="23" t="str">
        <f aca="false">IF(C25="Zone","Oui","Non")</f>
        <v>Non</v>
      </c>
      <c r="H25" s="27" t="str">
        <f aca="false">IF(G25="Oui",A25,"—")</f>
        <v>—</v>
      </c>
      <c r="I25" s="27" t="str">
        <f aca="false">IF(G25="Oui",A25,"—")</f>
        <v>—</v>
      </c>
      <c r="J25" s="27" t="str">
        <f aca="false">IF(G25="Oui",A25+Paramètres!$B$43,"—")</f>
        <v>—</v>
      </c>
      <c r="K25" s="72" t="n">
        <f aca="false">COUNTIFS(Monstres!$B$7:$B$98,A25,Monstres!$G$7:$G$98,"Non")</f>
        <v>0</v>
      </c>
      <c r="L25" s="22" t="str">
        <f aca="false" t="array" ref="L25:L25">INDEX(Monstres!$F$7:$F$98,MATCH(A25&amp;"|B",Monstres!$AW$7:$AW$98,0))</f>
        <v>Dragon (Glace)</v>
      </c>
      <c r="M25" s="37" t="str">
        <f aca="false">IFERROR(AVERAGEIFS(Monstres!$AB$7:$AB$98,Monstres!$B$7:$B$98,A25,Monstres!$G$7:$G$98,"Non"),"—")</f>
        <v>—</v>
      </c>
      <c r="N25" s="73" t="str">
        <f aca="false">IFERROR(AVERAGEIFS(Monstres!$AA$7:$AA$98,Monstres!$B$7:$B$98,A25,Monstres!$G$7:$G$98,"Non"),"—")</f>
        <v>—</v>
      </c>
      <c r="O25" s="37" t="str">
        <f aca="false">IFERROR(AVERAGEIFS(Monstres!$AC$7:$AC$98,Monstres!$B$7:$B$98,A25,Monstres!$G$7:$G$98,"Non"),"—")</f>
        <v>—</v>
      </c>
      <c r="P25" s="33" t="n">
        <f aca="false" t="array" ref="P25:P25">INDEX(Monstres!$AB$7:$AB$98,MATCH(A25&amp;"|B",Monstres!$AW$7:$AW$98,0))</f>
        <v>20</v>
      </c>
      <c r="Q25" s="73" t="n">
        <f aca="false" t="array" ref="Q25:Q25">INDEX(Monstres!$AA$7:$AA$98,MATCH(A25&amp;"|B",Monstres!$AW$7:$AW$98,0))</f>
        <v>0.03</v>
      </c>
      <c r="R25" s="33" t="n">
        <f aca="false" t="array" ref="R25:R25">INDEX(Monstres!$AC$7:$AC$98,MATCH(A25&amp;"|B",Monstres!$AW$7:$AW$98,0))</f>
        <v>12</v>
      </c>
      <c r="S25" s="33" t="str">
        <f aca="false">IF(G25="Oui",(I25+J25)/2,"—")</f>
        <v>—</v>
      </c>
      <c r="T25" s="29" t="str">
        <f aca="false">IF(G25="Oui",ROUND(O25*ROUND(Paramètres!$B$49*S25^Paramètres!$B$50,0),0),"—")</f>
        <v>—</v>
      </c>
      <c r="U25" s="29" t="str">
        <f aca="false">IF(G25="Oui",ROUND(O25*ROUND(Paramètres!$B$53*S25^Paramètres!$B$54,0),0),"—")</f>
        <v>—</v>
      </c>
      <c r="V25" s="33" t="str">
        <f aca="false">IF(G25="Oui",M25*(1-Paramètres!$B$46)*Paramètres!$B$45+Paramètres!$B$47/Paramètres!$B$39,"—")</f>
        <v>—</v>
      </c>
      <c r="W25" s="29" t="str">
        <f aca="false">IF(G25="Oui",3600/V25,"—")</f>
        <v>—</v>
      </c>
      <c r="X25" s="29" t="str">
        <f aca="false">IF(G25="Oui",W25*T25,"—")</f>
        <v>—</v>
      </c>
      <c r="Y25" s="29" t="str">
        <f aca="false">IF(G25="Oui",W25*U25,"—")</f>
        <v>—</v>
      </c>
      <c r="Z25" s="32" t="str">
        <f aca="false">IF(G25="Oui",AVERAGEIFS(Monstres!$AL$7:$AL$98,Monstres!$B$7:$B$98,A25,Monstres!$G$7:$G$98,"Non"),"—")</f>
        <v>—</v>
      </c>
      <c r="AA25" s="33" t="str">
        <f aca="false">IF(G25="Oui",W25*Z25,"—")</f>
        <v>—</v>
      </c>
      <c r="AB25" s="37" t="str">
        <f aca="false">IF(G25="Oui",AA25*(INDEX(Butin!$H$15:$H$24,MATCH($A25,Éléments!$C$5:$C$14,1))+INDEX(Butin!$I$15:$I$24,MATCH($A25,Éléments!$C$5:$C$14,1))+INDEX(Butin!$J$15:$J$24,MATCH($A25,Éléments!$C$5:$C$14,1))+INDEX(Butin!$K$15:$K$24,MATCH($A25,Éléments!$C$5:$C$14,1))),"—")</f>
        <v>—</v>
      </c>
      <c r="AC25" s="74" t="str">
        <f aca="false">IF(G25="Oui",AA25*INDEX(Butin!$J$15:$J$24,MATCH($A25,Éléments!$C$5:$C$14,1)),"—")</f>
        <v>—</v>
      </c>
      <c r="AD25" s="33" t="str">
        <f aca="false">IF(G25&lt;&gt;"Oui","—",IF(INDEX(Butin!$K$15:$K$24,MATCH($A25,Éléments!$C$5:$C$14,1))=0,"Aucun",ROUND(1/(AA25*INDEX(Butin!$K$15:$K$24,MATCH($A25,Éléments!$C$5:$C$14,1))),1)))</f>
        <v>—</v>
      </c>
    </row>
    <row r="26" customFormat="false" ht="15.75" hidden="false" customHeight="true" outlineLevel="0" collapsed="false">
      <c r="A26" s="71" t="n">
        <v>70</v>
      </c>
      <c r="B26" s="34" t="s">
        <v>490</v>
      </c>
      <c r="C26" s="23" t="s">
        <v>88</v>
      </c>
      <c r="D26" s="23" t="str">
        <f aca="false" t="array" ref="D26:D26">INDEX(Éléments!$B$5:$B$14,MATCH(A26,Éléments!$C$5:$C$14,1))</f>
        <v>Iceberg</v>
      </c>
      <c r="E26" s="46" t="str">
        <f aca="false" t="array" ref="E26:E26">INDEX(Éléments!$A$5:$A$14,MATCH(A26,Éléments!$C$5:$C$14,1))</f>
        <v>Glace</v>
      </c>
      <c r="F26" s="22" t="s">
        <v>491</v>
      </c>
      <c r="G26" s="23" t="str">
        <f aca="false">IF(C26="Zone","Oui","Non")</f>
        <v>Oui</v>
      </c>
      <c r="H26" s="27" t="n">
        <f aca="false">IF(G26="Oui",A26,"—")</f>
        <v>70</v>
      </c>
      <c r="I26" s="27" t="n">
        <f aca="false">IF(G26="Oui",A26,"—")</f>
        <v>70</v>
      </c>
      <c r="J26" s="27" t="n">
        <f aca="false">IF(G26="Oui",A26+Paramètres!$B$43,"—")</f>
        <v>80</v>
      </c>
      <c r="K26" s="72" t="n">
        <f aca="false">COUNTIFS(Monstres!$B$7:$B$98,A26,Monstres!$G$7:$G$98,"Non")</f>
        <v>4</v>
      </c>
      <c r="L26" s="22" t="str">
        <f aca="false" t="array" ref="L26:L26">INDEX(Monstres!$F$7:$F$98,MATCH(A26&amp;"|B",Monstres!$AW$7:$AW$98,0))</f>
        <v>Roi elfique</v>
      </c>
      <c r="M26" s="37" t="n">
        <f aca="false">IFERROR(AVERAGEIFS(Monstres!$AB$7:$AB$98,Monstres!$B$7:$B$98,A26,Monstres!$G$7:$G$98,"Non"),"—")</f>
        <v>1.7</v>
      </c>
      <c r="N26" s="73" t="n">
        <f aca="false">IFERROR(AVERAGEIFS(Monstres!$AA$7:$AA$98,Monstres!$B$7:$B$98,A26,Monstres!$G$7:$G$98,"Non"),"—")</f>
        <v>0.017075</v>
      </c>
      <c r="O26" s="37" t="n">
        <f aca="false">IFERROR(AVERAGEIFS(Monstres!$AC$7:$AC$98,Monstres!$B$7:$B$98,A26,Monstres!$G$7:$G$98,"Non"),"—")</f>
        <v>1</v>
      </c>
      <c r="P26" s="33" t="n">
        <f aca="false" t="array" ref="P26:P26">INDEX(Monstres!$AB$7:$AB$98,MATCH(A26&amp;"|B",Monstres!$AW$7:$AW$98,0))</f>
        <v>8.4</v>
      </c>
      <c r="Q26" s="73" t="n">
        <f aca="false" t="array" ref="Q26:Q26">INDEX(Monstres!$AA$7:$AA$98,MATCH(A26&amp;"|B",Monstres!$AW$7:$AW$98,0))</f>
        <v>0.0375</v>
      </c>
      <c r="R26" s="33" t="n">
        <f aca="false" t="array" ref="R26:R26">INDEX(Monstres!$AC$7:$AC$98,MATCH(A26&amp;"|B",Monstres!$AW$7:$AW$98,0))</f>
        <v>8</v>
      </c>
      <c r="S26" s="33" t="n">
        <f aca="false">IF(G26="Oui",(I26+J26)/2,"—")</f>
        <v>75</v>
      </c>
      <c r="T26" s="29" t="n">
        <f aca="false">IF(G26="Oui",ROUND(O26*ROUND(Paramètres!$B$49*S26^Paramètres!$B$50,0),0),"—")</f>
        <v>1324</v>
      </c>
      <c r="U26" s="29" t="n">
        <f aca="false">IF(G26="Oui",ROUND(O26*ROUND(Paramètres!$B$53*S26^Paramètres!$B$54,0),0),"—")</f>
        <v>1020</v>
      </c>
      <c r="V26" s="33" t="n">
        <f aca="false">IF(G26="Oui",M26*(1-Paramètres!$B$46)*Paramètres!$B$45+Paramètres!$B$47/Paramètres!$B$39,"—")</f>
        <v>7.70833333333333</v>
      </c>
      <c r="W26" s="29" t="n">
        <f aca="false">IF(G26="Oui",3600/V26,"—")</f>
        <v>467.027027027027</v>
      </c>
      <c r="X26" s="29" t="n">
        <f aca="false">IF(G26="Oui",W26*T26,"—")</f>
        <v>618343.783783784</v>
      </c>
      <c r="Y26" s="29" t="n">
        <f aca="false">IF(G26="Oui",W26*U26,"—")</f>
        <v>476367.567567568</v>
      </c>
      <c r="Z26" s="32" t="n">
        <f aca="false">IF(G26="Oui",AVERAGEIFS(Monstres!$AL$7:$AL$98,Monstres!$B$7:$B$98,A26,Monstres!$G$7:$G$98,"Non"),"—")</f>
        <v>0.05</v>
      </c>
      <c r="AA26" s="33" t="n">
        <f aca="false">IF(G26="Oui",W26*Z26,"—")</f>
        <v>23.3513513513514</v>
      </c>
      <c r="AB26" s="37" t="n">
        <f aca="false">IF(G26="Oui",AA26*(INDEX(Butin!$H$15:$H$24,MATCH($A26,Éléments!$C$5:$C$14,1))+INDEX(Butin!$I$15:$I$24,MATCH($A26,Éléments!$C$5:$C$14,1))+INDEX(Butin!$J$15:$J$24,MATCH($A26,Éléments!$C$5:$C$14,1))+INDEX(Butin!$K$15:$K$24,MATCH($A26,Éléments!$C$5:$C$14,1))),"—")</f>
        <v>5.60432432432433</v>
      </c>
      <c r="AC26" s="74" t="n">
        <f aca="false">IF(G26="Oui",AA26*INDEX(Butin!$J$15:$J$24,MATCH($A26,Éléments!$C$5:$C$14,1)),"—")</f>
        <v>0.280216216216216</v>
      </c>
      <c r="AD26" s="33" t="n">
        <f aca="false">IF(G26&lt;&gt;"Oui","—",IF(INDEX(Butin!$K$15:$K$24,MATCH($A26,Éléments!$C$5:$C$14,1))=0,"Aucun",ROUND(1/(AA26*INDEX(Butin!$K$15:$K$24,MATCH($A26,Éléments!$C$5:$C$14,1))),1)))</f>
        <v>14.3</v>
      </c>
    </row>
    <row r="27" customFormat="false" ht="15.75" hidden="false" customHeight="true" outlineLevel="0" collapsed="false">
      <c r="A27" s="71" t="n">
        <v>75</v>
      </c>
      <c r="B27" s="34" t="s">
        <v>492</v>
      </c>
      <c r="C27" s="23" t="s">
        <v>88</v>
      </c>
      <c r="D27" s="23" t="str">
        <f aca="false" t="array" ref="D27:D27">INDEX(Éléments!$B$5:$B$14,MATCH(A27,Éléments!$C$5:$C$14,1))</f>
        <v>Haute montagne</v>
      </c>
      <c r="E27" s="47" t="str">
        <f aca="false" t="array" ref="E27:E27">INDEX(Éléments!$A$5:$A$14,MATCH(A27,Éléments!$C$5:$C$14,1))</f>
        <v>Électricité</v>
      </c>
      <c r="F27" s="22" t="s">
        <v>493</v>
      </c>
      <c r="G27" s="23" t="str">
        <f aca="false">IF(C27="Zone","Oui","Non")</f>
        <v>Oui</v>
      </c>
      <c r="H27" s="27" t="n">
        <f aca="false">IF(G27="Oui",A27,"—")</f>
        <v>75</v>
      </c>
      <c r="I27" s="27" t="n">
        <f aca="false">IF(G27="Oui",A27,"—")</f>
        <v>75</v>
      </c>
      <c r="J27" s="27" t="n">
        <f aca="false">IF(G27="Oui",A27+Paramètres!$B$43,"—")</f>
        <v>85</v>
      </c>
      <c r="K27" s="72" t="n">
        <f aca="false">COUNTIFS(Monstres!$B$7:$B$98,A27,Monstres!$G$7:$G$98,"Non")</f>
        <v>2</v>
      </c>
      <c r="L27" s="22" t="str">
        <f aca="false" t="array" ref="L27:L27">INDEX(Monstres!$F$7:$F$98,MATCH(A27&amp;"|B",Monstres!$AW$7:$AW$98,0))</f>
        <v>Géant électrique</v>
      </c>
      <c r="M27" s="37" t="n">
        <f aca="false">IFERROR(AVERAGEIFS(Monstres!$AB$7:$AB$98,Monstres!$B$7:$B$98,A27,Monstres!$G$7:$G$98,"Non"),"—")</f>
        <v>2.9</v>
      </c>
      <c r="N27" s="73" t="n">
        <f aca="false">IFERROR(AVERAGEIFS(Monstres!$AA$7:$AA$98,Monstres!$B$7:$B$98,A27,Monstres!$G$7:$G$98,"Non"),"—")</f>
        <v>0.0173</v>
      </c>
      <c r="O27" s="37" t="n">
        <f aca="false">IFERROR(AVERAGEIFS(Monstres!$AC$7:$AC$98,Monstres!$B$7:$B$98,A27,Monstres!$G$7:$G$98,"Non"),"—")</f>
        <v>1.2</v>
      </c>
      <c r="P27" s="33" t="n">
        <f aca="false" t="array" ref="P27:P27">INDEX(Monstres!$AB$7:$AB$98,MATCH(A27&amp;"|B",Monstres!$AW$7:$AW$98,0))</f>
        <v>18</v>
      </c>
      <c r="Q27" s="73" t="n">
        <f aca="false" t="array" ref="Q27:Q27">INDEX(Monstres!$AA$7:$AA$98,MATCH(A27&amp;"|B",Monstres!$AW$7:$AW$98,0))</f>
        <v>0.0285</v>
      </c>
      <c r="R27" s="33" t="n">
        <f aca="false" t="array" ref="R27:R27">INDEX(Monstres!$AC$7:$AC$98,MATCH(A27&amp;"|B",Monstres!$AW$7:$AW$98,0))</f>
        <v>8</v>
      </c>
      <c r="S27" s="33" t="n">
        <f aca="false">IF(G27="Oui",(I27+J27)/2,"—")</f>
        <v>80</v>
      </c>
      <c r="T27" s="29" t="n">
        <f aca="false">IF(G27="Oui",ROUND(O27*ROUND(Paramètres!$B$49*S27^Paramètres!$B$50,0),0),"—")</f>
        <v>1723</v>
      </c>
      <c r="U27" s="29" t="n">
        <f aca="false">IF(G27="Oui",ROUND(O27*ROUND(Paramètres!$B$53*S27^Paramètres!$B$54,0),0),"—")</f>
        <v>1334</v>
      </c>
      <c r="V27" s="33" t="n">
        <f aca="false">IF(G27="Oui",M27*(1-Paramètres!$B$46)*Paramètres!$B$45+Paramètres!$B$47/Paramètres!$B$39,"—")</f>
        <v>12.2083333333333</v>
      </c>
      <c r="W27" s="29" t="n">
        <f aca="false">IF(G27="Oui",3600/V27,"—")</f>
        <v>294.880546075085</v>
      </c>
      <c r="X27" s="29" t="n">
        <f aca="false">IF(G27="Oui",W27*T27,"—")</f>
        <v>508079.180887372</v>
      </c>
      <c r="Y27" s="29" t="n">
        <f aca="false">IF(G27="Oui",W27*U27,"—")</f>
        <v>393370.648464164</v>
      </c>
      <c r="Z27" s="32" t="n">
        <f aca="false">IF(G27="Oui",AVERAGEIFS(Monstres!$AL$7:$AL$98,Monstres!$B$7:$B$98,A27,Monstres!$G$7:$G$98,"Non"),"—")</f>
        <v>0.065</v>
      </c>
      <c r="AA27" s="33" t="n">
        <f aca="false">IF(G27="Oui",W27*Z27,"—")</f>
        <v>19.1672354948805</v>
      </c>
      <c r="AB27" s="37" t="n">
        <f aca="false">IF(G27="Oui",AA27*(INDEX(Butin!$H$15:$H$24,MATCH($A27,Éléments!$C$5:$C$14,1))+INDEX(Butin!$I$15:$I$24,MATCH($A27,Éléments!$C$5:$C$14,1))+INDEX(Butin!$J$15:$J$24,MATCH($A27,Éléments!$C$5:$C$14,1))+INDEX(Butin!$K$15:$K$24,MATCH($A27,Éléments!$C$5:$C$14,1))),"—")</f>
        <v>5.94184300341297</v>
      </c>
      <c r="AC27" s="74" t="n">
        <f aca="false">IF(G27="Oui",AA27*INDEX(Butin!$J$15:$J$24,MATCH($A27,Éléments!$C$5:$C$14,1)),"—")</f>
        <v>0.460013651877133</v>
      </c>
      <c r="AD27" s="33" t="n">
        <f aca="false">IF(G27&lt;&gt;"Oui","—",IF(INDEX(Butin!$K$15:$K$24,MATCH($A27,Éléments!$C$5:$C$14,1))=0,"Aucun",ROUND(1/(AA27*INDEX(Butin!$K$15:$K$24,MATCH($A27,Éléments!$C$5:$C$14,1))),1)))</f>
        <v>13</v>
      </c>
    </row>
    <row r="28" customFormat="false" ht="15.75" hidden="false" customHeight="true" outlineLevel="0" collapsed="false">
      <c r="A28" s="71" t="n">
        <v>79</v>
      </c>
      <c r="B28" s="34" t="s">
        <v>494</v>
      </c>
      <c r="C28" s="23" t="s">
        <v>452</v>
      </c>
      <c r="D28" s="23" t="str">
        <f aca="false" t="array" ref="D28:D28">INDEX(Éléments!$B$5:$B$14,MATCH(A28,Éléments!$C$5:$C$14,1))</f>
        <v>Haute montagne</v>
      </c>
      <c r="E28" s="47" t="str">
        <f aca="false" t="array" ref="E28:E28">INDEX(Éléments!$A$5:$A$14,MATCH(A28,Éléments!$C$5:$C$14,1))</f>
        <v>Électricité</v>
      </c>
      <c r="F28" s="22" t="s">
        <v>495</v>
      </c>
      <c r="G28" s="23" t="str">
        <f aca="false">IF(C28="Zone","Oui","Non")</f>
        <v>Non</v>
      </c>
      <c r="H28" s="27" t="str">
        <f aca="false">IF(G28="Oui",A28,"—")</f>
        <v>—</v>
      </c>
      <c r="I28" s="27" t="str">
        <f aca="false">IF(G28="Oui",A28,"—")</f>
        <v>—</v>
      </c>
      <c r="J28" s="27" t="str">
        <f aca="false">IF(G28="Oui",A28+Paramètres!$B$43,"—")</f>
        <v>—</v>
      </c>
      <c r="K28" s="72" t="n">
        <f aca="false">COUNTIFS(Monstres!$B$7:$B$98,A28,Monstres!$G$7:$G$98,"Non")</f>
        <v>0</v>
      </c>
      <c r="L28" s="22" t="str">
        <f aca="false" t="array" ref="L28:L28">INDEX(Monstres!$F$7:$F$98,MATCH(A28&amp;"|B",Monstres!$AW$7:$AW$98,0))</f>
        <v>Dragon (Électricité)</v>
      </c>
      <c r="M28" s="37" t="str">
        <f aca="false">IFERROR(AVERAGEIFS(Monstres!$AB$7:$AB$98,Monstres!$B$7:$B$98,A28,Monstres!$G$7:$G$98,"Non"),"—")</f>
        <v>—</v>
      </c>
      <c r="N28" s="73" t="str">
        <f aca="false">IFERROR(AVERAGEIFS(Monstres!$AA$7:$AA$98,Monstres!$B$7:$B$98,A28,Monstres!$G$7:$G$98,"Non"),"—")</f>
        <v>—</v>
      </c>
      <c r="O28" s="37" t="str">
        <f aca="false">IFERROR(AVERAGEIFS(Monstres!$AC$7:$AC$98,Monstres!$B$7:$B$98,A28,Monstres!$G$7:$G$98,"Non"),"—")</f>
        <v>—</v>
      </c>
      <c r="P28" s="33" t="n">
        <f aca="false" t="array" ref="P28:P28">INDEX(Monstres!$AB$7:$AB$98,MATCH(A28&amp;"|B",Monstres!$AW$7:$AW$98,0))</f>
        <v>20</v>
      </c>
      <c r="Q28" s="73" t="n">
        <f aca="false" t="array" ref="Q28:Q28">INDEX(Monstres!$AA$7:$AA$98,MATCH(A28&amp;"|B",Monstres!$AW$7:$AW$98,0))</f>
        <v>0.03</v>
      </c>
      <c r="R28" s="33" t="n">
        <f aca="false" t="array" ref="R28:R28">INDEX(Monstres!$AC$7:$AC$98,MATCH(A28&amp;"|B",Monstres!$AW$7:$AW$98,0))</f>
        <v>12</v>
      </c>
      <c r="S28" s="33" t="str">
        <f aca="false">IF(G28="Oui",(I28+J28)/2,"—")</f>
        <v>—</v>
      </c>
      <c r="T28" s="29" t="str">
        <f aca="false">IF(G28="Oui",ROUND(O28*ROUND(Paramètres!$B$49*S28^Paramètres!$B$50,0),0),"—")</f>
        <v>—</v>
      </c>
      <c r="U28" s="29" t="str">
        <f aca="false">IF(G28="Oui",ROUND(O28*ROUND(Paramètres!$B$53*S28^Paramètres!$B$54,0),0),"—")</f>
        <v>—</v>
      </c>
      <c r="V28" s="33" t="str">
        <f aca="false">IF(G28="Oui",M28*(1-Paramètres!$B$46)*Paramètres!$B$45+Paramètres!$B$47/Paramètres!$B$39,"—")</f>
        <v>—</v>
      </c>
      <c r="W28" s="29" t="str">
        <f aca="false">IF(G28="Oui",3600/V28,"—")</f>
        <v>—</v>
      </c>
      <c r="X28" s="29" t="str">
        <f aca="false">IF(G28="Oui",W28*T28,"—")</f>
        <v>—</v>
      </c>
      <c r="Y28" s="29" t="str">
        <f aca="false">IF(G28="Oui",W28*U28,"—")</f>
        <v>—</v>
      </c>
      <c r="Z28" s="32" t="str">
        <f aca="false">IF(G28="Oui",AVERAGEIFS(Monstres!$AL$7:$AL$98,Monstres!$B$7:$B$98,A28,Monstres!$G$7:$G$98,"Non"),"—")</f>
        <v>—</v>
      </c>
      <c r="AA28" s="33" t="str">
        <f aca="false">IF(G28="Oui",W28*Z28,"—")</f>
        <v>—</v>
      </c>
      <c r="AB28" s="37" t="str">
        <f aca="false">IF(G28="Oui",AA28*(INDEX(Butin!$H$15:$H$24,MATCH($A28,Éléments!$C$5:$C$14,1))+INDEX(Butin!$I$15:$I$24,MATCH($A28,Éléments!$C$5:$C$14,1))+INDEX(Butin!$J$15:$J$24,MATCH($A28,Éléments!$C$5:$C$14,1))+INDEX(Butin!$K$15:$K$24,MATCH($A28,Éléments!$C$5:$C$14,1))),"—")</f>
        <v>—</v>
      </c>
      <c r="AC28" s="74" t="str">
        <f aca="false">IF(G28="Oui",AA28*INDEX(Butin!$J$15:$J$24,MATCH($A28,Éléments!$C$5:$C$14,1)),"—")</f>
        <v>—</v>
      </c>
      <c r="AD28" s="33" t="str">
        <f aca="false">IF(G28&lt;&gt;"Oui","—",IF(INDEX(Butin!$K$15:$K$24,MATCH($A28,Éléments!$C$5:$C$14,1))=0,"Aucun",ROUND(1/(AA28*INDEX(Butin!$K$15:$K$24,MATCH($A28,Éléments!$C$5:$C$14,1))),1)))</f>
        <v>—</v>
      </c>
    </row>
    <row r="29" customFormat="false" ht="15.75" hidden="false" customHeight="true" outlineLevel="0" collapsed="false">
      <c r="A29" s="71" t="n">
        <v>80</v>
      </c>
      <c r="B29" s="34" t="s">
        <v>496</v>
      </c>
      <c r="C29" s="23" t="s">
        <v>88</v>
      </c>
      <c r="D29" s="23" t="str">
        <f aca="false" t="array" ref="D29:D29">INDEX(Éléments!$B$5:$B$14,MATCH(A29,Éléments!$C$5:$C$14,1))</f>
        <v>Haute montagne</v>
      </c>
      <c r="E29" s="47" t="str">
        <f aca="false" t="array" ref="E29:E29">INDEX(Éléments!$A$5:$A$14,MATCH(A29,Éléments!$C$5:$C$14,1))</f>
        <v>Électricité</v>
      </c>
      <c r="F29" s="22" t="s">
        <v>497</v>
      </c>
      <c r="G29" s="23" t="str">
        <f aca="false">IF(C29="Zone","Oui","Non")</f>
        <v>Oui</v>
      </c>
      <c r="H29" s="27" t="n">
        <f aca="false">IF(G29="Oui",A29,"—")</f>
        <v>80</v>
      </c>
      <c r="I29" s="27" t="n">
        <f aca="false">IF(G29="Oui",A29,"—")</f>
        <v>80</v>
      </c>
      <c r="J29" s="27" t="n">
        <f aca="false">IF(G29="Oui",A29+Paramètres!$B$43,"—")</f>
        <v>90</v>
      </c>
      <c r="K29" s="72" t="n">
        <f aca="false">COUNTIFS(Monstres!$B$7:$B$98,A29,Monstres!$G$7:$G$98,"Non")</f>
        <v>2</v>
      </c>
      <c r="L29" s="22" t="str">
        <f aca="false" t="array" ref="L29:L29">INDEX(Monstres!$F$7:$F$98,MATCH(A29&amp;"|B",Monstres!$AW$7:$AW$98,0))</f>
        <v>Wyverne mutante</v>
      </c>
      <c r="M29" s="37" t="n">
        <f aca="false">IFERROR(AVERAGEIFS(Monstres!$AB$7:$AB$98,Monstres!$B$7:$B$98,A29,Monstres!$G$7:$G$98,"Non"),"—")</f>
        <v>1.7</v>
      </c>
      <c r="N29" s="73" t="n">
        <f aca="false">IFERROR(AVERAGEIFS(Monstres!$AA$7:$AA$98,Monstres!$B$7:$B$98,A29,Monstres!$G$7:$G$98,"Non"),"—")</f>
        <v>0.0169</v>
      </c>
      <c r="O29" s="37" t="n">
        <f aca="false">IFERROR(AVERAGEIFS(Monstres!$AC$7:$AC$98,Monstres!$B$7:$B$98,A29,Monstres!$G$7:$G$98,"Non"),"—")</f>
        <v>1</v>
      </c>
      <c r="P29" s="33" t="n">
        <f aca="false" t="array" ref="P29:P29">INDEX(Monstres!$AB$7:$AB$98,MATCH(A29&amp;"|B",Monstres!$AW$7:$AW$98,0))</f>
        <v>9</v>
      </c>
      <c r="Q29" s="73" t="n">
        <f aca="false" t="array" ref="Q29:Q29">INDEX(Monstres!$AA$7:$AA$98,MATCH(A29&amp;"|B",Monstres!$AW$7:$AW$98,0))</f>
        <v>0.036</v>
      </c>
      <c r="R29" s="33" t="n">
        <f aca="false" t="array" ref="R29:R29">INDEX(Monstres!$AC$7:$AC$98,MATCH(A29&amp;"|B",Monstres!$AW$7:$AW$98,0))</f>
        <v>8</v>
      </c>
      <c r="S29" s="33" t="n">
        <f aca="false">IF(G29="Oui",(I29+J29)/2,"—")</f>
        <v>85</v>
      </c>
      <c r="T29" s="29" t="n">
        <f aca="false">IF(G29="Oui",ROUND(O29*ROUND(Paramètres!$B$49*S29^Paramètres!$B$50,0),0),"—")</f>
        <v>1549</v>
      </c>
      <c r="U29" s="29" t="n">
        <f aca="false">IF(G29="Oui",ROUND(O29*ROUND(Paramètres!$B$53*S29^Paramètres!$B$54,0),0),"—")</f>
        <v>1207</v>
      </c>
      <c r="V29" s="33" t="n">
        <f aca="false">IF(G29="Oui",M29*(1-Paramètres!$B$46)*Paramètres!$B$45+Paramètres!$B$47/Paramètres!$B$39,"—")</f>
        <v>7.70833333333333</v>
      </c>
      <c r="W29" s="29" t="n">
        <f aca="false">IF(G29="Oui",3600/V29,"—")</f>
        <v>467.027027027027</v>
      </c>
      <c r="X29" s="29" t="n">
        <f aca="false">IF(G29="Oui",W29*T29,"—")</f>
        <v>723424.864864865</v>
      </c>
      <c r="Y29" s="29" t="n">
        <f aca="false">IF(G29="Oui",W29*U29,"—")</f>
        <v>563701.621621622</v>
      </c>
      <c r="Z29" s="32" t="n">
        <f aca="false">IF(G29="Oui",AVERAGEIFS(Monstres!$AL$7:$AL$98,Monstres!$B$7:$B$98,A29,Monstres!$G$7:$G$98,"Non"),"—")</f>
        <v>0.05</v>
      </c>
      <c r="AA29" s="33" t="n">
        <f aca="false">IF(G29="Oui",W29*Z29,"—")</f>
        <v>23.3513513513514</v>
      </c>
      <c r="AB29" s="37" t="n">
        <f aca="false">IF(G29="Oui",AA29*(INDEX(Butin!$H$15:$H$24,MATCH($A29,Éléments!$C$5:$C$14,1))+INDEX(Butin!$I$15:$I$24,MATCH($A29,Éléments!$C$5:$C$14,1))+INDEX(Butin!$J$15:$J$24,MATCH($A29,Éléments!$C$5:$C$14,1))+INDEX(Butin!$K$15:$K$24,MATCH($A29,Éléments!$C$5:$C$14,1))),"—")</f>
        <v>7.23891891891892</v>
      </c>
      <c r="AC29" s="74" t="n">
        <f aca="false">IF(G29="Oui",AA29*INDEX(Butin!$J$15:$J$24,MATCH($A29,Éléments!$C$5:$C$14,1)),"—")</f>
        <v>0.560432432432433</v>
      </c>
      <c r="AD29" s="33" t="n">
        <f aca="false">IF(G29&lt;&gt;"Oui","—",IF(INDEX(Butin!$K$15:$K$24,MATCH($A29,Éléments!$C$5:$C$14,1))=0,"Aucun",ROUND(1/(AA29*INDEX(Butin!$K$15:$K$24,MATCH($A29,Éléments!$C$5:$C$14,1))),1)))</f>
        <v>10.7</v>
      </c>
    </row>
    <row r="30" customFormat="false" ht="15.75" hidden="false" customHeight="true" outlineLevel="0" collapsed="false">
      <c r="A30" s="71" t="n">
        <v>85</v>
      </c>
      <c r="B30" s="34" t="s">
        <v>498</v>
      </c>
      <c r="C30" s="23" t="s">
        <v>88</v>
      </c>
      <c r="D30" s="23" t="str">
        <f aca="false" t="array" ref="D30:D30">INDEX(Éléments!$B$5:$B$14,MATCH(A30,Éléments!$C$5:$C$14,1))</f>
        <v>Palais céleste</v>
      </c>
      <c r="E30" s="48" t="str">
        <f aca="false" t="array" ref="E30:E30">INDEX(Éléments!$A$5:$A$14,MATCH(A30,Éléments!$C$5:$C$14,1))</f>
        <v>Lumière</v>
      </c>
      <c r="F30" s="22" t="s">
        <v>499</v>
      </c>
      <c r="G30" s="23" t="str">
        <f aca="false">IF(C30="Zone","Oui","Non")</f>
        <v>Oui</v>
      </c>
      <c r="H30" s="27" t="n">
        <f aca="false">IF(G30="Oui",A30,"—")</f>
        <v>85</v>
      </c>
      <c r="I30" s="27" t="n">
        <f aca="false">IF(G30="Oui",A30,"—")</f>
        <v>85</v>
      </c>
      <c r="J30" s="27" t="n">
        <f aca="false">IF(G30="Oui",A30+Paramètres!$B$43,"—")</f>
        <v>95</v>
      </c>
      <c r="K30" s="72" t="n">
        <f aca="false">COUNTIFS(Monstres!$B$7:$B$98,A30,Monstres!$G$7:$G$98,"Non")</f>
        <v>2</v>
      </c>
      <c r="L30" s="22" t="str">
        <f aca="false" t="array" ref="L30:L30">INDEX(Monstres!$F$7:$F$98,MATCH(A30&amp;"|B",Monstres!$AW$7:$AW$98,0))</f>
        <v>Jésus</v>
      </c>
      <c r="M30" s="37" t="n">
        <f aca="false">IFERROR(AVERAGEIFS(Monstres!$AB$7:$AB$98,Monstres!$B$7:$B$98,A30,Monstres!$G$7:$G$98,"Non"),"—")</f>
        <v>1.79</v>
      </c>
      <c r="N30" s="73" t="n">
        <f aca="false">IFERROR(AVERAGEIFS(Monstres!$AA$7:$AA$98,Monstres!$B$7:$B$98,A30,Monstres!$G$7:$G$98,"Non"),"—")</f>
        <v>0.0115</v>
      </c>
      <c r="O30" s="37" t="n">
        <f aca="false">IFERROR(AVERAGEIFS(Monstres!$AC$7:$AC$98,Monstres!$B$7:$B$98,A30,Monstres!$G$7:$G$98,"Non"),"—")</f>
        <v>0.85</v>
      </c>
      <c r="P30" s="33" t="n">
        <f aca="false" t="array" ref="P30:P30">INDEX(Monstres!$AB$7:$AB$98,MATCH(A30&amp;"|B",Monstres!$AW$7:$AW$98,0))</f>
        <v>10.2</v>
      </c>
      <c r="Q30" s="73" t="n">
        <f aca="false" t="array" ref="Q30:Q30">INDEX(Monstres!$AA$7:$AA$98,MATCH(A30&amp;"|B",Monstres!$AW$7:$AW$98,0))</f>
        <v>0.024</v>
      </c>
      <c r="R30" s="33" t="n">
        <f aca="false" t="array" ref="R30:R30">INDEX(Monstres!$AC$7:$AC$98,MATCH(A30&amp;"|B",Monstres!$AW$7:$AW$98,0))</f>
        <v>8</v>
      </c>
      <c r="S30" s="33" t="n">
        <f aca="false">IF(G30="Oui",(I30+J30)/2,"—")</f>
        <v>90</v>
      </c>
      <c r="T30" s="29" t="n">
        <f aca="false">IF(G30="Oui",ROUND(O30*ROUND(Paramètres!$B$49*S30^Paramètres!$B$50,0),0),"—")</f>
        <v>1414</v>
      </c>
      <c r="U30" s="29" t="n">
        <f aca="false">IF(G30="Oui",ROUND(O30*ROUND(Paramètres!$B$53*S30^Paramètres!$B$54,0),0),"—")</f>
        <v>1108</v>
      </c>
      <c r="V30" s="33" t="n">
        <f aca="false">IF(G30="Oui",M30*(1-Paramètres!$B$46)*Paramètres!$B$45+Paramètres!$B$47/Paramètres!$B$39,"—")</f>
        <v>8.04583333333333</v>
      </c>
      <c r="W30" s="29" t="n">
        <f aca="false">IF(G30="Oui",3600/V30,"—")</f>
        <v>447.436561367167</v>
      </c>
      <c r="X30" s="29" t="n">
        <f aca="false">IF(G30="Oui",W30*T30,"—")</f>
        <v>632675.297773175</v>
      </c>
      <c r="Y30" s="29" t="n">
        <f aca="false">IF(G30="Oui",W30*U30,"—")</f>
        <v>495759.709994821</v>
      </c>
      <c r="Z30" s="32" t="n">
        <f aca="false">IF(G30="Oui",AVERAGEIFS(Monstres!$AL$7:$AL$98,Monstres!$B$7:$B$98,A30,Monstres!$G$7:$G$98,"Non"),"—")</f>
        <v>0.04</v>
      </c>
      <c r="AA30" s="33" t="n">
        <f aca="false">IF(G30="Oui",W30*Z30,"—")</f>
        <v>17.8974624546867</v>
      </c>
      <c r="AB30" s="37" t="n">
        <f aca="false">IF(G30="Oui",AA30*(INDEX(Butin!$H$15:$H$24,MATCH($A30,Éléments!$C$5:$C$14,1))+INDEX(Butin!$I$15:$I$24,MATCH($A30,Éléments!$C$5:$C$14,1))+INDEX(Butin!$J$15:$J$24,MATCH($A30,Éléments!$C$5:$C$14,1))+INDEX(Butin!$K$15:$K$24,MATCH($A30,Éléments!$C$5:$C$14,1))),"—")</f>
        <v>6.80103573278094</v>
      </c>
      <c r="AC30" s="74" t="n">
        <f aca="false">IF(G30="Oui",AA30*INDEX(Butin!$J$15:$J$24,MATCH($A30,Éléments!$C$5:$C$14,1)),"—")</f>
        <v>0.698001035732781</v>
      </c>
      <c r="AD30" s="33" t="n">
        <f aca="false">IF(G30&lt;&gt;"Oui","—",IF(INDEX(Butin!$K$15:$K$24,MATCH($A30,Éléments!$C$5:$C$14,1))=0,"Aucun",ROUND(1/(AA30*INDEX(Butin!$K$15:$K$24,MATCH($A30,Éléments!$C$5:$C$14,1))),1)))</f>
        <v>11.2</v>
      </c>
    </row>
    <row r="31" customFormat="false" ht="15.75" hidden="false" customHeight="true" outlineLevel="0" collapsed="false">
      <c r="A31" s="71" t="n">
        <v>89</v>
      </c>
      <c r="B31" s="34" t="s">
        <v>500</v>
      </c>
      <c r="C31" s="23" t="s">
        <v>452</v>
      </c>
      <c r="D31" s="23" t="str">
        <f aca="false" t="array" ref="D31:D31">INDEX(Éléments!$B$5:$B$14,MATCH(A31,Éléments!$C$5:$C$14,1))</f>
        <v>Palais céleste</v>
      </c>
      <c r="E31" s="48" t="str">
        <f aca="false" t="array" ref="E31:E31">INDEX(Éléments!$A$5:$A$14,MATCH(A31,Éléments!$C$5:$C$14,1))</f>
        <v>Lumière</v>
      </c>
      <c r="F31" s="22" t="s">
        <v>501</v>
      </c>
      <c r="G31" s="23" t="str">
        <f aca="false">IF(C31="Zone","Oui","Non")</f>
        <v>Non</v>
      </c>
      <c r="H31" s="27" t="str">
        <f aca="false">IF(G31="Oui",A31,"—")</f>
        <v>—</v>
      </c>
      <c r="I31" s="27" t="str">
        <f aca="false">IF(G31="Oui",A31,"—")</f>
        <v>—</v>
      </c>
      <c r="J31" s="27" t="str">
        <f aca="false">IF(G31="Oui",A31+Paramètres!$B$43,"—")</f>
        <v>—</v>
      </c>
      <c r="K31" s="72" t="n">
        <f aca="false">COUNTIFS(Monstres!$B$7:$B$98,A31,Monstres!$G$7:$G$98,"Non")</f>
        <v>0</v>
      </c>
      <c r="L31" s="22" t="str">
        <f aca="false" t="array" ref="L31:L31">INDEX(Monstres!$F$7:$F$98,MATCH(A31&amp;"|B",Monstres!$AW$7:$AW$98,0))</f>
        <v>Dragon (Lumière)</v>
      </c>
      <c r="M31" s="37" t="str">
        <f aca="false">IFERROR(AVERAGEIFS(Monstres!$AB$7:$AB$98,Monstres!$B$7:$B$98,A31,Monstres!$G$7:$G$98,"Non"),"—")</f>
        <v>—</v>
      </c>
      <c r="N31" s="73" t="str">
        <f aca="false">IFERROR(AVERAGEIFS(Monstres!$AA$7:$AA$98,Monstres!$B$7:$B$98,A31,Monstres!$G$7:$G$98,"Non"),"—")</f>
        <v>—</v>
      </c>
      <c r="O31" s="37" t="str">
        <f aca="false">IFERROR(AVERAGEIFS(Monstres!$AC$7:$AC$98,Monstres!$B$7:$B$98,A31,Monstres!$G$7:$G$98,"Non"),"—")</f>
        <v>—</v>
      </c>
      <c r="P31" s="33" t="n">
        <f aca="false" t="array" ref="P31:P31">INDEX(Monstres!$AB$7:$AB$98,MATCH(A31&amp;"|B",Monstres!$AW$7:$AW$98,0))</f>
        <v>20</v>
      </c>
      <c r="Q31" s="73" t="n">
        <f aca="false" t="array" ref="Q31:Q31">INDEX(Monstres!$AA$7:$AA$98,MATCH(A31&amp;"|B",Monstres!$AW$7:$AW$98,0))</f>
        <v>0.03</v>
      </c>
      <c r="R31" s="33" t="n">
        <f aca="false" t="array" ref="R31:R31">INDEX(Monstres!$AC$7:$AC$98,MATCH(A31&amp;"|B",Monstres!$AW$7:$AW$98,0))</f>
        <v>12</v>
      </c>
      <c r="S31" s="33" t="str">
        <f aca="false">IF(G31="Oui",(I31+J31)/2,"—")</f>
        <v>—</v>
      </c>
      <c r="T31" s="29" t="str">
        <f aca="false">IF(G31="Oui",ROUND(O31*ROUND(Paramètres!$B$49*S31^Paramètres!$B$50,0),0),"—")</f>
        <v>—</v>
      </c>
      <c r="U31" s="29" t="str">
        <f aca="false">IF(G31="Oui",ROUND(O31*ROUND(Paramètres!$B$53*S31^Paramètres!$B$54,0),0),"—")</f>
        <v>—</v>
      </c>
      <c r="V31" s="33" t="str">
        <f aca="false">IF(G31="Oui",M31*(1-Paramètres!$B$46)*Paramètres!$B$45+Paramètres!$B$47/Paramètres!$B$39,"—")</f>
        <v>—</v>
      </c>
      <c r="W31" s="29" t="str">
        <f aca="false">IF(G31="Oui",3600/V31,"—")</f>
        <v>—</v>
      </c>
      <c r="X31" s="29" t="str">
        <f aca="false">IF(G31="Oui",W31*T31,"—")</f>
        <v>—</v>
      </c>
      <c r="Y31" s="29" t="str">
        <f aca="false">IF(G31="Oui",W31*U31,"—")</f>
        <v>—</v>
      </c>
      <c r="Z31" s="32" t="str">
        <f aca="false">IF(G31="Oui",AVERAGEIFS(Monstres!$AL$7:$AL$98,Monstres!$B$7:$B$98,A31,Monstres!$G$7:$G$98,"Non"),"—")</f>
        <v>—</v>
      </c>
      <c r="AA31" s="33" t="str">
        <f aca="false">IF(G31="Oui",W31*Z31,"—")</f>
        <v>—</v>
      </c>
      <c r="AB31" s="37" t="str">
        <f aca="false">IF(G31="Oui",AA31*(INDEX(Butin!$H$15:$H$24,MATCH($A31,Éléments!$C$5:$C$14,1))+INDEX(Butin!$I$15:$I$24,MATCH($A31,Éléments!$C$5:$C$14,1))+INDEX(Butin!$J$15:$J$24,MATCH($A31,Éléments!$C$5:$C$14,1))+INDEX(Butin!$K$15:$K$24,MATCH($A31,Éléments!$C$5:$C$14,1))),"—")</f>
        <v>—</v>
      </c>
      <c r="AC31" s="74" t="str">
        <f aca="false">IF(G31="Oui",AA31*INDEX(Butin!$J$15:$J$24,MATCH($A31,Éléments!$C$5:$C$14,1)),"—")</f>
        <v>—</v>
      </c>
      <c r="AD31" s="33" t="str">
        <f aca="false">IF(G31&lt;&gt;"Oui","—",IF(INDEX(Butin!$K$15:$K$24,MATCH($A31,Éléments!$C$5:$C$14,1))=0,"Aucun",ROUND(1/(AA31*INDEX(Butin!$K$15:$K$24,MATCH($A31,Éléments!$C$5:$C$14,1))),1)))</f>
        <v>—</v>
      </c>
    </row>
    <row r="32" customFormat="false" ht="15.75" hidden="false" customHeight="true" outlineLevel="0" collapsed="false">
      <c r="A32" s="71" t="n">
        <v>90</v>
      </c>
      <c r="B32" s="34" t="s">
        <v>502</v>
      </c>
      <c r="C32" s="23" t="s">
        <v>88</v>
      </c>
      <c r="D32" s="23" t="str">
        <f aca="false" t="array" ref="D32:D32">INDEX(Éléments!$B$5:$B$14,MATCH(A32,Éléments!$C$5:$C$14,1))</f>
        <v>Palais céleste</v>
      </c>
      <c r="E32" s="48" t="str">
        <f aca="false" t="array" ref="E32:E32">INDEX(Éléments!$A$5:$A$14,MATCH(A32,Éléments!$C$5:$C$14,1))</f>
        <v>Lumière</v>
      </c>
      <c r="F32" s="22" t="s">
        <v>503</v>
      </c>
      <c r="G32" s="23" t="str">
        <f aca="false">IF(C32="Zone","Oui","Non")</f>
        <v>Oui</v>
      </c>
      <c r="H32" s="27" t="n">
        <f aca="false">IF(G32="Oui",A32,"—")</f>
        <v>90</v>
      </c>
      <c r="I32" s="27" t="n">
        <f aca="false">IF(G32="Oui",A32,"—")</f>
        <v>90</v>
      </c>
      <c r="J32" s="27" t="n">
        <f aca="false">IF(G32="Oui",A32+Paramètres!$B$43,"—")</f>
        <v>100</v>
      </c>
      <c r="K32" s="72" t="n">
        <f aca="false">COUNTIFS(Monstres!$B$7:$B$98,A32,Monstres!$G$7:$G$98,"Non")</f>
        <v>3</v>
      </c>
      <c r="L32" s="22" t="str">
        <f aca="false" t="array" ref="L32:L32">INDEX(Monstres!$F$7:$F$98,MATCH(A32&amp;"|B",Monstres!$AW$7:$AW$98,0))</f>
        <v>Michel</v>
      </c>
      <c r="M32" s="37" t="n">
        <f aca="false">IFERROR(AVERAGEIFS(Monstres!$AB$7:$AB$98,Monstres!$B$7:$B$98,A32,Monstres!$G$7:$G$98,"Non"),"—")</f>
        <v>2.29333333333333</v>
      </c>
      <c r="N32" s="73" t="n">
        <f aca="false">IFERROR(AVERAGEIFS(Monstres!$AA$7:$AA$98,Monstres!$B$7:$B$98,A32,Monstres!$G$7:$G$98,"Non"),"—")</f>
        <v>0.0182666666666667</v>
      </c>
      <c r="O32" s="37" t="n">
        <f aca="false">IFERROR(AVERAGEIFS(Monstres!$AC$7:$AC$98,Monstres!$B$7:$B$98,A32,Monstres!$G$7:$G$98,"Non"),"—")</f>
        <v>1.26666666666667</v>
      </c>
      <c r="P32" s="33" t="n">
        <f aca="false" t="array" ref="P32:P32">INDEX(Monstres!$AB$7:$AB$98,MATCH(A32&amp;"|B",Monstres!$AW$7:$AW$98,0))</f>
        <v>13.8</v>
      </c>
      <c r="Q32" s="73" t="n">
        <f aca="false" t="array" ref="Q32:Q32">INDEX(Monstres!$AA$7:$AA$98,MATCH(A32&amp;"|B",Monstres!$AW$7:$AW$98,0))</f>
        <v>0.03</v>
      </c>
      <c r="R32" s="33" t="n">
        <f aca="false" t="array" ref="R32:R32">INDEX(Monstres!$AC$7:$AC$98,MATCH(A32&amp;"|B",Monstres!$AW$7:$AW$98,0))</f>
        <v>8</v>
      </c>
      <c r="S32" s="33" t="n">
        <f aca="false">IF(G32="Oui",(I32+J32)/2,"—")</f>
        <v>95</v>
      </c>
      <c r="T32" s="29" t="n">
        <f aca="false">IF(G32="Oui",ROUND(O32*ROUND(Paramètres!$B$49*S32^Paramètres!$B$50,0),0),"—")</f>
        <v>2255</v>
      </c>
      <c r="U32" s="29" t="n">
        <f aca="false">IF(G32="Oui",ROUND(O32*ROUND(Paramètres!$B$53*S32^Paramètres!$B$54,0),0),"—")</f>
        <v>1777</v>
      </c>
      <c r="V32" s="33" t="n">
        <f aca="false">IF(G32="Oui",M32*(1-Paramètres!$B$46)*Paramètres!$B$45+Paramètres!$B$47/Paramètres!$B$39,"—")</f>
        <v>9.93333333333334</v>
      </c>
      <c r="W32" s="29" t="n">
        <f aca="false">IF(G32="Oui",3600/V32,"—")</f>
        <v>362.41610738255</v>
      </c>
      <c r="X32" s="29" t="n">
        <f aca="false">IF(G32="Oui",W32*T32,"—")</f>
        <v>817248.322147651</v>
      </c>
      <c r="Y32" s="29" t="n">
        <f aca="false">IF(G32="Oui",W32*U32,"—")</f>
        <v>644013.422818792</v>
      </c>
      <c r="Z32" s="32" t="n">
        <f aca="false">IF(G32="Oui",AVERAGEIFS(Monstres!$AL$7:$AL$98,Monstres!$B$7:$B$98,A32,Monstres!$G$7:$G$98,"Non"),"—")</f>
        <v>0.07</v>
      </c>
      <c r="AA32" s="33" t="n">
        <f aca="false">IF(G32="Oui",W32*Z32,"—")</f>
        <v>25.3691275167785</v>
      </c>
      <c r="AB32" s="37" t="n">
        <f aca="false">IF(G32="Oui",AA32*(INDEX(Butin!$H$15:$H$24,MATCH($A32,Éléments!$C$5:$C$14,1))+INDEX(Butin!$I$15:$I$24,MATCH($A32,Éléments!$C$5:$C$14,1))+INDEX(Butin!$J$15:$J$24,MATCH($A32,Éléments!$C$5:$C$14,1))+INDEX(Butin!$K$15:$K$24,MATCH($A32,Éléments!$C$5:$C$14,1))),"—")</f>
        <v>9.64026845637584</v>
      </c>
      <c r="AC32" s="74" t="n">
        <f aca="false">IF(G32="Oui",AA32*INDEX(Butin!$J$15:$J$24,MATCH($A32,Éléments!$C$5:$C$14,1)),"—")</f>
        <v>0.989395973154362</v>
      </c>
      <c r="AD32" s="33" t="n">
        <f aca="false">IF(G32&lt;&gt;"Oui","—",IF(INDEX(Butin!$K$15:$K$24,MATCH($A32,Éléments!$C$5:$C$14,1))=0,"Aucun",ROUND(1/(AA32*INDEX(Butin!$K$15:$K$24,MATCH($A32,Éléments!$C$5:$C$14,1))),1)))</f>
        <v>7.9</v>
      </c>
    </row>
    <row r="33" customFormat="false" ht="15.75" hidden="false" customHeight="true" outlineLevel="0" collapsed="false">
      <c r="A33" s="71" t="n">
        <v>95</v>
      </c>
      <c r="B33" s="34" t="s">
        <v>504</v>
      </c>
      <c r="C33" s="23" t="s">
        <v>88</v>
      </c>
      <c r="D33" s="23" t="str">
        <f aca="false" t="array" ref="D33:D33">INDEX(Éléments!$B$5:$B$14,MATCH(A33,Éléments!$C$5:$C$14,1))</f>
        <v>Palais démoniaque</v>
      </c>
      <c r="E33" s="49" t="str">
        <f aca="false" t="array" ref="E33:E33">INDEX(Éléments!$A$5:$A$14,MATCH(A33,Éléments!$C$5:$C$14,1))</f>
        <v>Ombre</v>
      </c>
      <c r="F33" s="22" t="s">
        <v>505</v>
      </c>
      <c r="G33" s="23" t="str">
        <f aca="false">IF(C33="Zone","Oui","Non")</f>
        <v>Oui</v>
      </c>
      <c r="H33" s="27" t="n">
        <f aca="false">IF(G33="Oui",A33,"—")</f>
        <v>95</v>
      </c>
      <c r="I33" s="27" t="n">
        <f aca="false">IF(G33="Oui",A33,"—")</f>
        <v>95</v>
      </c>
      <c r="J33" s="27" t="n">
        <f aca="false">IF(G33="Oui",A33+Paramètres!$B$43,"—")</f>
        <v>105</v>
      </c>
      <c r="K33" s="72" t="n">
        <f aca="false">COUNTIFS(Monstres!$B$7:$B$98,A33,Monstres!$G$7:$G$98,"Non")</f>
        <v>5</v>
      </c>
      <c r="L33" s="22" t="str">
        <f aca="false" t="array" ref="L33:L33">INDEX(Monstres!$F$7:$F$98,MATCH(A33&amp;"|B",Monstres!$AW$7:$AW$98,0))</f>
        <v>Wyverne des ténèbres</v>
      </c>
      <c r="M33" s="37" t="n">
        <f aca="false">IFERROR(AVERAGEIFS(Monstres!$AB$7:$AB$98,Monstres!$B$7:$B$98,A33,Monstres!$G$7:$G$98,"Non"),"—")</f>
        <v>2.266</v>
      </c>
      <c r="N33" s="73" t="n">
        <f aca="false">IFERROR(AVERAGEIFS(Monstres!$AA$7:$AA$98,Monstres!$B$7:$B$98,A33,Monstres!$G$7:$G$98,"Non"),"—")</f>
        <v>0.01578</v>
      </c>
      <c r="O33" s="37" t="n">
        <f aca="false">IFERROR(AVERAGEIFS(Monstres!$AC$7:$AC$98,Monstres!$B$7:$B$98,A33,Monstres!$G$7:$G$98,"Non"),"—")</f>
        <v>1.02</v>
      </c>
      <c r="P33" s="33" t="n">
        <f aca="false" t="array" ref="P33:P33">INDEX(Monstres!$AB$7:$AB$98,MATCH(A33&amp;"|B",Monstres!$AW$7:$AW$98,0))</f>
        <v>9</v>
      </c>
      <c r="Q33" s="73" t="n">
        <f aca="false" t="array" ref="Q33:Q33">INDEX(Monstres!$AA$7:$AA$98,MATCH(A33&amp;"|B",Monstres!$AW$7:$AW$98,0))</f>
        <v>0.036</v>
      </c>
      <c r="R33" s="33" t="n">
        <f aca="false" t="array" ref="R33:R33">INDEX(Monstres!$AC$7:$AC$98,MATCH(A33&amp;"|B",Monstres!$AW$7:$AW$98,0))</f>
        <v>8</v>
      </c>
      <c r="S33" s="33" t="n">
        <f aca="false">IF(G33="Oui",(I33+J33)/2,"—")</f>
        <v>100</v>
      </c>
      <c r="T33" s="29" t="n">
        <f aca="false">IF(G33="Oui",ROUND(O33*ROUND(Paramètres!$B$49*S33^Paramètres!$B$50,0),0),"—")</f>
        <v>1935</v>
      </c>
      <c r="U33" s="29" t="n">
        <f aca="false">IF(G33="Oui",ROUND(O33*ROUND(Paramètres!$B$53*S33^Paramètres!$B$54,0),0),"—")</f>
        <v>1534</v>
      </c>
      <c r="V33" s="33" t="n">
        <f aca="false">IF(G33="Oui",M33*(1-Paramètres!$B$46)*Paramètres!$B$45+Paramètres!$B$47/Paramètres!$B$39,"—")</f>
        <v>9.83083333333333</v>
      </c>
      <c r="W33" s="29" t="n">
        <f aca="false">IF(G33="Oui",3600/V33,"—")</f>
        <v>366.194795286937</v>
      </c>
      <c r="X33" s="29" t="n">
        <f aca="false">IF(G33="Oui",W33*T33,"—")</f>
        <v>708586.928880224</v>
      </c>
      <c r="Y33" s="29" t="n">
        <f aca="false">IF(G33="Oui",W33*U33,"—")</f>
        <v>561742.815970162</v>
      </c>
      <c r="Z33" s="32" t="n">
        <f aca="false">IF(G33="Oui",AVERAGEIFS(Monstres!$AL$7:$AL$98,Monstres!$B$7:$B$98,A33,Monstres!$G$7:$G$98,"Non"),"—")</f>
        <v>0.052</v>
      </c>
      <c r="AA33" s="33" t="n">
        <f aca="false">IF(G33="Oui",W33*Z33,"—")</f>
        <v>19.0421293549207</v>
      </c>
      <c r="AB33" s="37" t="n">
        <f aca="false">IF(G33="Oui",AA33*(INDEX(Butin!$H$15:$H$24,MATCH($A33,Éléments!$C$5:$C$14,1))+INDEX(Butin!$I$15:$I$24,MATCH($A33,Éléments!$C$5:$C$14,1))+INDEX(Butin!$J$15:$J$24,MATCH($A33,Éléments!$C$5:$C$14,1))+INDEX(Butin!$K$15:$K$24,MATCH($A33,Éléments!$C$5:$C$14,1))),"—")</f>
        <v>8.56895820971434</v>
      </c>
      <c r="AC33" s="74" t="n">
        <f aca="false">IF(G33="Oui",AA33*INDEX(Butin!$J$15:$J$24,MATCH($A33,Éléments!$C$5:$C$14,1)),"—")</f>
        <v>1.1044435025854</v>
      </c>
      <c r="AD33" s="33" t="n">
        <f aca="false">IF(G33&lt;&gt;"Oui","—",IF(INDEX(Butin!$K$15:$K$24,MATCH($A33,Éléments!$C$5:$C$14,1))=0,"Aucun",ROUND(1/(AA33*INDEX(Butin!$K$15:$K$24,MATCH($A33,Éléments!$C$5:$C$14,1))),1)))</f>
        <v>7.5</v>
      </c>
    </row>
    <row r="34" customFormat="false" ht="15.75" hidden="false" customHeight="true" outlineLevel="0" collapsed="false">
      <c r="A34" s="71" t="n">
        <v>99</v>
      </c>
      <c r="B34" s="34" t="s">
        <v>506</v>
      </c>
      <c r="C34" s="23" t="s">
        <v>452</v>
      </c>
      <c r="D34" s="23" t="str">
        <f aca="false" t="array" ref="D34:D34">INDEX(Éléments!$B$5:$B$14,MATCH(A34,Éléments!$C$5:$C$14,1))</f>
        <v>Palais démoniaque</v>
      </c>
      <c r="E34" s="49" t="str">
        <f aca="false" t="array" ref="E34:E34">INDEX(Éléments!$A$5:$A$14,MATCH(A34,Éléments!$C$5:$C$14,1))</f>
        <v>Ombre</v>
      </c>
      <c r="F34" s="22" t="s">
        <v>507</v>
      </c>
      <c r="G34" s="23" t="str">
        <f aca="false">IF(C34="Zone","Oui","Non")</f>
        <v>Non</v>
      </c>
      <c r="H34" s="27" t="str">
        <f aca="false">IF(G34="Oui",A34,"—")</f>
        <v>—</v>
      </c>
      <c r="I34" s="27" t="str">
        <f aca="false">IF(G34="Oui",A34,"—")</f>
        <v>—</v>
      </c>
      <c r="J34" s="27" t="str">
        <f aca="false">IF(G34="Oui",A34+Paramètres!$B$43,"—")</f>
        <v>—</v>
      </c>
      <c r="K34" s="72" t="n">
        <f aca="false">COUNTIFS(Monstres!$B$7:$B$98,A34,Monstres!$G$7:$G$98,"Non")</f>
        <v>0</v>
      </c>
      <c r="L34" s="22" t="str">
        <f aca="false" t="array" ref="L34:L34">INDEX(Monstres!$F$7:$F$98,MATCH(A34&amp;"|B",Monstres!$AW$7:$AW$98,0))</f>
        <v>Dragon (Ombre)</v>
      </c>
      <c r="M34" s="37" t="str">
        <f aca="false">IFERROR(AVERAGEIFS(Monstres!$AB$7:$AB$98,Monstres!$B$7:$B$98,A34,Monstres!$G$7:$G$98,"Non"),"—")</f>
        <v>—</v>
      </c>
      <c r="N34" s="73" t="str">
        <f aca="false">IFERROR(AVERAGEIFS(Monstres!$AA$7:$AA$98,Monstres!$B$7:$B$98,A34,Monstres!$G$7:$G$98,"Non"),"—")</f>
        <v>—</v>
      </c>
      <c r="O34" s="37" t="str">
        <f aca="false">IFERROR(AVERAGEIFS(Monstres!$AC$7:$AC$98,Monstres!$B$7:$B$98,A34,Monstres!$G$7:$G$98,"Non"),"—")</f>
        <v>—</v>
      </c>
      <c r="P34" s="33" t="n">
        <f aca="false" t="array" ref="P34:P34">INDEX(Monstres!$AB$7:$AB$98,MATCH(A34&amp;"|B",Monstres!$AW$7:$AW$98,0))</f>
        <v>20</v>
      </c>
      <c r="Q34" s="73" t="n">
        <f aca="false" t="array" ref="Q34:Q34">INDEX(Monstres!$AA$7:$AA$98,MATCH(A34&amp;"|B",Monstres!$AW$7:$AW$98,0))</f>
        <v>0.03</v>
      </c>
      <c r="R34" s="33" t="n">
        <f aca="false" t="array" ref="R34:R34">INDEX(Monstres!$AC$7:$AC$98,MATCH(A34&amp;"|B",Monstres!$AW$7:$AW$98,0))</f>
        <v>12</v>
      </c>
      <c r="S34" s="33" t="str">
        <f aca="false">IF(G34="Oui",(I34+J34)/2,"—")</f>
        <v>—</v>
      </c>
      <c r="T34" s="29" t="str">
        <f aca="false">IF(G34="Oui",ROUND(O34*ROUND(Paramètres!$B$49*S34^Paramètres!$B$50,0),0),"—")</f>
        <v>—</v>
      </c>
      <c r="U34" s="29" t="str">
        <f aca="false">IF(G34="Oui",ROUND(O34*ROUND(Paramètres!$B$53*S34^Paramètres!$B$54,0),0),"—")</f>
        <v>—</v>
      </c>
      <c r="V34" s="33" t="str">
        <f aca="false">IF(G34="Oui",M34*(1-Paramètres!$B$46)*Paramètres!$B$45+Paramètres!$B$47/Paramètres!$B$39,"—")</f>
        <v>—</v>
      </c>
      <c r="W34" s="29" t="str">
        <f aca="false">IF(G34="Oui",3600/V34,"—")</f>
        <v>—</v>
      </c>
      <c r="X34" s="29" t="str">
        <f aca="false">IF(G34="Oui",W34*T34,"—")</f>
        <v>—</v>
      </c>
      <c r="Y34" s="29" t="str">
        <f aca="false">IF(G34="Oui",W34*U34,"—")</f>
        <v>—</v>
      </c>
      <c r="Z34" s="32" t="str">
        <f aca="false">IF(G34="Oui",AVERAGEIFS(Monstres!$AL$7:$AL$98,Monstres!$B$7:$B$98,A34,Monstres!$G$7:$G$98,"Non"),"—")</f>
        <v>—</v>
      </c>
      <c r="AA34" s="33" t="str">
        <f aca="false">IF(G34="Oui",W34*Z34,"—")</f>
        <v>—</v>
      </c>
      <c r="AB34" s="37" t="str">
        <f aca="false">IF(G34="Oui",AA34*(INDEX(Butin!$H$15:$H$24,MATCH($A34,Éléments!$C$5:$C$14,1))+INDEX(Butin!$I$15:$I$24,MATCH($A34,Éléments!$C$5:$C$14,1))+INDEX(Butin!$J$15:$J$24,MATCH($A34,Éléments!$C$5:$C$14,1))+INDEX(Butin!$K$15:$K$24,MATCH($A34,Éléments!$C$5:$C$14,1))),"—")</f>
        <v>—</v>
      </c>
      <c r="AC34" s="74" t="str">
        <f aca="false">IF(G34="Oui",AA34*INDEX(Butin!$J$15:$J$24,MATCH($A34,Éléments!$C$5:$C$14,1)),"—")</f>
        <v>—</v>
      </c>
      <c r="AD34" s="33" t="str">
        <f aca="false">IF(G34&lt;&gt;"Oui","—",IF(INDEX(Butin!$K$15:$K$24,MATCH($A34,Éléments!$C$5:$C$14,1))=0,"Aucun",ROUND(1/(AA34*INDEX(Butin!$K$15:$K$24,MATCH($A34,Éléments!$C$5:$C$14,1))),1)))</f>
        <v>—</v>
      </c>
    </row>
    <row r="35" customFormat="false" ht="15.75" hidden="false" customHeight="true" outlineLevel="0" collapsed="false">
      <c r="A35" s="71" t="n">
        <v>100</v>
      </c>
      <c r="B35" s="34" t="s">
        <v>508</v>
      </c>
      <c r="C35" s="23" t="s">
        <v>88</v>
      </c>
      <c r="D35" s="23" t="str">
        <f aca="false" t="array" ref="D35:D35">INDEX(Éléments!$B$5:$B$14,MATCH(A35,Éléments!$C$5:$C$14,1))</f>
        <v>Palais démoniaque</v>
      </c>
      <c r="E35" s="49" t="str">
        <f aca="false" t="array" ref="E35:E35">INDEX(Éléments!$A$5:$A$14,MATCH(A35,Éléments!$C$5:$C$14,1))</f>
        <v>Ombre</v>
      </c>
      <c r="F35" s="22" t="s">
        <v>509</v>
      </c>
      <c r="G35" s="23" t="str">
        <f aca="false">IF(C35="Zone","Oui","Non")</f>
        <v>Oui</v>
      </c>
      <c r="H35" s="27" t="n">
        <f aca="false">IF(G35="Oui",A35,"—")</f>
        <v>100</v>
      </c>
      <c r="I35" s="27" t="n">
        <f aca="false">IF(G35="Oui",A35,"—")</f>
        <v>100</v>
      </c>
      <c r="J35" s="27" t="n">
        <f aca="false">IF(G35="Oui",A35+Paramètres!$B$43,"—")</f>
        <v>110</v>
      </c>
      <c r="K35" s="72" t="n">
        <f aca="false">COUNTIFS(Monstres!$B$7:$B$98,A35,Monstres!$G$7:$G$98,"Non")</f>
        <v>4</v>
      </c>
      <c r="L35" s="22" t="str">
        <f aca="false" t="array" ref="L35:L35">INDEX(Monstres!$F$7:$F$98,MATCH(A35&amp;"|B",Monstres!$AW$7:$AW$98,0))</f>
        <v>Roi démon</v>
      </c>
      <c r="M35" s="37" t="n">
        <f aca="false">IFERROR(AVERAGEIFS(Monstres!$AB$7:$AB$98,Monstres!$B$7:$B$98,A35,Monstres!$G$7:$G$98,"Non"),"—")</f>
        <v>2.1525</v>
      </c>
      <c r="N35" s="73" t="n">
        <f aca="false">IFERROR(AVERAGEIFS(Monstres!$AA$7:$AA$98,Monstres!$B$7:$B$98,A35,Monstres!$G$7:$G$98,"Non"),"—")</f>
        <v>0.01745</v>
      </c>
      <c r="O35" s="37" t="n">
        <f aca="false">IFERROR(AVERAGEIFS(Monstres!$AC$7:$AC$98,Monstres!$B$7:$B$98,A35,Monstres!$G$7:$G$98,"Non"),"—")</f>
        <v>1.125</v>
      </c>
      <c r="P35" s="33" t="n">
        <f aca="false" t="array" ref="P35:P35">INDEX(Monstres!$AB$7:$AB$98,MATCH(A35&amp;"|B",Monstres!$AW$7:$AW$98,0))</f>
        <v>8.4</v>
      </c>
      <c r="Q35" s="73" t="n">
        <f aca="false" t="array" ref="Q35:Q35">INDEX(Monstres!$AA$7:$AA$98,MATCH(A35&amp;"|B",Monstres!$AW$7:$AW$98,0))</f>
        <v>0.0375</v>
      </c>
      <c r="R35" s="33" t="n">
        <f aca="false" t="array" ref="R35:R35">INDEX(Monstres!$AC$7:$AC$98,MATCH(A35&amp;"|B",Monstres!$AW$7:$AW$98,0))</f>
        <v>8</v>
      </c>
      <c r="S35" s="33" t="n">
        <f aca="false">IF(G35="Oui",(I35+J35)/2,"—")</f>
        <v>105</v>
      </c>
      <c r="T35" s="29" t="n">
        <f aca="false">IF(G35="Oui",ROUND(O35*ROUND(Paramètres!$B$49*S35^Paramètres!$B$50,0),0),"—")</f>
        <v>2269</v>
      </c>
      <c r="U35" s="29" t="n">
        <f aca="false">IF(G35="Oui",ROUND(O35*ROUND(Paramètres!$B$53*S35^Paramètres!$B$54,0),0),"—")</f>
        <v>1807</v>
      </c>
      <c r="V35" s="33" t="n">
        <f aca="false">IF(G35="Oui",M35*(1-Paramètres!$B$46)*Paramètres!$B$45+Paramètres!$B$47/Paramètres!$B$39,"—")</f>
        <v>9.40520833333333</v>
      </c>
      <c r="W35" s="29" t="n">
        <f aca="false">IF(G35="Oui",3600/V35,"—")</f>
        <v>382.766640824012</v>
      </c>
      <c r="X35" s="29" t="n">
        <f aca="false">IF(G35="Oui",W35*T35,"—")</f>
        <v>868497.508029682</v>
      </c>
      <c r="Y35" s="29" t="n">
        <f aca="false">IF(G35="Oui",W35*U35,"—")</f>
        <v>691659.319968989</v>
      </c>
      <c r="Z35" s="32" t="n">
        <f aca="false">IF(G35="Oui",AVERAGEIFS(Monstres!$AL$7:$AL$98,Monstres!$B$7:$B$98,A35,Monstres!$G$7:$G$98,"Non"),"—")</f>
        <v>0.06</v>
      </c>
      <c r="AA35" s="33" t="n">
        <f aca="false">IF(G35="Oui",W35*Z35,"—")</f>
        <v>22.9659984494407</v>
      </c>
      <c r="AB35" s="37" t="n">
        <f aca="false">IF(G35="Oui",AA35*(INDEX(Butin!$H$15:$H$24,MATCH($A35,Éléments!$C$5:$C$14,1))+INDEX(Butin!$I$15:$I$24,MATCH($A35,Éléments!$C$5:$C$14,1))+INDEX(Butin!$J$15:$J$24,MATCH($A35,Éléments!$C$5:$C$14,1))+INDEX(Butin!$K$15:$K$24,MATCH($A35,Éléments!$C$5:$C$14,1))),"—")</f>
        <v>10.3346993022483</v>
      </c>
      <c r="AC35" s="74" t="n">
        <f aca="false">IF(G35="Oui",AA35*INDEX(Butin!$J$15:$J$24,MATCH($A35,Éléments!$C$5:$C$14,1)),"—")</f>
        <v>1.33202791006756</v>
      </c>
      <c r="AD35" s="33" t="n">
        <f aca="false">IF(G35&lt;&gt;"Oui","—",IF(INDEX(Butin!$K$15:$K$24,MATCH($A35,Éléments!$C$5:$C$14,1))=0,"Aucun",ROUND(1/(AA35*INDEX(Butin!$K$15:$K$24,MATCH($A35,Éléments!$C$5:$C$14,1))),1)))</f>
        <v>6.2</v>
      </c>
    </row>
    <row r="36" customFormat="false" ht="15.75" hidden="false" customHeight="true" outlineLevel="0" collapsed="false"/>
    <row r="37" customFormat="false" ht="15.75" hidden="false" customHeight="true" outlineLevel="0" collapsed="false">
      <c r="A37" s="11" t="s">
        <v>510</v>
      </c>
    </row>
    <row r="38" customFormat="false" ht="15.75" hidden="false" customHeight="true" outlineLevel="0" collapsed="false">
      <c r="A38" s="11" t="s">
        <v>511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6:AD35">
    <cfRule type="expression" priority="2" aboveAverage="0" equalAverage="0" bottom="0" percent="0" rank="0" text="" dxfId="26">
      <formula>$C6="Tannière"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26"/>
    <col collapsed="false" customWidth="true" hidden="false" outlineLevel="0" max="8" min="8" style="1" width="24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7" min="15" style="1" width="11"/>
    <col collapsed="false" customWidth="true" hidden="false" outlineLevel="0" max="19" min="18" style="1" width="12"/>
    <col collapsed="false" customWidth="true" hidden="false" outlineLevel="0" max="20" min="20" style="1" width="26"/>
    <col collapsed="false" customWidth="true" hidden="false" outlineLevel="0" max="30" min="21" style="1" width="11"/>
  </cols>
  <sheetData>
    <row r="1" customFormat="false" ht="17.25" hidden="false" customHeight="true" outlineLevel="0" collapsed="false">
      <c r="A1" s="8" t="s">
        <v>512</v>
      </c>
    </row>
    <row r="2" customFormat="false" ht="15" hidden="false" customHeight="true" outlineLevel="0" collapsed="false">
      <c r="A2" s="3" t="s">
        <v>513</v>
      </c>
    </row>
    <row r="3" customFormat="false" ht="15" hidden="false" customHeight="true" outlineLevel="0" collapsed="false">
      <c r="A3" s="11" t="s">
        <v>514</v>
      </c>
    </row>
    <row r="5" customFormat="false" ht="57.75" hidden="false" customHeight="true" outlineLevel="0" collapsed="false">
      <c r="A5" s="12" t="s">
        <v>422</v>
      </c>
      <c r="B5" s="12" t="s">
        <v>515</v>
      </c>
      <c r="C5" s="12" t="s">
        <v>89</v>
      </c>
      <c r="D5" s="12" t="s">
        <v>90</v>
      </c>
      <c r="E5" s="12" t="s">
        <v>516</v>
      </c>
      <c r="F5" s="12" t="s">
        <v>517</v>
      </c>
      <c r="G5" s="12" t="s">
        <v>88</v>
      </c>
      <c r="H5" s="12" t="s">
        <v>430</v>
      </c>
      <c r="I5" s="12" t="s">
        <v>518</v>
      </c>
      <c r="J5" s="12" t="s">
        <v>8</v>
      </c>
      <c r="K5" s="12" t="s">
        <v>519</v>
      </c>
      <c r="L5" s="12" t="s">
        <v>520</v>
      </c>
      <c r="M5" s="12" t="s">
        <v>521</v>
      </c>
      <c r="N5" s="12" t="s">
        <v>522</v>
      </c>
      <c r="O5" s="12" t="s">
        <v>523</v>
      </c>
      <c r="P5" s="12" t="s">
        <v>524</v>
      </c>
      <c r="Q5" s="12" t="s">
        <v>62</v>
      </c>
      <c r="R5" s="12" t="s">
        <v>525</v>
      </c>
      <c r="S5" s="12" t="s">
        <v>526</v>
      </c>
      <c r="T5" s="12" t="s">
        <v>527</v>
      </c>
      <c r="U5" s="12" t="s">
        <v>528</v>
      </c>
      <c r="V5" s="12" t="s">
        <v>529</v>
      </c>
      <c r="W5" s="12" t="s">
        <v>530</v>
      </c>
      <c r="X5" s="13" t="s">
        <v>411</v>
      </c>
      <c r="Y5" s="14" t="s">
        <v>412</v>
      </c>
      <c r="Z5" s="15" t="s">
        <v>413</v>
      </c>
      <c r="AA5" s="16" t="s">
        <v>414</v>
      </c>
      <c r="AB5" s="17" t="s">
        <v>415</v>
      </c>
      <c r="AC5" s="18" t="s">
        <v>416</v>
      </c>
      <c r="AD5" s="19" t="s">
        <v>417</v>
      </c>
    </row>
    <row r="6" customFormat="false" ht="15" hidden="false" customHeight="true" outlineLevel="0" collapsed="false">
      <c r="A6" s="71" t="n">
        <v>1</v>
      </c>
      <c r="B6" s="23" t="n">
        <f aca="false">A6</f>
        <v>1</v>
      </c>
      <c r="C6" s="23" t="str">
        <f aca="false" t="array" ref="C6:C6">INDEX(Éléments!$B$5:$B$14,MATCH(A6,Éléments!$C$5:$C$14,1))</f>
        <v>Forêt</v>
      </c>
      <c r="D6" s="24" t="str">
        <f aca="false" t="array" ref="D6:D6">INDEX(Éléments!$A$5:$A$14,MATCH(A6,Éléments!$C$5:$C$14,1))</f>
        <v>Neutre</v>
      </c>
      <c r="E6" s="23" t="str">
        <f aca="false">IF(MOD(A6,5)=0,"Boss",IF(MOD(A6,10)=9,"Dragon","Normal"))</f>
        <v>Normal</v>
      </c>
      <c r="F6" s="23" t="n">
        <f aca="false">IF(E6="Normal",5*ROUNDUP(A6/5,0),A6)</f>
        <v>5</v>
      </c>
      <c r="G6" s="22" t="str">
        <f aca="false" t="array" ref="G6:G6">INDEX(Zones!$B$6:$B$35,MATCH(F6,Zones!$A$6:$A$35,0))</f>
        <v>Forêt de chasse</v>
      </c>
      <c r="H6" s="22" t="str">
        <f aca="false" t="array" ref="H6:H6">IF(E6="Normal","—",INDEX(Zones!$L$6:$L$35,MATCH(F6,Zones!$A$6:$A$35,0)))</f>
        <v>—</v>
      </c>
      <c r="I6" s="27" t="n">
        <f aca="false">IF(E6="Normal",Paramètres!$B$40,IF(E6="Boss",Paramètres!$B$41,1))</f>
        <v>3</v>
      </c>
      <c r="J6" s="23" t="n">
        <f aca="false">IF(E6="Normal",Paramètres!$B$40*Paramètres!$B$39,IF(E6="Boss",(Paramètres!$B$41-1)*Paramètres!$B$39+Paramètres!$B$42+1,1))</f>
        <v>9</v>
      </c>
      <c r="K6" s="33" t="n">
        <f aca="false" t="array" ref="K6:K6">IF(E6="Normal",Paramètres!$B$40*Paramètres!$B$39*(INDEX(Zones!$M$6:$M$35,MATCH(F6,Zones!$A$6:$A$35,0))*(1-Paramètres!$B$46)),IF(E6="Boss",((Paramètres!$B$41-1)*Paramètres!$B$39+Paramètres!$B$42)*(INDEX(Zones!$M$6:$M$35,MATCH(F6,Zones!$A$6:$A$35,0))*(1-Paramètres!$B$46))+INDEX(Zones!$P$6:$P$35,MATCH(F6,Zones!$A$6:$A$35,0)),INDEX(Zones!$P$6:$P$35,MATCH(F6,Zones!$A$6:$A$35,0))))</f>
        <v>17.1</v>
      </c>
      <c r="L6" s="27" t="n">
        <f aca="false">K6*Paramètres!$B$45+I6*Paramètres!$B$47</f>
        <v>97.5</v>
      </c>
      <c r="M6" s="30" t="n">
        <f aca="false" t="array" ref="M6:M6">IF(E6="Dragon",0,(INDEX(Zones!$N$6:$N$35,MATCH(F6,Zones!$A$6:$A$35,0))*Paramètres!$B$34*(INDEX(Zones!$M$6:$M$35,MATCH(F6,Zones!$A$6:$A$35,0))*(1-Paramètres!$B$46))*Paramètres!$B$39*(Paramètres!$B$39+1)/2))</f>
        <v>0.167637</v>
      </c>
      <c r="N6" s="30" t="n">
        <f aca="false" t="array" ref="N6:N6">IF(E6="Normal",0,IF(E6="Dragon",INDEX(Zones!$Q$6:$Q$35,MATCH(F6,Zones!$A$6:$A$35,0))*Paramètres!$B$34*INDEX(Zones!$P$6:$P$35,MATCH(F6,Zones!$A$6:$A$35,0)),INDEX(Zones!$Q$6:$Q$35,MATCH(F6,Zones!$A$6:$A$35,0))*Paramètres!$B$34*(INDEX(Zones!$P$6:$P$35,MATCH(F6,Zones!$A$6:$A$35,0))+Paramètres!$B$42*(INDEX(Zones!$M$6:$M$35,MATCH(F6,Zones!$A$6:$A$35,0))*(1-Paramètres!$B$46)))+INDEX(Zones!$N$6:$N$35,MATCH(F6,Zones!$A$6:$A$35,0))*Paramètres!$B$34*(INDEX(Zones!$M$6:$M$35,MATCH(F6,Zones!$A$6:$A$35,0))*(1-Paramètres!$B$46))*(Paramètres!$B$42*(Paramètres!$B$42+1)/2)))</f>
        <v>0</v>
      </c>
      <c r="O6" s="75" t="n">
        <f aca="false">MAX(M6,N6)</f>
        <v>0.167637</v>
      </c>
      <c r="P6" s="36" t="n">
        <f aca="false">IF(E6="Normal",M6*Paramètres!$B$40,IF(E6="Boss",M6*(Paramètres!$B$41-1)+N6,N6))</f>
        <v>0.502911</v>
      </c>
      <c r="Q6" s="76" t="str">
        <f aca="false">IF(O6&gt;Paramètres!$B$37,"Trop dur","OK")</f>
        <v>OK</v>
      </c>
      <c r="R6" s="29" t="n">
        <f aca="false" t="array" ref="R6:R6">ROUND(IF(E6="Normal",J6*INDEX(Zones!$O$6:$O$35,MATCH(F6,Zones!$A$6:$A$35,0)),IF(E6="Boss",((Paramètres!$B$41-1)*Paramètres!$B$39+Paramètres!$B$42)*INDEX(Zones!$O$6:$O$35,MATCH(F6,Zones!$A$6:$A$35,0))+INDEX(Zones!$R$6:$R$35,MATCH(F6,Zones!$A$6:$A$35,0)),INDEX(Zones!$R$6:$R$35,MATCH(F6,Zones!$A$6:$A$35,0))))*ROUND(Paramètres!$B$49*B6^Paramètres!$B$50,0),0)</f>
        <v>61</v>
      </c>
      <c r="S6" s="29" t="n">
        <f aca="false" t="array" ref="S6:S6">ROUND(IF(E6="Normal",J6*INDEX(Zones!$O$6:$O$35,MATCH(F6,Zones!$A$6:$A$35,0)),IF(E6="Boss",((Paramètres!$B$41-1)*Paramètres!$B$39+Paramètres!$B$42)*INDEX(Zones!$O$6:$O$35,MATCH(F6,Zones!$A$6:$A$35,0))+INDEX(Zones!$R$6:$R$35,MATCH(F6,Zones!$A$6:$A$35,0)),INDEX(Zones!$R$6:$R$35,MATCH(F6,Zones!$A$6:$A$35,0))))*ROUND(Paramètres!$B$53*B6^Paramètres!$B$54,0),0)</f>
        <v>31</v>
      </c>
      <c r="T6" s="22" t="str">
        <f aca="false">IF(E6="Boss",G6,"—")</f>
        <v>—</v>
      </c>
      <c r="U6" s="37" t="n">
        <f aca="false">IF(E6="Dragon",0,(J6-IF(E6="Boss",1,0))*AVERAGEIFS(Monstres!$AL$7:$AL$98,Monstres!$B$7:$B$98,F6,Monstres!$G$7:$G$98,"Non"))</f>
        <v>0.54</v>
      </c>
      <c r="V6" s="74" t="n">
        <f aca="false">IF(E6="Boss",Butin!$E$10,IF(E6="Dragon",Butin!$E$11,0))</f>
        <v>0</v>
      </c>
      <c r="W6" s="37" t="n">
        <f aca="false">U6+V6</f>
        <v>0.54</v>
      </c>
      <c r="X6" s="77" t="n">
        <f aca="false">U6*INDEX(Butin!$E$15:$K$24,MATCH($A6,Éléments!$C$5:$C$14,1),1)+V6*IF(E6="Boss",INDEX(Butin!$E$28:$K$37,MATCH($A6,Éléments!$C$5:$C$14,1),1),IF(E6="Dragon",INDEX(Butin!$E$41:$K$50,MATCH($A6,Éléments!$C$5:$C$14,1),1),0))</f>
        <v>0.432</v>
      </c>
      <c r="Y6" s="77" t="n">
        <f aca="false">U6*INDEX(Butin!$E$15:$K$24,MATCH($A6,Éléments!$C$5:$C$14,1),2)+V6*IF(E6="Boss",INDEX(Butin!$E$28:$K$37,MATCH($A6,Éléments!$C$5:$C$14,1),2),IF(E6="Dragon",INDEX(Butin!$E$41:$K$50,MATCH($A6,Éléments!$C$5:$C$14,1),2),0))</f>
        <v>0.108</v>
      </c>
      <c r="Z6" s="77" t="n">
        <f aca="false">U6*INDEX(Butin!$E$15:$K$24,MATCH($A6,Éléments!$C$5:$C$14,1),3)+V6*IF(E6="Boss",INDEX(Butin!$E$28:$K$37,MATCH($A6,Éléments!$C$5:$C$14,1),3),IF(E6="Dragon",INDEX(Butin!$E$41:$K$50,MATCH($A6,Éléments!$C$5:$C$14,1),3),0))</f>
        <v>0</v>
      </c>
      <c r="AA6" s="77" t="n">
        <f aca="false">U6*INDEX(Butin!$E$15:$K$24,MATCH($A6,Éléments!$C$5:$C$14,1),4)+V6*IF(E6="Boss",INDEX(Butin!$E$28:$K$37,MATCH($A6,Éléments!$C$5:$C$14,1),4),IF(E6="Dragon",INDEX(Butin!$E$41:$K$50,MATCH($A6,Éléments!$C$5:$C$14,1),4),0))</f>
        <v>0</v>
      </c>
      <c r="AB6" s="77" t="n">
        <f aca="false">U6*INDEX(Butin!$E$15:$K$24,MATCH($A6,Éléments!$C$5:$C$14,1),5)+V6*IF(E6="Boss",INDEX(Butin!$E$28:$K$37,MATCH($A6,Éléments!$C$5:$C$14,1),5),IF(E6="Dragon",INDEX(Butin!$E$41:$K$50,MATCH($A6,Éléments!$C$5:$C$14,1),5),0))</f>
        <v>0</v>
      </c>
      <c r="AC6" s="77" t="n">
        <f aca="false">U6*INDEX(Butin!$E$15:$K$24,MATCH($A6,Éléments!$C$5:$C$14,1),6)+V6*IF(E6="Boss",INDEX(Butin!$E$28:$K$37,MATCH($A6,Éléments!$C$5:$C$14,1),6),IF(E6="Dragon",INDEX(Butin!$E$41:$K$50,MATCH($A6,Éléments!$C$5:$C$14,1),6),0))</f>
        <v>0</v>
      </c>
      <c r="AD6" s="77" t="n">
        <f aca="false">U6*INDEX(Butin!$E$15:$K$24,MATCH($A6,Éléments!$C$5:$C$14,1),7)+V6*IF(E6="Boss",INDEX(Butin!$E$28:$K$37,MATCH($A6,Éléments!$C$5:$C$14,1),7),IF(E6="Dragon",INDEX(Butin!$E$41:$K$50,MATCH($A6,Éléments!$C$5:$C$14,1),7),0))</f>
        <v>0</v>
      </c>
    </row>
    <row r="7" customFormat="false" ht="15" hidden="false" customHeight="true" outlineLevel="0" collapsed="false">
      <c r="A7" s="71" t="n">
        <v>2</v>
      </c>
      <c r="B7" s="23" t="n">
        <f aca="false">A7</f>
        <v>2</v>
      </c>
      <c r="C7" s="23" t="str">
        <f aca="false" t="array" ref="C7:C7">INDEX(Éléments!$B$5:$B$14,MATCH(A7,Éléments!$C$5:$C$14,1))</f>
        <v>Forêt</v>
      </c>
      <c r="D7" s="24" t="str">
        <f aca="false" t="array" ref="D7:D7">INDEX(Éléments!$A$5:$A$14,MATCH(A7,Éléments!$C$5:$C$14,1))</f>
        <v>Neutre</v>
      </c>
      <c r="E7" s="23" t="str">
        <f aca="false">IF(MOD(A7,5)=0,"Boss",IF(MOD(A7,10)=9,"Dragon","Normal"))</f>
        <v>Normal</v>
      </c>
      <c r="F7" s="23" t="n">
        <f aca="false">IF(E7="Normal",5*ROUNDUP(A7/5,0),A7)</f>
        <v>5</v>
      </c>
      <c r="G7" s="22" t="str">
        <f aca="false" t="array" ref="G7:G7">INDEX(Zones!$B$6:$B$35,MATCH(F7,Zones!$A$6:$A$35,0))</f>
        <v>Forêt de chasse</v>
      </c>
      <c r="H7" s="22" t="str">
        <f aca="false" t="array" ref="H7:H7">IF(E7="Normal","—",INDEX(Zones!$L$6:$L$35,MATCH(F7,Zones!$A$6:$A$35,0)))</f>
        <v>—</v>
      </c>
      <c r="I7" s="27" t="n">
        <f aca="false">IF(E7="Normal",Paramètres!$B$40,IF(E7="Boss",Paramètres!$B$41,1))</f>
        <v>3</v>
      </c>
      <c r="J7" s="23" t="n">
        <f aca="false">IF(E7="Normal",Paramètres!$B$40*Paramètres!$B$39,IF(E7="Boss",(Paramètres!$B$41-1)*Paramètres!$B$39+Paramètres!$B$42+1,1))</f>
        <v>9</v>
      </c>
      <c r="K7" s="33" t="n">
        <f aca="false" t="array" ref="K7:K7">IF(E7="Normal",Paramètres!$B$40*Paramètres!$B$39*(INDEX(Zones!$M$6:$M$35,MATCH(F7,Zones!$A$6:$A$35,0))*(1-Paramètres!$B$46)),IF(E7="Boss",((Paramètres!$B$41-1)*Paramètres!$B$39+Paramètres!$B$42)*(INDEX(Zones!$M$6:$M$35,MATCH(F7,Zones!$A$6:$A$35,0))*(1-Paramètres!$B$46))+INDEX(Zones!$P$6:$P$35,MATCH(F7,Zones!$A$6:$A$35,0)),INDEX(Zones!$P$6:$P$35,MATCH(F7,Zones!$A$6:$A$35,0))))</f>
        <v>17.1</v>
      </c>
      <c r="L7" s="27" t="n">
        <f aca="false">K7*Paramètres!$B$45+I7*Paramètres!$B$47</f>
        <v>97.5</v>
      </c>
      <c r="M7" s="30" t="n">
        <f aca="false" t="array" ref="M7:M7">IF(E7="Dragon",0,(INDEX(Zones!$N$6:$N$35,MATCH(F7,Zones!$A$6:$A$35,0))*Paramètres!$B$34*(INDEX(Zones!$M$6:$M$35,MATCH(F7,Zones!$A$6:$A$35,0))*(1-Paramètres!$B$46))*Paramètres!$B$39*(Paramètres!$B$39+1)/2))</f>
        <v>0.167637</v>
      </c>
      <c r="N7" s="30" t="n">
        <f aca="false" t="array" ref="N7:N7">IF(E7="Normal",0,IF(E7="Dragon",INDEX(Zones!$Q$6:$Q$35,MATCH(F7,Zones!$A$6:$A$35,0))*Paramètres!$B$34*INDEX(Zones!$P$6:$P$35,MATCH(F7,Zones!$A$6:$A$35,0)),INDEX(Zones!$Q$6:$Q$35,MATCH(F7,Zones!$A$6:$A$35,0))*Paramètres!$B$34*(INDEX(Zones!$P$6:$P$35,MATCH(F7,Zones!$A$6:$A$35,0))+Paramètres!$B$42*(INDEX(Zones!$M$6:$M$35,MATCH(F7,Zones!$A$6:$A$35,0))*(1-Paramètres!$B$46)))+INDEX(Zones!$N$6:$N$35,MATCH(F7,Zones!$A$6:$A$35,0))*Paramètres!$B$34*(INDEX(Zones!$M$6:$M$35,MATCH(F7,Zones!$A$6:$A$35,0))*(1-Paramètres!$B$46))*(Paramètres!$B$42*(Paramètres!$B$42+1)/2)))</f>
        <v>0</v>
      </c>
      <c r="O7" s="75" t="n">
        <f aca="false">MAX(M7,N7)</f>
        <v>0.167637</v>
      </c>
      <c r="P7" s="36" t="n">
        <f aca="false">IF(E7="Normal",M7*Paramètres!$B$40,IF(E7="Boss",M7*(Paramètres!$B$41-1)+N7,N7))</f>
        <v>0.502911</v>
      </c>
      <c r="Q7" s="76" t="str">
        <f aca="false">IF(O7&gt;Paramètres!$B$37,"Trop dur","OK")</f>
        <v>OK</v>
      </c>
      <c r="R7" s="29" t="n">
        <f aca="false" t="array" ref="R7:R7">ROUND(IF(E7="Normal",J7*INDEX(Zones!$O$6:$O$35,MATCH(F7,Zones!$A$6:$A$35,0)),IF(E7="Boss",((Paramètres!$B$41-1)*Paramètres!$B$39+Paramètres!$B$42)*INDEX(Zones!$O$6:$O$35,MATCH(F7,Zones!$A$6:$A$35,0))+INDEX(Zones!$R$6:$R$35,MATCH(F7,Zones!$A$6:$A$35,0)),INDEX(Zones!$R$6:$R$35,MATCH(F7,Zones!$A$6:$A$35,0))))*ROUND(Paramètres!$B$49*B7^Paramètres!$B$50,0),0)</f>
        <v>143</v>
      </c>
      <c r="S7" s="29" t="n">
        <f aca="false" t="array" ref="S7:S7">ROUND(IF(E7="Normal",J7*INDEX(Zones!$O$6:$O$35,MATCH(F7,Zones!$A$6:$A$35,0)),IF(E7="Boss",((Paramètres!$B$41-1)*Paramètres!$B$39+Paramètres!$B$42)*INDEX(Zones!$O$6:$O$35,MATCH(F7,Zones!$A$6:$A$35,0))+INDEX(Zones!$R$6:$R$35,MATCH(F7,Zones!$A$6:$A$35,0)),INDEX(Zones!$R$6:$R$35,MATCH(F7,Zones!$A$6:$A$35,0))))*ROUND(Paramètres!$B$53*B7^Paramètres!$B$54,0),0)</f>
        <v>82</v>
      </c>
      <c r="T7" s="22" t="str">
        <f aca="false">IF(E7="Boss",G7,"—")</f>
        <v>—</v>
      </c>
      <c r="U7" s="37" t="n">
        <f aca="false">IF(E7="Dragon",0,(J7-IF(E7="Boss",1,0))*AVERAGEIFS(Monstres!$AL$7:$AL$98,Monstres!$B$7:$B$98,F7,Monstres!$G$7:$G$98,"Non"))</f>
        <v>0.54</v>
      </c>
      <c r="V7" s="74" t="n">
        <f aca="false">IF(E7="Boss",Butin!$E$10,IF(E7="Dragon",Butin!$E$11,0))</f>
        <v>0</v>
      </c>
      <c r="W7" s="37" t="n">
        <f aca="false">U7+V7</f>
        <v>0.54</v>
      </c>
      <c r="X7" s="77" t="n">
        <f aca="false">U7*INDEX(Butin!$E$15:$K$24,MATCH($A7,Éléments!$C$5:$C$14,1),1)+V7*IF(E7="Boss",INDEX(Butin!$E$28:$K$37,MATCH($A7,Éléments!$C$5:$C$14,1),1),IF(E7="Dragon",INDEX(Butin!$E$41:$K$50,MATCH($A7,Éléments!$C$5:$C$14,1),1),0))</f>
        <v>0.432</v>
      </c>
      <c r="Y7" s="77" t="n">
        <f aca="false">U7*INDEX(Butin!$E$15:$K$24,MATCH($A7,Éléments!$C$5:$C$14,1),2)+V7*IF(E7="Boss",INDEX(Butin!$E$28:$K$37,MATCH($A7,Éléments!$C$5:$C$14,1),2),IF(E7="Dragon",INDEX(Butin!$E$41:$K$50,MATCH($A7,Éléments!$C$5:$C$14,1),2),0))</f>
        <v>0.108</v>
      </c>
      <c r="Z7" s="77" t="n">
        <f aca="false">U7*INDEX(Butin!$E$15:$K$24,MATCH($A7,Éléments!$C$5:$C$14,1),3)+V7*IF(E7="Boss",INDEX(Butin!$E$28:$K$37,MATCH($A7,Éléments!$C$5:$C$14,1),3),IF(E7="Dragon",INDEX(Butin!$E$41:$K$50,MATCH($A7,Éléments!$C$5:$C$14,1),3),0))</f>
        <v>0</v>
      </c>
      <c r="AA7" s="77" t="n">
        <f aca="false">U7*INDEX(Butin!$E$15:$K$24,MATCH($A7,Éléments!$C$5:$C$14,1),4)+V7*IF(E7="Boss",INDEX(Butin!$E$28:$K$37,MATCH($A7,Éléments!$C$5:$C$14,1),4),IF(E7="Dragon",INDEX(Butin!$E$41:$K$50,MATCH($A7,Éléments!$C$5:$C$14,1),4),0))</f>
        <v>0</v>
      </c>
      <c r="AB7" s="77" t="n">
        <f aca="false">U7*INDEX(Butin!$E$15:$K$24,MATCH($A7,Éléments!$C$5:$C$14,1),5)+V7*IF(E7="Boss",INDEX(Butin!$E$28:$K$37,MATCH($A7,Éléments!$C$5:$C$14,1),5),IF(E7="Dragon",INDEX(Butin!$E$41:$K$50,MATCH($A7,Éléments!$C$5:$C$14,1),5),0))</f>
        <v>0</v>
      </c>
      <c r="AC7" s="77" t="n">
        <f aca="false">U7*INDEX(Butin!$E$15:$K$24,MATCH($A7,Éléments!$C$5:$C$14,1),6)+V7*IF(E7="Boss",INDEX(Butin!$E$28:$K$37,MATCH($A7,Éléments!$C$5:$C$14,1),6),IF(E7="Dragon",INDEX(Butin!$E$41:$K$50,MATCH($A7,Éléments!$C$5:$C$14,1),6),0))</f>
        <v>0</v>
      </c>
      <c r="AD7" s="77" t="n">
        <f aca="false">U7*INDEX(Butin!$E$15:$K$24,MATCH($A7,Éléments!$C$5:$C$14,1),7)+V7*IF(E7="Boss",INDEX(Butin!$E$28:$K$37,MATCH($A7,Éléments!$C$5:$C$14,1),7),IF(E7="Dragon",INDEX(Butin!$E$41:$K$50,MATCH($A7,Éléments!$C$5:$C$14,1),7),0))</f>
        <v>0</v>
      </c>
    </row>
    <row r="8" customFormat="false" ht="15" hidden="false" customHeight="true" outlineLevel="0" collapsed="false">
      <c r="A8" s="71" t="n">
        <v>3</v>
      </c>
      <c r="B8" s="23" t="n">
        <f aca="false">A8</f>
        <v>3</v>
      </c>
      <c r="C8" s="23" t="str">
        <f aca="false" t="array" ref="C8:C8">INDEX(Éléments!$B$5:$B$14,MATCH(A8,Éléments!$C$5:$C$14,1))</f>
        <v>Forêt</v>
      </c>
      <c r="D8" s="24" t="str">
        <f aca="false" t="array" ref="D8:D8">INDEX(Éléments!$A$5:$A$14,MATCH(A8,Éléments!$C$5:$C$14,1))</f>
        <v>Neutre</v>
      </c>
      <c r="E8" s="23" t="str">
        <f aca="false">IF(MOD(A8,5)=0,"Boss",IF(MOD(A8,10)=9,"Dragon","Normal"))</f>
        <v>Normal</v>
      </c>
      <c r="F8" s="23" t="n">
        <f aca="false">IF(E8="Normal",5*ROUNDUP(A8/5,0),A8)</f>
        <v>5</v>
      </c>
      <c r="G8" s="22" t="str">
        <f aca="false" t="array" ref="G8:G8">INDEX(Zones!$B$6:$B$35,MATCH(F8,Zones!$A$6:$A$35,0))</f>
        <v>Forêt de chasse</v>
      </c>
      <c r="H8" s="22" t="str">
        <f aca="false" t="array" ref="H8:H8">IF(E8="Normal","—",INDEX(Zones!$L$6:$L$35,MATCH(F8,Zones!$A$6:$A$35,0)))</f>
        <v>—</v>
      </c>
      <c r="I8" s="27" t="n">
        <f aca="false">IF(E8="Normal",Paramètres!$B$40,IF(E8="Boss",Paramètres!$B$41,1))</f>
        <v>3</v>
      </c>
      <c r="J8" s="23" t="n">
        <f aca="false">IF(E8="Normal",Paramètres!$B$40*Paramètres!$B$39,IF(E8="Boss",(Paramètres!$B$41-1)*Paramètres!$B$39+Paramètres!$B$42+1,1))</f>
        <v>9</v>
      </c>
      <c r="K8" s="33" t="n">
        <f aca="false" t="array" ref="K8:K8">IF(E8="Normal",Paramètres!$B$40*Paramètres!$B$39*(INDEX(Zones!$M$6:$M$35,MATCH(F8,Zones!$A$6:$A$35,0))*(1-Paramètres!$B$46)),IF(E8="Boss",((Paramètres!$B$41-1)*Paramètres!$B$39+Paramètres!$B$42)*(INDEX(Zones!$M$6:$M$35,MATCH(F8,Zones!$A$6:$A$35,0))*(1-Paramètres!$B$46))+INDEX(Zones!$P$6:$P$35,MATCH(F8,Zones!$A$6:$A$35,0)),INDEX(Zones!$P$6:$P$35,MATCH(F8,Zones!$A$6:$A$35,0))))</f>
        <v>17.1</v>
      </c>
      <c r="L8" s="27" t="n">
        <f aca="false">K8*Paramètres!$B$45+I8*Paramètres!$B$47</f>
        <v>97.5</v>
      </c>
      <c r="M8" s="30" t="n">
        <f aca="false" t="array" ref="M8:M8">IF(E8="Dragon",0,(INDEX(Zones!$N$6:$N$35,MATCH(F8,Zones!$A$6:$A$35,0))*Paramètres!$B$34*(INDEX(Zones!$M$6:$M$35,MATCH(F8,Zones!$A$6:$A$35,0))*(1-Paramètres!$B$46))*Paramètres!$B$39*(Paramètres!$B$39+1)/2))</f>
        <v>0.167637</v>
      </c>
      <c r="N8" s="30" t="n">
        <f aca="false" t="array" ref="N8:N8">IF(E8="Normal",0,IF(E8="Dragon",INDEX(Zones!$Q$6:$Q$35,MATCH(F8,Zones!$A$6:$A$35,0))*Paramètres!$B$34*INDEX(Zones!$P$6:$P$35,MATCH(F8,Zones!$A$6:$A$35,0)),INDEX(Zones!$Q$6:$Q$35,MATCH(F8,Zones!$A$6:$A$35,0))*Paramètres!$B$34*(INDEX(Zones!$P$6:$P$35,MATCH(F8,Zones!$A$6:$A$35,0))+Paramètres!$B$42*(INDEX(Zones!$M$6:$M$35,MATCH(F8,Zones!$A$6:$A$35,0))*(1-Paramètres!$B$46)))+INDEX(Zones!$N$6:$N$35,MATCH(F8,Zones!$A$6:$A$35,0))*Paramètres!$B$34*(INDEX(Zones!$M$6:$M$35,MATCH(F8,Zones!$A$6:$A$35,0))*(1-Paramètres!$B$46))*(Paramètres!$B$42*(Paramètres!$B$42+1)/2)))</f>
        <v>0</v>
      </c>
      <c r="O8" s="75" t="n">
        <f aca="false">MAX(M8,N8)</f>
        <v>0.167637</v>
      </c>
      <c r="P8" s="36" t="n">
        <f aca="false">IF(E8="Normal",M8*Paramètres!$B$40,IF(E8="Boss",M8*(Paramètres!$B$41-1)+N8,N8))</f>
        <v>0.502911</v>
      </c>
      <c r="Q8" s="76" t="str">
        <f aca="false">IF(O8&gt;Paramètres!$B$37,"Trop dur","OK")</f>
        <v>OK</v>
      </c>
      <c r="R8" s="29" t="n">
        <f aca="false" t="array" ref="R8:R8">ROUND(IF(E8="Normal",J8*INDEX(Zones!$O$6:$O$35,MATCH(F8,Zones!$A$6:$A$35,0)),IF(E8="Boss",((Paramètres!$B$41-1)*Paramètres!$B$39+Paramètres!$B$42)*INDEX(Zones!$O$6:$O$35,MATCH(F8,Zones!$A$6:$A$35,0))+INDEX(Zones!$R$6:$R$35,MATCH(F8,Zones!$A$6:$A$35,0)),INDEX(Zones!$R$6:$R$35,MATCH(F8,Zones!$A$6:$A$35,0))))*ROUND(Paramètres!$B$49*B8^Paramètres!$B$50,0),0)</f>
        <v>245</v>
      </c>
      <c r="S8" s="29" t="n">
        <f aca="false" t="array" ref="S8:S8">ROUND(IF(E8="Normal",J8*INDEX(Zones!$O$6:$O$35,MATCH(F8,Zones!$A$6:$A$35,0)),IF(E8="Boss",((Paramètres!$B$41-1)*Paramètres!$B$39+Paramètres!$B$42)*INDEX(Zones!$O$6:$O$35,MATCH(F8,Zones!$A$6:$A$35,0))+INDEX(Zones!$R$6:$R$35,MATCH(F8,Zones!$A$6:$A$35,0)),INDEX(Zones!$R$6:$R$35,MATCH(F8,Zones!$A$6:$A$35,0))))*ROUND(Paramètres!$B$53*B8^Paramètres!$B$54,0),0)</f>
        <v>133</v>
      </c>
      <c r="T8" s="22" t="str">
        <f aca="false">IF(E8="Boss",G8,"—")</f>
        <v>—</v>
      </c>
      <c r="U8" s="37" t="n">
        <f aca="false">IF(E8="Dragon",0,(J8-IF(E8="Boss",1,0))*AVERAGEIFS(Monstres!$AL$7:$AL$98,Monstres!$B$7:$B$98,F8,Monstres!$G$7:$G$98,"Non"))</f>
        <v>0.54</v>
      </c>
      <c r="V8" s="74" t="n">
        <f aca="false">IF(E8="Boss",Butin!$E$10,IF(E8="Dragon",Butin!$E$11,0))</f>
        <v>0</v>
      </c>
      <c r="W8" s="37" t="n">
        <f aca="false">U8+V8</f>
        <v>0.54</v>
      </c>
      <c r="X8" s="77" t="n">
        <f aca="false">U8*INDEX(Butin!$E$15:$K$24,MATCH($A8,Éléments!$C$5:$C$14,1),1)+V8*IF(E8="Boss",INDEX(Butin!$E$28:$K$37,MATCH($A8,Éléments!$C$5:$C$14,1),1),IF(E8="Dragon",INDEX(Butin!$E$41:$K$50,MATCH($A8,Éléments!$C$5:$C$14,1),1),0))</f>
        <v>0.432</v>
      </c>
      <c r="Y8" s="77" t="n">
        <f aca="false">U8*INDEX(Butin!$E$15:$K$24,MATCH($A8,Éléments!$C$5:$C$14,1),2)+V8*IF(E8="Boss",INDEX(Butin!$E$28:$K$37,MATCH($A8,Éléments!$C$5:$C$14,1),2),IF(E8="Dragon",INDEX(Butin!$E$41:$K$50,MATCH($A8,Éléments!$C$5:$C$14,1),2),0))</f>
        <v>0.108</v>
      </c>
      <c r="Z8" s="77" t="n">
        <f aca="false">U8*INDEX(Butin!$E$15:$K$24,MATCH($A8,Éléments!$C$5:$C$14,1),3)+V8*IF(E8="Boss",INDEX(Butin!$E$28:$K$37,MATCH($A8,Éléments!$C$5:$C$14,1),3),IF(E8="Dragon",INDEX(Butin!$E$41:$K$50,MATCH($A8,Éléments!$C$5:$C$14,1),3),0))</f>
        <v>0</v>
      </c>
      <c r="AA8" s="77" t="n">
        <f aca="false">U8*INDEX(Butin!$E$15:$K$24,MATCH($A8,Éléments!$C$5:$C$14,1),4)+V8*IF(E8="Boss",INDEX(Butin!$E$28:$K$37,MATCH($A8,Éléments!$C$5:$C$14,1),4),IF(E8="Dragon",INDEX(Butin!$E$41:$K$50,MATCH($A8,Éléments!$C$5:$C$14,1),4),0))</f>
        <v>0</v>
      </c>
      <c r="AB8" s="77" t="n">
        <f aca="false">U8*INDEX(Butin!$E$15:$K$24,MATCH($A8,Éléments!$C$5:$C$14,1),5)+V8*IF(E8="Boss",INDEX(Butin!$E$28:$K$37,MATCH($A8,Éléments!$C$5:$C$14,1),5),IF(E8="Dragon",INDEX(Butin!$E$41:$K$50,MATCH($A8,Éléments!$C$5:$C$14,1),5),0))</f>
        <v>0</v>
      </c>
      <c r="AC8" s="77" t="n">
        <f aca="false">U8*INDEX(Butin!$E$15:$K$24,MATCH($A8,Éléments!$C$5:$C$14,1),6)+V8*IF(E8="Boss",INDEX(Butin!$E$28:$K$37,MATCH($A8,Éléments!$C$5:$C$14,1),6),IF(E8="Dragon",INDEX(Butin!$E$41:$K$50,MATCH($A8,Éléments!$C$5:$C$14,1),6),0))</f>
        <v>0</v>
      </c>
      <c r="AD8" s="77" t="n">
        <f aca="false">U8*INDEX(Butin!$E$15:$K$24,MATCH($A8,Éléments!$C$5:$C$14,1),7)+V8*IF(E8="Boss",INDEX(Butin!$E$28:$K$37,MATCH($A8,Éléments!$C$5:$C$14,1),7),IF(E8="Dragon",INDEX(Butin!$E$41:$K$50,MATCH($A8,Éléments!$C$5:$C$14,1),7),0))</f>
        <v>0</v>
      </c>
    </row>
    <row r="9" customFormat="false" ht="15" hidden="false" customHeight="true" outlineLevel="0" collapsed="false">
      <c r="A9" s="71" t="n">
        <v>4</v>
      </c>
      <c r="B9" s="23" t="n">
        <f aca="false">A9</f>
        <v>4</v>
      </c>
      <c r="C9" s="23" t="str">
        <f aca="false" t="array" ref="C9:C9">INDEX(Éléments!$B$5:$B$14,MATCH(A9,Éléments!$C$5:$C$14,1))</f>
        <v>Forêt</v>
      </c>
      <c r="D9" s="24" t="str">
        <f aca="false" t="array" ref="D9:D9">INDEX(Éléments!$A$5:$A$14,MATCH(A9,Éléments!$C$5:$C$14,1))</f>
        <v>Neutre</v>
      </c>
      <c r="E9" s="23" t="str">
        <f aca="false">IF(MOD(A9,5)=0,"Boss",IF(MOD(A9,10)=9,"Dragon","Normal"))</f>
        <v>Normal</v>
      </c>
      <c r="F9" s="23" t="n">
        <f aca="false">IF(E9="Normal",5*ROUNDUP(A9/5,0),A9)</f>
        <v>5</v>
      </c>
      <c r="G9" s="22" t="str">
        <f aca="false" t="array" ref="G9:G9">INDEX(Zones!$B$6:$B$35,MATCH(F9,Zones!$A$6:$A$35,0))</f>
        <v>Forêt de chasse</v>
      </c>
      <c r="H9" s="22" t="str">
        <f aca="false" t="array" ref="H9:H9">IF(E9="Normal","—",INDEX(Zones!$L$6:$L$35,MATCH(F9,Zones!$A$6:$A$35,0)))</f>
        <v>—</v>
      </c>
      <c r="I9" s="27" t="n">
        <f aca="false">IF(E9="Normal",Paramètres!$B$40,IF(E9="Boss",Paramètres!$B$41,1))</f>
        <v>3</v>
      </c>
      <c r="J9" s="23" t="n">
        <f aca="false">IF(E9="Normal",Paramètres!$B$40*Paramètres!$B$39,IF(E9="Boss",(Paramètres!$B$41-1)*Paramètres!$B$39+Paramètres!$B$42+1,1))</f>
        <v>9</v>
      </c>
      <c r="K9" s="33" t="n">
        <f aca="false" t="array" ref="K9:K9">IF(E9="Normal",Paramètres!$B$40*Paramètres!$B$39*(INDEX(Zones!$M$6:$M$35,MATCH(F9,Zones!$A$6:$A$35,0))*(1-Paramètres!$B$46)),IF(E9="Boss",((Paramètres!$B$41-1)*Paramètres!$B$39+Paramètres!$B$42)*(INDEX(Zones!$M$6:$M$35,MATCH(F9,Zones!$A$6:$A$35,0))*(1-Paramètres!$B$46))+INDEX(Zones!$P$6:$P$35,MATCH(F9,Zones!$A$6:$A$35,0)),INDEX(Zones!$P$6:$P$35,MATCH(F9,Zones!$A$6:$A$35,0))))</f>
        <v>17.1</v>
      </c>
      <c r="L9" s="27" t="n">
        <f aca="false">K9*Paramètres!$B$45+I9*Paramètres!$B$47</f>
        <v>97.5</v>
      </c>
      <c r="M9" s="30" t="n">
        <f aca="false" t="array" ref="M9:M9">IF(E9="Dragon",0,(INDEX(Zones!$N$6:$N$35,MATCH(F9,Zones!$A$6:$A$35,0))*Paramètres!$B$34*(INDEX(Zones!$M$6:$M$35,MATCH(F9,Zones!$A$6:$A$35,0))*(1-Paramètres!$B$46))*Paramètres!$B$39*(Paramètres!$B$39+1)/2))</f>
        <v>0.167637</v>
      </c>
      <c r="N9" s="30" t="n">
        <f aca="false" t="array" ref="N9:N9">IF(E9="Normal",0,IF(E9="Dragon",INDEX(Zones!$Q$6:$Q$35,MATCH(F9,Zones!$A$6:$A$35,0))*Paramètres!$B$34*INDEX(Zones!$P$6:$P$35,MATCH(F9,Zones!$A$6:$A$35,0)),INDEX(Zones!$Q$6:$Q$35,MATCH(F9,Zones!$A$6:$A$35,0))*Paramètres!$B$34*(INDEX(Zones!$P$6:$P$35,MATCH(F9,Zones!$A$6:$A$35,0))+Paramètres!$B$42*(INDEX(Zones!$M$6:$M$35,MATCH(F9,Zones!$A$6:$A$35,0))*(1-Paramètres!$B$46)))+INDEX(Zones!$N$6:$N$35,MATCH(F9,Zones!$A$6:$A$35,0))*Paramètres!$B$34*(INDEX(Zones!$M$6:$M$35,MATCH(F9,Zones!$A$6:$A$35,0))*(1-Paramètres!$B$46))*(Paramètres!$B$42*(Paramètres!$B$42+1)/2)))</f>
        <v>0</v>
      </c>
      <c r="O9" s="75" t="n">
        <f aca="false">MAX(M9,N9)</f>
        <v>0.167637</v>
      </c>
      <c r="P9" s="36" t="n">
        <f aca="false">IF(E9="Normal",M9*Paramètres!$B$40,IF(E9="Boss",M9*(Paramètres!$B$41-1)+N9,N9))</f>
        <v>0.502911</v>
      </c>
      <c r="Q9" s="76" t="str">
        <f aca="false">IF(O9&gt;Paramètres!$B$37,"Trop dur","OK")</f>
        <v>OK</v>
      </c>
      <c r="R9" s="29" t="n">
        <f aca="false" t="array" ref="R9:R9">ROUND(IF(E9="Normal",J9*INDEX(Zones!$O$6:$O$35,MATCH(F9,Zones!$A$6:$A$35,0)),IF(E9="Boss",((Paramètres!$B$41-1)*Paramètres!$B$39+Paramètres!$B$42)*INDEX(Zones!$O$6:$O$35,MATCH(F9,Zones!$A$6:$A$35,0))+INDEX(Zones!$R$6:$R$35,MATCH(F9,Zones!$A$6:$A$35,0)),INDEX(Zones!$R$6:$R$35,MATCH(F9,Zones!$A$6:$A$35,0))))*ROUND(Paramètres!$B$49*B9^Paramètres!$B$50,0),0)</f>
        <v>347</v>
      </c>
      <c r="S9" s="29" t="n">
        <f aca="false" t="array" ref="S9:S9">ROUND(IF(E9="Normal",J9*INDEX(Zones!$O$6:$O$35,MATCH(F9,Zones!$A$6:$A$35,0)),IF(E9="Boss",((Paramètres!$B$41-1)*Paramètres!$B$39+Paramètres!$B$42)*INDEX(Zones!$O$6:$O$35,MATCH(F9,Zones!$A$6:$A$35,0))+INDEX(Zones!$R$6:$R$35,MATCH(F9,Zones!$A$6:$A$35,0)),INDEX(Zones!$R$6:$R$35,MATCH(F9,Zones!$A$6:$A$35,0))))*ROUND(Paramètres!$B$53*B9^Paramètres!$B$54,0),0)</f>
        <v>194</v>
      </c>
      <c r="T9" s="22" t="str">
        <f aca="false">IF(E9="Boss",G9,"—")</f>
        <v>—</v>
      </c>
      <c r="U9" s="37" t="n">
        <f aca="false">IF(E9="Dragon",0,(J9-IF(E9="Boss",1,0))*AVERAGEIFS(Monstres!$AL$7:$AL$98,Monstres!$B$7:$B$98,F9,Monstres!$G$7:$G$98,"Non"))</f>
        <v>0.54</v>
      </c>
      <c r="V9" s="74" t="n">
        <f aca="false">IF(E9="Boss",Butin!$E$10,IF(E9="Dragon",Butin!$E$11,0))</f>
        <v>0</v>
      </c>
      <c r="W9" s="37" t="n">
        <f aca="false">U9+V9</f>
        <v>0.54</v>
      </c>
      <c r="X9" s="77" t="n">
        <f aca="false">U9*INDEX(Butin!$E$15:$K$24,MATCH($A9,Éléments!$C$5:$C$14,1),1)+V9*IF(E9="Boss",INDEX(Butin!$E$28:$K$37,MATCH($A9,Éléments!$C$5:$C$14,1),1),IF(E9="Dragon",INDEX(Butin!$E$41:$K$50,MATCH($A9,Éléments!$C$5:$C$14,1),1),0))</f>
        <v>0.432</v>
      </c>
      <c r="Y9" s="77" t="n">
        <f aca="false">U9*INDEX(Butin!$E$15:$K$24,MATCH($A9,Éléments!$C$5:$C$14,1),2)+V9*IF(E9="Boss",INDEX(Butin!$E$28:$K$37,MATCH($A9,Éléments!$C$5:$C$14,1),2),IF(E9="Dragon",INDEX(Butin!$E$41:$K$50,MATCH($A9,Éléments!$C$5:$C$14,1),2),0))</f>
        <v>0.108</v>
      </c>
      <c r="Z9" s="77" t="n">
        <f aca="false">U9*INDEX(Butin!$E$15:$K$24,MATCH($A9,Éléments!$C$5:$C$14,1),3)+V9*IF(E9="Boss",INDEX(Butin!$E$28:$K$37,MATCH($A9,Éléments!$C$5:$C$14,1),3),IF(E9="Dragon",INDEX(Butin!$E$41:$K$50,MATCH($A9,Éléments!$C$5:$C$14,1),3),0))</f>
        <v>0</v>
      </c>
      <c r="AA9" s="77" t="n">
        <f aca="false">U9*INDEX(Butin!$E$15:$K$24,MATCH($A9,Éléments!$C$5:$C$14,1),4)+V9*IF(E9="Boss",INDEX(Butin!$E$28:$K$37,MATCH($A9,Éléments!$C$5:$C$14,1),4),IF(E9="Dragon",INDEX(Butin!$E$41:$K$50,MATCH($A9,Éléments!$C$5:$C$14,1),4),0))</f>
        <v>0</v>
      </c>
      <c r="AB9" s="77" t="n">
        <f aca="false">U9*INDEX(Butin!$E$15:$K$24,MATCH($A9,Éléments!$C$5:$C$14,1),5)+V9*IF(E9="Boss",INDEX(Butin!$E$28:$K$37,MATCH($A9,Éléments!$C$5:$C$14,1),5),IF(E9="Dragon",INDEX(Butin!$E$41:$K$50,MATCH($A9,Éléments!$C$5:$C$14,1),5),0))</f>
        <v>0</v>
      </c>
      <c r="AC9" s="77" t="n">
        <f aca="false">U9*INDEX(Butin!$E$15:$K$24,MATCH($A9,Éléments!$C$5:$C$14,1),6)+V9*IF(E9="Boss",INDEX(Butin!$E$28:$K$37,MATCH($A9,Éléments!$C$5:$C$14,1),6),IF(E9="Dragon",INDEX(Butin!$E$41:$K$50,MATCH($A9,Éléments!$C$5:$C$14,1),6),0))</f>
        <v>0</v>
      </c>
      <c r="AD9" s="77" t="n">
        <f aca="false">U9*INDEX(Butin!$E$15:$K$24,MATCH($A9,Éléments!$C$5:$C$14,1),7)+V9*IF(E9="Boss",INDEX(Butin!$E$28:$K$37,MATCH($A9,Éléments!$C$5:$C$14,1),7),IF(E9="Dragon",INDEX(Butin!$E$41:$K$50,MATCH($A9,Éléments!$C$5:$C$14,1),7),0))</f>
        <v>0</v>
      </c>
    </row>
    <row r="10" customFormat="false" ht="15" hidden="false" customHeight="true" outlineLevel="0" collapsed="false">
      <c r="A10" s="71" t="n">
        <v>5</v>
      </c>
      <c r="B10" s="23" t="n">
        <f aca="false">A10</f>
        <v>5</v>
      </c>
      <c r="C10" s="23" t="str">
        <f aca="false" t="array" ref="C10:C10">INDEX(Éléments!$B$5:$B$14,MATCH(A10,Éléments!$C$5:$C$14,1))</f>
        <v>Forêt</v>
      </c>
      <c r="D10" s="24" t="str">
        <f aca="false" t="array" ref="D10:D10">INDEX(Éléments!$A$5:$A$14,MATCH(A10,Éléments!$C$5:$C$14,1))</f>
        <v>Neutre</v>
      </c>
      <c r="E10" s="23" t="str">
        <f aca="false">IF(MOD(A10,5)=0,"Boss",IF(MOD(A10,10)=9,"Dragon","Normal"))</f>
        <v>Boss</v>
      </c>
      <c r="F10" s="23" t="n">
        <f aca="false">IF(E10="Normal",5*ROUNDUP(A10/5,0),A10)</f>
        <v>5</v>
      </c>
      <c r="G10" s="22" t="str">
        <f aca="false" t="array" ref="G10:G10">INDEX(Zones!$B$6:$B$35,MATCH(F10,Zones!$A$6:$A$35,0))</f>
        <v>Forêt de chasse</v>
      </c>
      <c r="H10" s="22" t="str">
        <f aca="false" t="array" ref="H10:H10">IF(E10="Normal","—",INDEX(Zones!$L$6:$L$35,MATCH(F10,Zones!$A$6:$A$35,0)))</f>
        <v>Ours enragé</v>
      </c>
      <c r="I10" s="27" t="n">
        <f aca="false">IF(E10="Normal",Paramètres!$B$40,IF(E10="Boss",Paramètres!$B$41,1))</f>
        <v>5</v>
      </c>
      <c r="J10" s="27" t="n">
        <f aca="false">IF(E10="Normal",Paramètres!$B$40*Paramètres!$B$39,IF(E10="Boss",(Paramètres!$B$41-1)*Paramètres!$B$39+Paramètres!$B$42+1,1))</f>
        <v>15</v>
      </c>
      <c r="K10" s="33" t="n">
        <f aca="false" t="array" ref="K10:K10">IF(E10="Normal",Paramètres!$B$40*Paramètres!$B$39*(INDEX(Zones!$M$6:$M$35,MATCH(F10,Zones!$A$6:$A$35,0))*(1-Paramètres!$B$46)),IF(E10="Boss",((Paramètres!$B$41-1)*Paramètres!$B$39+Paramètres!$B$42)*(INDEX(Zones!$M$6:$M$35,MATCH(F10,Zones!$A$6:$A$35,0))*(1-Paramètres!$B$46))+INDEX(Zones!$P$6:$P$35,MATCH(F10,Zones!$A$6:$A$35,0)),INDEX(Zones!$P$6:$P$35,MATCH(F10,Zones!$A$6:$A$35,0))))</f>
        <v>44.6</v>
      </c>
      <c r="L10" s="27" t="n">
        <f aca="false">K10*Paramètres!$B$45+I10*Paramètres!$B$47</f>
        <v>243</v>
      </c>
      <c r="M10" s="30" t="n">
        <f aca="false" t="array" ref="M10:M10">IF(E10="Dragon",0,(INDEX(Zones!$N$6:$N$35,MATCH(F10,Zones!$A$6:$A$35,0))*Paramètres!$B$34*(INDEX(Zones!$M$6:$M$35,MATCH(F10,Zones!$A$6:$A$35,0))*(1-Paramètres!$B$46))*Paramètres!$B$39*(Paramètres!$B$39+1)/2))</f>
        <v>0.167637</v>
      </c>
      <c r="N10" s="30" t="n">
        <f aca="false" t="array" ref="N10:N10">IF(E10="Normal",0,IF(E10="Dragon",INDEX(Zones!$Q$6:$Q$35,MATCH(F10,Zones!$A$6:$A$35,0))*Paramètres!$B$34*INDEX(Zones!$P$6:$P$35,MATCH(F10,Zones!$A$6:$A$35,0)),INDEX(Zones!$Q$6:$Q$35,MATCH(F10,Zones!$A$6:$A$35,0))*Paramètres!$B$34*(INDEX(Zones!$P$6:$P$35,MATCH(F10,Zones!$A$6:$A$35,0))+Paramètres!$B$42*(INDEX(Zones!$M$6:$M$35,MATCH(F10,Zones!$A$6:$A$35,0))*(1-Paramètres!$B$46)))+INDEX(Zones!$N$6:$N$35,MATCH(F10,Zones!$A$6:$A$35,0))*Paramètres!$B$34*(INDEX(Zones!$M$6:$M$35,MATCH(F10,Zones!$A$6:$A$35,0))*(1-Paramètres!$B$46))*(Paramètres!$B$42*(Paramètres!$B$42+1)/2)))</f>
        <v>0.6119235</v>
      </c>
      <c r="O10" s="75" t="n">
        <f aca="false">MAX(M10,N10)</f>
        <v>0.6119235</v>
      </c>
      <c r="P10" s="36" t="n">
        <f aca="false">IF(E10="Normal",M10*Paramètres!$B$40,IF(E10="Boss",M10*(Paramètres!$B$41-1)+N10,N10))</f>
        <v>1.2824715</v>
      </c>
      <c r="Q10" s="76" t="str">
        <f aca="false">IF(O10&gt;Paramètres!$B$37,"Trop dur","OK")</f>
        <v>OK</v>
      </c>
      <c r="R10" s="29" t="n">
        <f aca="false" t="array" ref="R10:R10">ROUND(IF(E10="Normal",J10*INDEX(Zones!$O$6:$O$35,MATCH(F10,Zones!$A$6:$A$35,0)),IF(E10="Boss",((Paramètres!$B$41-1)*Paramètres!$B$39+Paramètres!$B$42)*INDEX(Zones!$O$6:$O$35,MATCH(F10,Zones!$A$6:$A$35,0))+INDEX(Zones!$R$6:$R$35,MATCH(F10,Zones!$A$6:$A$35,0)),INDEX(Zones!$R$6:$R$35,MATCH(F10,Zones!$A$6:$A$35,0))))*ROUND(Paramètres!$B$49*B10^Paramètres!$B$50,0),0)</f>
        <v>1074</v>
      </c>
      <c r="S10" s="29" t="n">
        <f aca="false" t="array" ref="S10:S10">ROUND(IF(E10="Normal",J10*INDEX(Zones!$O$6:$O$35,MATCH(F10,Zones!$A$6:$A$35,0)),IF(E10="Boss",((Paramètres!$B$41-1)*Paramètres!$B$39+Paramètres!$B$42)*INDEX(Zones!$O$6:$O$35,MATCH(F10,Zones!$A$6:$A$35,0))+INDEX(Zones!$R$6:$R$35,MATCH(F10,Zones!$A$6:$A$35,0)),INDEX(Zones!$R$6:$R$35,MATCH(F10,Zones!$A$6:$A$35,0))))*ROUND(Paramètres!$B$53*B10^Paramètres!$B$54,0),0)</f>
        <v>621</v>
      </c>
      <c r="T10" s="22" t="str">
        <f aca="false">IF(E10="Boss",G10,"—")</f>
        <v>Forêt de chasse</v>
      </c>
      <c r="U10" s="37" t="n">
        <f aca="false">IF(E10="Dragon",0,(J10-IF(E10="Boss",1,0))*AVERAGEIFS(Monstres!$AL$7:$AL$98,Monstres!$B$7:$B$98,F10,Monstres!$G$7:$G$98,"Non"))</f>
        <v>0.84</v>
      </c>
      <c r="V10" s="74" t="n">
        <f aca="false">IF(E10="Boss",Butin!$E$10,IF(E10="Dragon",Butin!$E$11,0))</f>
        <v>1.4</v>
      </c>
      <c r="W10" s="37" t="n">
        <f aca="false">U10+V10</f>
        <v>2.24</v>
      </c>
      <c r="X10" s="77" t="n">
        <f aca="false">U10*INDEX(Butin!$E$15:$K$24,MATCH($A10,Éléments!$C$5:$C$14,1),1)+V10*IF(E10="Boss",INDEX(Butin!$E$28:$K$37,MATCH($A10,Éléments!$C$5:$C$14,1),1),IF(E10="Dragon",INDEX(Butin!$E$41:$K$50,MATCH($A10,Éléments!$C$5:$C$14,1),1),0))</f>
        <v>1.232</v>
      </c>
      <c r="Y10" s="77" t="n">
        <f aca="false">U10*INDEX(Butin!$E$15:$K$24,MATCH($A10,Éléments!$C$5:$C$14,1),2)+V10*IF(E10="Boss",INDEX(Butin!$E$28:$K$37,MATCH($A10,Éléments!$C$5:$C$14,1),2),IF(E10="Dragon",INDEX(Butin!$E$41:$K$50,MATCH($A10,Éléments!$C$5:$C$14,1),2),0))</f>
        <v>0.728</v>
      </c>
      <c r="Z10" s="77" t="n">
        <f aca="false">U10*INDEX(Butin!$E$15:$K$24,MATCH($A10,Éléments!$C$5:$C$14,1),3)+V10*IF(E10="Boss",INDEX(Butin!$E$28:$K$37,MATCH($A10,Éléments!$C$5:$C$14,1),3),IF(E10="Dragon",INDEX(Butin!$E$41:$K$50,MATCH($A10,Éléments!$C$5:$C$14,1),3),0))</f>
        <v>0.21</v>
      </c>
      <c r="AA10" s="77" t="n">
        <f aca="false">U10*INDEX(Butin!$E$15:$K$24,MATCH($A10,Éléments!$C$5:$C$14,1),4)+V10*IF(E10="Boss",INDEX(Butin!$E$28:$K$37,MATCH($A10,Éléments!$C$5:$C$14,1),4),IF(E10="Dragon",INDEX(Butin!$E$41:$K$50,MATCH($A10,Éléments!$C$5:$C$14,1),4),0))</f>
        <v>0.056</v>
      </c>
      <c r="AB10" s="77" t="n">
        <f aca="false">U10*INDEX(Butin!$E$15:$K$24,MATCH($A10,Éléments!$C$5:$C$14,1),5)+V10*IF(E10="Boss",INDEX(Butin!$E$28:$K$37,MATCH($A10,Éléments!$C$5:$C$14,1),5),IF(E10="Dragon",INDEX(Butin!$E$41:$K$50,MATCH($A10,Éléments!$C$5:$C$14,1),5),0))</f>
        <v>0</v>
      </c>
      <c r="AC10" s="77" t="n">
        <f aca="false">U10*INDEX(Butin!$E$15:$K$24,MATCH($A10,Éléments!$C$5:$C$14,1),6)+V10*IF(E10="Boss",INDEX(Butin!$E$28:$K$37,MATCH($A10,Éléments!$C$5:$C$14,1),6),IF(E10="Dragon",INDEX(Butin!$E$41:$K$50,MATCH($A10,Éléments!$C$5:$C$14,1),6),0))</f>
        <v>0</v>
      </c>
      <c r="AD10" s="77" t="n">
        <f aca="false">U10*INDEX(Butin!$E$15:$K$24,MATCH($A10,Éléments!$C$5:$C$14,1),7)+V10*IF(E10="Boss",INDEX(Butin!$E$28:$K$37,MATCH($A10,Éléments!$C$5:$C$14,1),7),IF(E10="Dragon",INDEX(Butin!$E$41:$K$50,MATCH($A10,Éléments!$C$5:$C$14,1),7),0))</f>
        <v>0.014</v>
      </c>
    </row>
    <row r="11" customFormat="false" ht="15" hidden="false" customHeight="true" outlineLevel="0" collapsed="false">
      <c r="A11" s="71" t="n">
        <v>6</v>
      </c>
      <c r="B11" s="23" t="n">
        <f aca="false">A11</f>
        <v>6</v>
      </c>
      <c r="C11" s="23" t="str">
        <f aca="false" t="array" ref="C11:C11">INDEX(Éléments!$B$5:$B$14,MATCH(A11,Éléments!$C$5:$C$14,1))</f>
        <v>Forêt</v>
      </c>
      <c r="D11" s="24" t="str">
        <f aca="false" t="array" ref="D11:D11">INDEX(Éléments!$A$5:$A$14,MATCH(A11,Éléments!$C$5:$C$14,1))</f>
        <v>Neutre</v>
      </c>
      <c r="E11" s="23" t="str">
        <f aca="false">IF(MOD(A11,5)=0,"Boss",IF(MOD(A11,10)=9,"Dragon","Normal"))</f>
        <v>Normal</v>
      </c>
      <c r="F11" s="23" t="n">
        <f aca="false">IF(E11="Normal",5*ROUNDUP(A11/5,0),A11)</f>
        <v>10</v>
      </c>
      <c r="G11" s="22" t="str">
        <f aca="false" t="array" ref="G11:G11">INDEX(Zones!$B$6:$B$35,MATCH(F11,Zones!$A$6:$A$35,0))</f>
        <v>Village gobelin</v>
      </c>
      <c r="H11" s="22" t="str">
        <f aca="false" t="array" ref="H11:H11">IF(E11="Normal","—",INDEX(Zones!$L$6:$L$35,MATCH(F11,Zones!$A$6:$A$35,0)))</f>
        <v>—</v>
      </c>
      <c r="I11" s="27" t="n">
        <f aca="false">IF(E11="Normal",Paramètres!$B$40,IF(E11="Boss",Paramètres!$B$41,1))</f>
        <v>3</v>
      </c>
      <c r="J11" s="23" t="n">
        <f aca="false">IF(E11="Normal",Paramètres!$B$40*Paramètres!$B$39,IF(E11="Boss",(Paramètres!$B$41-1)*Paramètres!$B$39+Paramètres!$B$42+1,1))</f>
        <v>9</v>
      </c>
      <c r="K11" s="33" t="n">
        <f aca="false" t="array" ref="K11:K11">IF(E11="Normal",Paramètres!$B$40*Paramètres!$B$39*(INDEX(Zones!$M$6:$M$35,MATCH(F11,Zones!$A$6:$A$35,0))*(1-Paramètres!$B$46)),IF(E11="Boss",((Paramètres!$B$41-1)*Paramètres!$B$39+Paramètres!$B$42)*(INDEX(Zones!$M$6:$M$35,MATCH(F11,Zones!$A$6:$A$35,0))*(1-Paramètres!$B$46))+INDEX(Zones!$P$6:$P$35,MATCH(F11,Zones!$A$6:$A$35,0)),INDEX(Zones!$P$6:$P$35,MATCH(F11,Zones!$A$6:$A$35,0))))</f>
        <v>11.356875</v>
      </c>
      <c r="L11" s="27" t="n">
        <f aca="false">K11*Paramètres!$B$45+I11*Paramètres!$B$47</f>
        <v>68.784375</v>
      </c>
      <c r="M11" s="30" t="n">
        <f aca="false" t="array" ref="M11:M11">IF(E11="Dragon",0,(INDEX(Zones!$N$6:$N$35,MATCH(F11,Zones!$A$6:$A$35,0))*Paramètres!$B$34*(INDEX(Zones!$M$6:$M$35,MATCH(F11,Zones!$A$6:$A$35,0))*(1-Paramètres!$B$46))*Paramètres!$B$39*(Paramètres!$B$39+1)/2))</f>
        <v>0.0892934296875</v>
      </c>
      <c r="N11" s="30" t="n">
        <f aca="false" t="array" ref="N11:N11">IF(E11="Normal",0,IF(E11="Dragon",INDEX(Zones!$Q$6:$Q$35,MATCH(F11,Zones!$A$6:$A$35,0))*Paramètres!$B$34*INDEX(Zones!$P$6:$P$35,MATCH(F11,Zones!$A$6:$A$35,0)),INDEX(Zones!$Q$6:$Q$35,MATCH(F11,Zones!$A$6:$A$35,0))*Paramètres!$B$34*(INDEX(Zones!$P$6:$P$35,MATCH(F11,Zones!$A$6:$A$35,0))+Paramètres!$B$42*(INDEX(Zones!$M$6:$M$35,MATCH(F11,Zones!$A$6:$A$35,0))*(1-Paramètres!$B$46)))+INDEX(Zones!$N$6:$N$35,MATCH(F11,Zones!$A$6:$A$35,0))*Paramètres!$B$34*(INDEX(Zones!$M$6:$M$35,MATCH(F11,Zones!$A$6:$A$35,0))*(1-Paramètres!$B$46))*(Paramètres!$B$42*(Paramètres!$B$42+1)/2)))</f>
        <v>0</v>
      </c>
      <c r="O11" s="75" t="n">
        <f aca="false">MAX(M11,N11)</f>
        <v>0.0892934296875</v>
      </c>
      <c r="P11" s="36" t="n">
        <f aca="false">IF(E11="Normal",M11*Paramètres!$B$40,IF(E11="Boss",M11*(Paramètres!$B$41-1)+N11,N11))</f>
        <v>0.2678802890625</v>
      </c>
      <c r="Q11" s="76" t="str">
        <f aca="false">IF(O11&gt;Paramètres!$B$37,"Trop dur","OK")</f>
        <v>OK</v>
      </c>
      <c r="R11" s="29" t="n">
        <f aca="false" t="array" ref="R11:R11">ROUND(IF(E11="Normal",J11*INDEX(Zones!$O$6:$O$35,MATCH(F11,Zones!$A$6:$A$35,0)),IF(E11="Boss",((Paramètres!$B$41-1)*Paramètres!$B$39+Paramètres!$B$42)*INDEX(Zones!$O$6:$O$35,MATCH(F11,Zones!$A$6:$A$35,0))+INDEX(Zones!$R$6:$R$35,MATCH(F11,Zones!$A$6:$A$35,0)),INDEX(Zones!$R$6:$R$35,MATCH(F11,Zones!$A$6:$A$35,0))))*ROUND(Paramètres!$B$49*B11^Paramètres!$B$50,0),0)</f>
        <v>466</v>
      </c>
      <c r="S11" s="29" t="n">
        <f aca="false" t="array" ref="S11:S11">ROUND(IF(E11="Normal",J11*INDEX(Zones!$O$6:$O$35,MATCH(F11,Zones!$A$6:$A$35,0)),IF(E11="Boss",((Paramètres!$B$41-1)*Paramètres!$B$39+Paramètres!$B$42)*INDEX(Zones!$O$6:$O$35,MATCH(F11,Zones!$A$6:$A$35,0))+INDEX(Zones!$R$6:$R$35,MATCH(F11,Zones!$A$6:$A$35,0)),INDEX(Zones!$R$6:$R$35,MATCH(F11,Zones!$A$6:$A$35,0))))*ROUND(Paramètres!$B$53*B11^Paramètres!$B$54,0),0)</f>
        <v>283</v>
      </c>
      <c r="T11" s="22" t="str">
        <f aca="false">IF(E11="Boss",G11,"—")</f>
        <v>—</v>
      </c>
      <c r="U11" s="37" t="n">
        <f aca="false">IF(E11="Dragon",0,(J11-IF(E11="Boss",1,0))*AVERAGEIFS(Monstres!$AL$7:$AL$98,Monstres!$B$7:$B$98,F11,Monstres!$G$7:$G$98,"Non"))</f>
        <v>0.405</v>
      </c>
      <c r="V11" s="74" t="n">
        <f aca="false">IF(E11="Boss",Butin!$E$10,IF(E11="Dragon",Butin!$E$11,0))</f>
        <v>0</v>
      </c>
      <c r="W11" s="37" t="n">
        <f aca="false">U11+V11</f>
        <v>0.405</v>
      </c>
      <c r="X11" s="77" t="n">
        <f aca="false">U11*INDEX(Butin!$E$15:$K$24,MATCH($A11,Éléments!$C$5:$C$14,1),1)+V11*IF(E11="Boss",INDEX(Butin!$E$28:$K$37,MATCH($A11,Éléments!$C$5:$C$14,1),1),IF(E11="Dragon",INDEX(Butin!$E$41:$K$50,MATCH($A11,Éléments!$C$5:$C$14,1),1),0))</f>
        <v>0.324</v>
      </c>
      <c r="Y11" s="77" t="n">
        <f aca="false">U11*INDEX(Butin!$E$15:$K$24,MATCH($A11,Éléments!$C$5:$C$14,1),2)+V11*IF(E11="Boss",INDEX(Butin!$E$28:$K$37,MATCH($A11,Éléments!$C$5:$C$14,1),2),IF(E11="Dragon",INDEX(Butin!$E$41:$K$50,MATCH($A11,Éléments!$C$5:$C$14,1),2),0))</f>
        <v>0.081</v>
      </c>
      <c r="Z11" s="77" t="n">
        <f aca="false">U11*INDEX(Butin!$E$15:$K$24,MATCH($A11,Éléments!$C$5:$C$14,1),3)+V11*IF(E11="Boss",INDEX(Butin!$E$28:$K$37,MATCH($A11,Éléments!$C$5:$C$14,1),3),IF(E11="Dragon",INDEX(Butin!$E$41:$K$50,MATCH($A11,Éléments!$C$5:$C$14,1),3),0))</f>
        <v>0</v>
      </c>
      <c r="AA11" s="77" t="n">
        <f aca="false">U11*INDEX(Butin!$E$15:$K$24,MATCH($A11,Éléments!$C$5:$C$14,1),4)+V11*IF(E11="Boss",INDEX(Butin!$E$28:$K$37,MATCH($A11,Éléments!$C$5:$C$14,1),4),IF(E11="Dragon",INDEX(Butin!$E$41:$K$50,MATCH($A11,Éléments!$C$5:$C$14,1),4),0))</f>
        <v>0</v>
      </c>
      <c r="AB11" s="77" t="n">
        <f aca="false">U11*INDEX(Butin!$E$15:$K$24,MATCH($A11,Éléments!$C$5:$C$14,1),5)+V11*IF(E11="Boss",INDEX(Butin!$E$28:$K$37,MATCH($A11,Éléments!$C$5:$C$14,1),5),IF(E11="Dragon",INDEX(Butin!$E$41:$K$50,MATCH($A11,Éléments!$C$5:$C$14,1),5),0))</f>
        <v>0</v>
      </c>
      <c r="AC11" s="77" t="n">
        <f aca="false">U11*INDEX(Butin!$E$15:$K$24,MATCH($A11,Éléments!$C$5:$C$14,1),6)+V11*IF(E11="Boss",INDEX(Butin!$E$28:$K$37,MATCH($A11,Éléments!$C$5:$C$14,1),6),IF(E11="Dragon",INDEX(Butin!$E$41:$K$50,MATCH($A11,Éléments!$C$5:$C$14,1),6),0))</f>
        <v>0</v>
      </c>
      <c r="AD11" s="77" t="n">
        <f aca="false">U11*INDEX(Butin!$E$15:$K$24,MATCH($A11,Éléments!$C$5:$C$14,1),7)+V11*IF(E11="Boss",INDEX(Butin!$E$28:$K$37,MATCH($A11,Éléments!$C$5:$C$14,1),7),IF(E11="Dragon",INDEX(Butin!$E$41:$K$50,MATCH($A11,Éléments!$C$5:$C$14,1),7),0))</f>
        <v>0</v>
      </c>
    </row>
    <row r="12" customFormat="false" ht="15" hidden="false" customHeight="true" outlineLevel="0" collapsed="false">
      <c r="A12" s="71" t="n">
        <v>7</v>
      </c>
      <c r="B12" s="23" t="n">
        <f aca="false">A12</f>
        <v>7</v>
      </c>
      <c r="C12" s="23" t="str">
        <f aca="false" t="array" ref="C12:C12">INDEX(Éléments!$B$5:$B$14,MATCH(A12,Éléments!$C$5:$C$14,1))</f>
        <v>Forêt</v>
      </c>
      <c r="D12" s="24" t="str">
        <f aca="false" t="array" ref="D12:D12">INDEX(Éléments!$A$5:$A$14,MATCH(A12,Éléments!$C$5:$C$14,1))</f>
        <v>Neutre</v>
      </c>
      <c r="E12" s="23" t="str">
        <f aca="false">IF(MOD(A12,5)=0,"Boss",IF(MOD(A12,10)=9,"Dragon","Normal"))</f>
        <v>Normal</v>
      </c>
      <c r="F12" s="23" t="n">
        <f aca="false">IF(E12="Normal",5*ROUNDUP(A12/5,0),A12)</f>
        <v>10</v>
      </c>
      <c r="G12" s="22" t="str">
        <f aca="false" t="array" ref="G12:G12">INDEX(Zones!$B$6:$B$35,MATCH(F12,Zones!$A$6:$A$35,0))</f>
        <v>Village gobelin</v>
      </c>
      <c r="H12" s="22" t="str">
        <f aca="false" t="array" ref="H12:H12">IF(E12="Normal","—",INDEX(Zones!$L$6:$L$35,MATCH(F12,Zones!$A$6:$A$35,0)))</f>
        <v>—</v>
      </c>
      <c r="I12" s="27" t="n">
        <f aca="false">IF(E12="Normal",Paramètres!$B$40,IF(E12="Boss",Paramètres!$B$41,1))</f>
        <v>3</v>
      </c>
      <c r="J12" s="23" t="n">
        <f aca="false">IF(E12="Normal",Paramètres!$B$40*Paramètres!$B$39,IF(E12="Boss",(Paramètres!$B$41-1)*Paramètres!$B$39+Paramètres!$B$42+1,1))</f>
        <v>9</v>
      </c>
      <c r="K12" s="33" t="n">
        <f aca="false" t="array" ref="K12:K12">IF(E12="Normal",Paramètres!$B$40*Paramètres!$B$39*(INDEX(Zones!$M$6:$M$35,MATCH(F12,Zones!$A$6:$A$35,0))*(1-Paramètres!$B$46)),IF(E12="Boss",((Paramètres!$B$41-1)*Paramètres!$B$39+Paramètres!$B$42)*(INDEX(Zones!$M$6:$M$35,MATCH(F12,Zones!$A$6:$A$35,0))*(1-Paramètres!$B$46))+INDEX(Zones!$P$6:$P$35,MATCH(F12,Zones!$A$6:$A$35,0)),INDEX(Zones!$P$6:$P$35,MATCH(F12,Zones!$A$6:$A$35,0))))</f>
        <v>11.356875</v>
      </c>
      <c r="L12" s="27" t="n">
        <f aca="false">K12*Paramètres!$B$45+I12*Paramètres!$B$47</f>
        <v>68.784375</v>
      </c>
      <c r="M12" s="30" t="n">
        <f aca="false" t="array" ref="M12:M12">IF(E12="Dragon",0,(INDEX(Zones!$N$6:$N$35,MATCH(F12,Zones!$A$6:$A$35,0))*Paramètres!$B$34*(INDEX(Zones!$M$6:$M$35,MATCH(F12,Zones!$A$6:$A$35,0))*(1-Paramètres!$B$46))*Paramètres!$B$39*(Paramètres!$B$39+1)/2))</f>
        <v>0.0892934296875</v>
      </c>
      <c r="N12" s="30" t="n">
        <f aca="false" t="array" ref="N12:N12">IF(E12="Normal",0,IF(E12="Dragon",INDEX(Zones!$Q$6:$Q$35,MATCH(F12,Zones!$A$6:$A$35,0))*Paramètres!$B$34*INDEX(Zones!$P$6:$P$35,MATCH(F12,Zones!$A$6:$A$35,0)),INDEX(Zones!$Q$6:$Q$35,MATCH(F12,Zones!$A$6:$A$35,0))*Paramètres!$B$34*(INDEX(Zones!$P$6:$P$35,MATCH(F12,Zones!$A$6:$A$35,0))+Paramètres!$B$42*(INDEX(Zones!$M$6:$M$35,MATCH(F12,Zones!$A$6:$A$35,0))*(1-Paramètres!$B$46)))+INDEX(Zones!$N$6:$N$35,MATCH(F12,Zones!$A$6:$A$35,0))*Paramètres!$B$34*(INDEX(Zones!$M$6:$M$35,MATCH(F12,Zones!$A$6:$A$35,0))*(1-Paramètres!$B$46))*(Paramètres!$B$42*(Paramètres!$B$42+1)/2)))</f>
        <v>0</v>
      </c>
      <c r="O12" s="75" t="n">
        <f aca="false">MAX(M12,N12)</f>
        <v>0.0892934296875</v>
      </c>
      <c r="P12" s="36" t="n">
        <f aca="false">IF(E12="Normal",M12*Paramètres!$B$40,IF(E12="Boss",M12*(Paramètres!$B$41-1)+N12,N12))</f>
        <v>0.2678802890625</v>
      </c>
      <c r="Q12" s="76" t="str">
        <f aca="false">IF(O12&gt;Paramètres!$B$37,"Trop dur","OK")</f>
        <v>OK</v>
      </c>
      <c r="R12" s="29" t="n">
        <f aca="false" t="array" ref="R12:R12">ROUND(IF(E12="Normal",J12*INDEX(Zones!$O$6:$O$35,MATCH(F12,Zones!$A$6:$A$35,0)),IF(E12="Boss",((Paramètres!$B$41-1)*Paramètres!$B$39+Paramètres!$B$42)*INDEX(Zones!$O$6:$O$35,MATCH(F12,Zones!$A$6:$A$35,0))+INDEX(Zones!$R$6:$R$35,MATCH(F12,Zones!$A$6:$A$35,0)),INDEX(Zones!$R$6:$R$35,MATCH(F12,Zones!$A$6:$A$35,0))))*ROUND(Paramètres!$B$49*B12^Paramètres!$B$50,0),0)</f>
        <v>566</v>
      </c>
      <c r="S12" s="29" t="n">
        <f aca="false" t="array" ref="S12:S12">ROUND(IF(E12="Normal",J12*INDEX(Zones!$O$6:$O$35,MATCH(F12,Zones!$A$6:$A$35,0)),IF(E12="Boss",((Paramètres!$B$41-1)*Paramètres!$B$39+Paramètres!$B$42)*INDEX(Zones!$O$6:$O$35,MATCH(F12,Zones!$A$6:$A$35,0))+INDEX(Zones!$R$6:$R$35,MATCH(F12,Zones!$A$6:$A$35,0)),INDEX(Zones!$R$6:$R$35,MATCH(F12,Zones!$A$6:$A$35,0))))*ROUND(Paramètres!$B$53*B12^Paramètres!$B$54,0),0)</f>
        <v>341</v>
      </c>
      <c r="T12" s="22" t="str">
        <f aca="false">IF(E12="Boss",G12,"—")</f>
        <v>—</v>
      </c>
      <c r="U12" s="37" t="n">
        <f aca="false">IF(E12="Dragon",0,(J12-IF(E12="Boss",1,0))*AVERAGEIFS(Monstres!$AL$7:$AL$98,Monstres!$B$7:$B$98,F12,Monstres!$G$7:$G$98,"Non"))</f>
        <v>0.405</v>
      </c>
      <c r="V12" s="74" t="n">
        <f aca="false">IF(E12="Boss",Butin!$E$10,IF(E12="Dragon",Butin!$E$11,0))</f>
        <v>0</v>
      </c>
      <c r="W12" s="37" t="n">
        <f aca="false">U12+V12</f>
        <v>0.405</v>
      </c>
      <c r="X12" s="77" t="n">
        <f aca="false">U12*INDEX(Butin!$E$15:$K$24,MATCH($A12,Éléments!$C$5:$C$14,1),1)+V12*IF(E12="Boss",INDEX(Butin!$E$28:$K$37,MATCH($A12,Éléments!$C$5:$C$14,1),1),IF(E12="Dragon",INDEX(Butin!$E$41:$K$50,MATCH($A12,Éléments!$C$5:$C$14,1),1),0))</f>
        <v>0.324</v>
      </c>
      <c r="Y12" s="77" t="n">
        <f aca="false">U12*INDEX(Butin!$E$15:$K$24,MATCH($A12,Éléments!$C$5:$C$14,1),2)+V12*IF(E12="Boss",INDEX(Butin!$E$28:$K$37,MATCH($A12,Éléments!$C$5:$C$14,1),2),IF(E12="Dragon",INDEX(Butin!$E$41:$K$50,MATCH($A12,Éléments!$C$5:$C$14,1),2),0))</f>
        <v>0.081</v>
      </c>
      <c r="Z12" s="77" t="n">
        <f aca="false">U12*INDEX(Butin!$E$15:$K$24,MATCH($A12,Éléments!$C$5:$C$14,1),3)+V12*IF(E12="Boss",INDEX(Butin!$E$28:$K$37,MATCH($A12,Éléments!$C$5:$C$14,1),3),IF(E12="Dragon",INDEX(Butin!$E$41:$K$50,MATCH($A12,Éléments!$C$5:$C$14,1),3),0))</f>
        <v>0</v>
      </c>
      <c r="AA12" s="77" t="n">
        <f aca="false">U12*INDEX(Butin!$E$15:$K$24,MATCH($A12,Éléments!$C$5:$C$14,1),4)+V12*IF(E12="Boss",INDEX(Butin!$E$28:$K$37,MATCH($A12,Éléments!$C$5:$C$14,1),4),IF(E12="Dragon",INDEX(Butin!$E$41:$K$50,MATCH($A12,Éléments!$C$5:$C$14,1),4),0))</f>
        <v>0</v>
      </c>
      <c r="AB12" s="77" t="n">
        <f aca="false">U12*INDEX(Butin!$E$15:$K$24,MATCH($A12,Éléments!$C$5:$C$14,1),5)+V12*IF(E12="Boss",INDEX(Butin!$E$28:$K$37,MATCH($A12,Éléments!$C$5:$C$14,1),5),IF(E12="Dragon",INDEX(Butin!$E$41:$K$50,MATCH($A12,Éléments!$C$5:$C$14,1),5),0))</f>
        <v>0</v>
      </c>
      <c r="AC12" s="77" t="n">
        <f aca="false">U12*INDEX(Butin!$E$15:$K$24,MATCH($A12,Éléments!$C$5:$C$14,1),6)+V12*IF(E12="Boss",INDEX(Butin!$E$28:$K$37,MATCH($A12,Éléments!$C$5:$C$14,1),6),IF(E12="Dragon",INDEX(Butin!$E$41:$K$50,MATCH($A12,Éléments!$C$5:$C$14,1),6),0))</f>
        <v>0</v>
      </c>
      <c r="AD12" s="77" t="n">
        <f aca="false">U12*INDEX(Butin!$E$15:$K$24,MATCH($A12,Éléments!$C$5:$C$14,1),7)+V12*IF(E12="Boss",INDEX(Butin!$E$28:$K$37,MATCH($A12,Éléments!$C$5:$C$14,1),7),IF(E12="Dragon",INDEX(Butin!$E$41:$K$50,MATCH($A12,Éléments!$C$5:$C$14,1),7),0))</f>
        <v>0</v>
      </c>
    </row>
    <row r="13" customFormat="false" ht="15" hidden="false" customHeight="true" outlineLevel="0" collapsed="false">
      <c r="A13" s="71" t="n">
        <v>8</v>
      </c>
      <c r="B13" s="23" t="n">
        <f aca="false">A13</f>
        <v>8</v>
      </c>
      <c r="C13" s="23" t="str">
        <f aca="false" t="array" ref="C13:C13">INDEX(Éléments!$B$5:$B$14,MATCH(A13,Éléments!$C$5:$C$14,1))</f>
        <v>Forêt</v>
      </c>
      <c r="D13" s="24" t="str">
        <f aca="false" t="array" ref="D13:D13">INDEX(Éléments!$A$5:$A$14,MATCH(A13,Éléments!$C$5:$C$14,1))</f>
        <v>Neutre</v>
      </c>
      <c r="E13" s="23" t="str">
        <f aca="false">IF(MOD(A13,5)=0,"Boss",IF(MOD(A13,10)=9,"Dragon","Normal"))</f>
        <v>Normal</v>
      </c>
      <c r="F13" s="23" t="n">
        <f aca="false">IF(E13="Normal",5*ROUNDUP(A13/5,0),A13)</f>
        <v>10</v>
      </c>
      <c r="G13" s="22" t="str">
        <f aca="false" t="array" ref="G13:G13">INDEX(Zones!$B$6:$B$35,MATCH(F13,Zones!$A$6:$A$35,0))</f>
        <v>Village gobelin</v>
      </c>
      <c r="H13" s="22" t="str">
        <f aca="false" t="array" ref="H13:H13">IF(E13="Normal","—",INDEX(Zones!$L$6:$L$35,MATCH(F13,Zones!$A$6:$A$35,0)))</f>
        <v>—</v>
      </c>
      <c r="I13" s="27" t="n">
        <f aca="false">IF(E13="Normal",Paramètres!$B$40,IF(E13="Boss",Paramètres!$B$41,1))</f>
        <v>3</v>
      </c>
      <c r="J13" s="23" t="n">
        <f aca="false">IF(E13="Normal",Paramètres!$B$40*Paramètres!$B$39,IF(E13="Boss",(Paramètres!$B$41-1)*Paramètres!$B$39+Paramètres!$B$42+1,1))</f>
        <v>9</v>
      </c>
      <c r="K13" s="33" t="n">
        <f aca="false" t="array" ref="K13:K13">IF(E13="Normal",Paramètres!$B$40*Paramètres!$B$39*(INDEX(Zones!$M$6:$M$35,MATCH(F13,Zones!$A$6:$A$35,0))*(1-Paramètres!$B$46)),IF(E13="Boss",((Paramètres!$B$41-1)*Paramètres!$B$39+Paramètres!$B$42)*(INDEX(Zones!$M$6:$M$35,MATCH(F13,Zones!$A$6:$A$35,0))*(1-Paramètres!$B$46))+INDEX(Zones!$P$6:$P$35,MATCH(F13,Zones!$A$6:$A$35,0)),INDEX(Zones!$P$6:$P$35,MATCH(F13,Zones!$A$6:$A$35,0))))</f>
        <v>11.356875</v>
      </c>
      <c r="L13" s="27" t="n">
        <f aca="false">K13*Paramètres!$B$45+I13*Paramètres!$B$47</f>
        <v>68.784375</v>
      </c>
      <c r="M13" s="30" t="n">
        <f aca="false" t="array" ref="M13:M13">IF(E13="Dragon",0,(INDEX(Zones!$N$6:$N$35,MATCH(F13,Zones!$A$6:$A$35,0))*Paramètres!$B$34*(INDEX(Zones!$M$6:$M$35,MATCH(F13,Zones!$A$6:$A$35,0))*(1-Paramètres!$B$46))*Paramètres!$B$39*(Paramètres!$B$39+1)/2))</f>
        <v>0.0892934296875</v>
      </c>
      <c r="N13" s="30" t="n">
        <f aca="false" t="array" ref="N13:N13">IF(E13="Normal",0,IF(E13="Dragon",INDEX(Zones!$Q$6:$Q$35,MATCH(F13,Zones!$A$6:$A$35,0))*Paramètres!$B$34*INDEX(Zones!$P$6:$P$35,MATCH(F13,Zones!$A$6:$A$35,0)),INDEX(Zones!$Q$6:$Q$35,MATCH(F13,Zones!$A$6:$A$35,0))*Paramètres!$B$34*(INDEX(Zones!$P$6:$P$35,MATCH(F13,Zones!$A$6:$A$35,0))+Paramètres!$B$42*(INDEX(Zones!$M$6:$M$35,MATCH(F13,Zones!$A$6:$A$35,0))*(1-Paramètres!$B$46)))+INDEX(Zones!$N$6:$N$35,MATCH(F13,Zones!$A$6:$A$35,0))*Paramètres!$B$34*(INDEX(Zones!$M$6:$M$35,MATCH(F13,Zones!$A$6:$A$35,0))*(1-Paramètres!$B$46))*(Paramètres!$B$42*(Paramètres!$B$42+1)/2)))</f>
        <v>0</v>
      </c>
      <c r="O13" s="75" t="n">
        <f aca="false">MAX(M13,N13)</f>
        <v>0.0892934296875</v>
      </c>
      <c r="P13" s="36" t="n">
        <f aca="false">IF(E13="Normal",M13*Paramètres!$B$40,IF(E13="Boss",M13*(Paramètres!$B$41-1)+N13,N13))</f>
        <v>0.2678802890625</v>
      </c>
      <c r="Q13" s="76" t="str">
        <f aca="false">IF(O13&gt;Paramètres!$B$37,"Trop dur","OK")</f>
        <v>OK</v>
      </c>
      <c r="R13" s="29" t="n">
        <f aca="false" t="array" ref="R13:R13">ROUND(IF(E13="Normal",J13*INDEX(Zones!$O$6:$O$35,MATCH(F13,Zones!$A$6:$A$35,0)),IF(E13="Boss",((Paramètres!$B$41-1)*Paramètres!$B$39+Paramètres!$B$42)*INDEX(Zones!$O$6:$O$35,MATCH(F13,Zones!$A$6:$A$35,0))+INDEX(Zones!$R$6:$R$35,MATCH(F13,Zones!$A$6:$A$35,0)),INDEX(Zones!$R$6:$R$35,MATCH(F13,Zones!$A$6:$A$35,0))))*ROUND(Paramètres!$B$49*B13^Paramètres!$B$50,0),0)</f>
        <v>674</v>
      </c>
      <c r="S13" s="29" t="n">
        <f aca="false" t="array" ref="S13:S13">ROUND(IF(E13="Normal",J13*INDEX(Zones!$O$6:$O$35,MATCH(F13,Zones!$A$6:$A$35,0)),IF(E13="Boss",((Paramètres!$B$41-1)*Paramètres!$B$39+Paramètres!$B$42)*INDEX(Zones!$O$6:$O$35,MATCH(F13,Zones!$A$6:$A$35,0))+INDEX(Zones!$R$6:$R$35,MATCH(F13,Zones!$A$6:$A$35,0)),INDEX(Zones!$R$6:$R$35,MATCH(F13,Zones!$A$6:$A$35,0))))*ROUND(Paramètres!$B$53*B13^Paramètres!$B$54,0),0)</f>
        <v>416</v>
      </c>
      <c r="T13" s="22" t="str">
        <f aca="false">IF(E13="Boss",G13,"—")</f>
        <v>—</v>
      </c>
      <c r="U13" s="37" t="n">
        <f aca="false">IF(E13="Dragon",0,(J13-IF(E13="Boss",1,0))*AVERAGEIFS(Monstres!$AL$7:$AL$98,Monstres!$B$7:$B$98,F13,Monstres!$G$7:$G$98,"Non"))</f>
        <v>0.405</v>
      </c>
      <c r="V13" s="74" t="n">
        <f aca="false">IF(E13="Boss",Butin!$E$10,IF(E13="Dragon",Butin!$E$11,0))</f>
        <v>0</v>
      </c>
      <c r="W13" s="37" t="n">
        <f aca="false">U13+V13</f>
        <v>0.405</v>
      </c>
      <c r="X13" s="77" t="n">
        <f aca="false">U13*INDEX(Butin!$E$15:$K$24,MATCH($A13,Éléments!$C$5:$C$14,1),1)+V13*IF(E13="Boss",INDEX(Butin!$E$28:$K$37,MATCH($A13,Éléments!$C$5:$C$14,1),1),IF(E13="Dragon",INDEX(Butin!$E$41:$K$50,MATCH($A13,Éléments!$C$5:$C$14,1),1),0))</f>
        <v>0.324</v>
      </c>
      <c r="Y13" s="77" t="n">
        <f aca="false">U13*INDEX(Butin!$E$15:$K$24,MATCH($A13,Éléments!$C$5:$C$14,1),2)+V13*IF(E13="Boss",INDEX(Butin!$E$28:$K$37,MATCH($A13,Éléments!$C$5:$C$14,1),2),IF(E13="Dragon",INDEX(Butin!$E$41:$K$50,MATCH($A13,Éléments!$C$5:$C$14,1),2),0))</f>
        <v>0.081</v>
      </c>
      <c r="Z13" s="77" t="n">
        <f aca="false">U13*INDEX(Butin!$E$15:$K$24,MATCH($A13,Éléments!$C$5:$C$14,1),3)+V13*IF(E13="Boss",INDEX(Butin!$E$28:$K$37,MATCH($A13,Éléments!$C$5:$C$14,1),3),IF(E13="Dragon",INDEX(Butin!$E$41:$K$50,MATCH($A13,Éléments!$C$5:$C$14,1),3),0))</f>
        <v>0</v>
      </c>
      <c r="AA13" s="77" t="n">
        <f aca="false">U13*INDEX(Butin!$E$15:$K$24,MATCH($A13,Éléments!$C$5:$C$14,1),4)+V13*IF(E13="Boss",INDEX(Butin!$E$28:$K$37,MATCH($A13,Éléments!$C$5:$C$14,1),4),IF(E13="Dragon",INDEX(Butin!$E$41:$K$50,MATCH($A13,Éléments!$C$5:$C$14,1),4),0))</f>
        <v>0</v>
      </c>
      <c r="AB13" s="77" t="n">
        <f aca="false">U13*INDEX(Butin!$E$15:$K$24,MATCH($A13,Éléments!$C$5:$C$14,1),5)+V13*IF(E13="Boss",INDEX(Butin!$E$28:$K$37,MATCH($A13,Éléments!$C$5:$C$14,1),5),IF(E13="Dragon",INDEX(Butin!$E$41:$K$50,MATCH($A13,Éléments!$C$5:$C$14,1),5),0))</f>
        <v>0</v>
      </c>
      <c r="AC13" s="77" t="n">
        <f aca="false">U13*INDEX(Butin!$E$15:$K$24,MATCH($A13,Éléments!$C$5:$C$14,1),6)+V13*IF(E13="Boss",INDEX(Butin!$E$28:$K$37,MATCH($A13,Éléments!$C$5:$C$14,1),6),IF(E13="Dragon",INDEX(Butin!$E$41:$K$50,MATCH($A13,Éléments!$C$5:$C$14,1),6),0))</f>
        <v>0</v>
      </c>
      <c r="AD13" s="77" t="n">
        <f aca="false">U13*INDEX(Butin!$E$15:$K$24,MATCH($A13,Éléments!$C$5:$C$14,1),7)+V13*IF(E13="Boss",INDEX(Butin!$E$28:$K$37,MATCH($A13,Éléments!$C$5:$C$14,1),7),IF(E13="Dragon",INDEX(Butin!$E$41:$K$50,MATCH($A13,Éléments!$C$5:$C$14,1),7),0))</f>
        <v>0</v>
      </c>
    </row>
    <row r="14" customFormat="false" ht="15" hidden="false" customHeight="true" outlineLevel="0" collapsed="false">
      <c r="A14" s="71" t="n">
        <v>9</v>
      </c>
      <c r="B14" s="23" t="n">
        <f aca="false">A14</f>
        <v>9</v>
      </c>
      <c r="C14" s="23" t="str">
        <f aca="false" t="array" ref="C14:C14">INDEX(Éléments!$B$5:$B$14,MATCH(A14,Éléments!$C$5:$C$14,1))</f>
        <v>Forêt</v>
      </c>
      <c r="D14" s="24" t="str">
        <f aca="false" t="array" ref="D14:D14">INDEX(Éléments!$A$5:$A$14,MATCH(A14,Éléments!$C$5:$C$14,1))</f>
        <v>Neutre</v>
      </c>
      <c r="E14" s="23" t="str">
        <f aca="false">IF(MOD(A14,5)=0,"Boss",IF(MOD(A14,10)=9,"Dragon","Normal"))</f>
        <v>Dragon</v>
      </c>
      <c r="F14" s="23" t="n">
        <f aca="false">IF(E14="Normal",5*ROUNDUP(A14/5,0),A14)</f>
        <v>9</v>
      </c>
      <c r="G14" s="22" t="str">
        <f aca="false" t="array" ref="G14:G14">INDEX(Zones!$B$6:$B$35,MATCH(F14,Zones!$A$6:$A$35,0))</f>
        <v>Tannière du dragon (9)</v>
      </c>
      <c r="H14" s="22" t="str">
        <f aca="false" t="array" ref="H14:H14">IF(E14="Normal","—",INDEX(Zones!$L$6:$L$35,MATCH(F14,Zones!$A$6:$A$35,0)))</f>
        <v>Dragon (Neutre)</v>
      </c>
      <c r="I14" s="23" t="n">
        <f aca="false">IF(E14="Normal",Paramètres!$B$40,IF(E14="Boss",Paramètres!$B$41,1))</f>
        <v>1</v>
      </c>
      <c r="J14" s="23" t="n">
        <f aca="false">IF(E14="Normal",Paramètres!$B$40*Paramètres!$B$39,IF(E14="Boss",(Paramètres!$B$41-1)*Paramètres!$B$39+Paramètres!$B$42+1,1))</f>
        <v>1</v>
      </c>
      <c r="K14" s="33" t="n">
        <f aca="false" t="array" ref="K14:K14">IF(E14="Normal",Paramètres!$B$40*Paramètres!$B$39*(INDEX(Zones!$M$6:$M$35,MATCH(F14,Zones!$A$6:$A$35,0))*(1-Paramètres!$B$46)),IF(E14="Boss",((Paramètres!$B$41-1)*Paramètres!$B$39+Paramètres!$B$42)*(INDEX(Zones!$M$6:$M$35,MATCH(F14,Zones!$A$6:$A$35,0))*(1-Paramètres!$B$46))+INDEX(Zones!$P$6:$P$35,MATCH(F14,Zones!$A$6:$A$35,0)),INDEX(Zones!$P$6:$P$35,MATCH(F14,Zones!$A$6:$A$35,0))))</f>
        <v>20</v>
      </c>
      <c r="L14" s="27" t="n">
        <f aca="false">K14*Paramètres!$B$45+I14*Paramètres!$B$47</f>
        <v>104</v>
      </c>
      <c r="M14" s="30" t="n">
        <f aca="false" t="array" ref="M14:M14">IF(E14="Dragon",0,(INDEX(Zones!$N$6:$N$35,MATCH(F14,Zones!$A$6:$A$35,0))*Paramètres!$B$34*(INDEX(Zones!$M$6:$M$35,MATCH(F14,Zones!$A$6:$A$35,0))*(1-Paramètres!$B$46))*Paramètres!$B$39*(Paramètres!$B$39+1)/2))</f>
        <v>0</v>
      </c>
      <c r="N14" s="30" t="n">
        <f aca="false" t="array" ref="N14:N14">IF(E14="Normal",0,IF(E14="Dragon",INDEX(Zones!$Q$6:$Q$35,MATCH(F14,Zones!$A$6:$A$35,0))*Paramètres!$B$34*INDEX(Zones!$P$6:$P$35,MATCH(F14,Zones!$A$6:$A$35,0)),INDEX(Zones!$Q$6:$Q$35,MATCH(F14,Zones!$A$6:$A$35,0))*Paramètres!$B$34*(INDEX(Zones!$P$6:$P$35,MATCH(F14,Zones!$A$6:$A$35,0))+Paramètres!$B$42*(INDEX(Zones!$M$6:$M$35,MATCH(F14,Zones!$A$6:$A$35,0))*(1-Paramètres!$B$46)))+INDEX(Zones!$N$6:$N$35,MATCH(F14,Zones!$A$6:$A$35,0))*Paramètres!$B$34*(INDEX(Zones!$M$6:$M$35,MATCH(F14,Zones!$A$6:$A$35,0))*(1-Paramètres!$B$46))*(Paramètres!$B$42*(Paramètres!$B$42+1)/2)))</f>
        <v>0.51</v>
      </c>
      <c r="O14" s="75" t="n">
        <f aca="false">MAX(M14,N14)</f>
        <v>0.51</v>
      </c>
      <c r="P14" s="36" t="n">
        <f aca="false">IF(E14="Normal",M14*Paramètres!$B$40,IF(E14="Boss",M14*(Paramètres!$B$41-1)+N14,N14))</f>
        <v>0.51</v>
      </c>
      <c r="Q14" s="76" t="str">
        <f aca="false">IF(O14&gt;Paramètres!$B$37,"Trop dur","OK")</f>
        <v>OK</v>
      </c>
      <c r="R14" s="29" t="n">
        <f aca="false" t="array" ref="R14:R14">ROUND(IF(E14="Normal",J14*INDEX(Zones!$O$6:$O$35,MATCH(F14,Zones!$A$6:$A$35,0)),IF(E14="Boss",((Paramètres!$B$41-1)*Paramètres!$B$39+Paramètres!$B$42)*INDEX(Zones!$O$6:$O$35,MATCH(F14,Zones!$A$6:$A$35,0))+INDEX(Zones!$R$6:$R$35,MATCH(F14,Zones!$A$6:$A$35,0)),INDEX(Zones!$R$6:$R$35,MATCH(F14,Zones!$A$6:$A$35,0))))*ROUND(Paramètres!$B$49*B14^Paramètres!$B$50,0),0)</f>
        <v>1128</v>
      </c>
      <c r="S14" s="29" t="n">
        <f aca="false" t="array" ref="S14:S14">ROUND(IF(E14="Normal",J14*INDEX(Zones!$O$6:$O$35,MATCH(F14,Zones!$A$6:$A$35,0)),IF(E14="Boss",((Paramètres!$B$41-1)*Paramètres!$B$39+Paramètres!$B$42)*INDEX(Zones!$O$6:$O$35,MATCH(F14,Zones!$A$6:$A$35,0))+INDEX(Zones!$R$6:$R$35,MATCH(F14,Zones!$A$6:$A$35,0)),INDEX(Zones!$R$6:$R$35,MATCH(F14,Zones!$A$6:$A$35,0))))*ROUND(Paramètres!$B$53*B14^Paramètres!$B$54,0),0)</f>
        <v>696</v>
      </c>
      <c r="T14" s="22" t="str">
        <f aca="false">IF(E14="Boss",G14,"—")</f>
        <v>—</v>
      </c>
      <c r="U14" s="37" t="n">
        <f aca="false">IF(E14="Dragon",0,(J14-IF(E14="Boss",1,0))*AVERAGEIFS(Monstres!$AL$7:$AL$98,Monstres!$B$7:$B$98,F14,Monstres!$G$7:$G$98,"Non"))</f>
        <v>0</v>
      </c>
      <c r="V14" s="74" t="n">
        <f aca="false">IF(E14="Boss",Butin!$E$10,IF(E14="Dragon",Butin!$E$11,0))</f>
        <v>2.5</v>
      </c>
      <c r="W14" s="37" t="n">
        <f aca="false">U14+V14</f>
        <v>2.5</v>
      </c>
      <c r="X14" s="77" t="n">
        <f aca="false">U14*INDEX(Butin!$E$15:$K$24,MATCH($A14,Éléments!$C$5:$C$14,1),1)+V14*IF(E14="Boss",INDEX(Butin!$E$28:$K$37,MATCH($A14,Éléments!$C$5:$C$14,1),1),IF(E14="Dragon",INDEX(Butin!$E$41:$K$50,MATCH($A14,Éléments!$C$5:$C$14,1),1),0))</f>
        <v>0.75</v>
      </c>
      <c r="Y14" s="77" t="n">
        <f aca="false">U14*INDEX(Butin!$E$15:$K$24,MATCH($A14,Éléments!$C$5:$C$14,1),2)+V14*IF(E14="Boss",INDEX(Butin!$E$28:$K$37,MATCH($A14,Éléments!$C$5:$C$14,1),2),IF(E14="Dragon",INDEX(Butin!$E$41:$K$50,MATCH($A14,Éléments!$C$5:$C$14,1),2),0))</f>
        <v>1</v>
      </c>
      <c r="Z14" s="77" t="n">
        <f aca="false">U14*INDEX(Butin!$E$15:$K$24,MATCH($A14,Éléments!$C$5:$C$14,1),3)+V14*IF(E14="Boss",INDEX(Butin!$E$28:$K$37,MATCH($A14,Éléments!$C$5:$C$14,1),3),IF(E14="Dragon",INDEX(Butin!$E$41:$K$50,MATCH($A14,Éléments!$C$5:$C$14,1),3),0))</f>
        <v>0.55</v>
      </c>
      <c r="AA14" s="77" t="n">
        <f aca="false">U14*INDEX(Butin!$E$15:$K$24,MATCH($A14,Éléments!$C$5:$C$14,1),4)+V14*IF(E14="Boss",INDEX(Butin!$E$28:$K$37,MATCH($A14,Éléments!$C$5:$C$14,1),4),IF(E14="Dragon",INDEX(Butin!$E$41:$K$50,MATCH($A14,Éléments!$C$5:$C$14,1),4),0))</f>
        <v>0.15</v>
      </c>
      <c r="AB14" s="77" t="n">
        <f aca="false">U14*INDEX(Butin!$E$15:$K$24,MATCH($A14,Éléments!$C$5:$C$14,1),5)+V14*IF(E14="Boss",INDEX(Butin!$E$28:$K$37,MATCH($A14,Éléments!$C$5:$C$14,1),5),IF(E14="Dragon",INDEX(Butin!$E$41:$K$50,MATCH($A14,Éléments!$C$5:$C$14,1),5),0))</f>
        <v>0</v>
      </c>
      <c r="AC14" s="77" t="n">
        <f aca="false">U14*INDEX(Butin!$E$15:$K$24,MATCH($A14,Éléments!$C$5:$C$14,1),6)+V14*IF(E14="Boss",INDEX(Butin!$E$28:$K$37,MATCH($A14,Éléments!$C$5:$C$14,1),6),IF(E14="Dragon",INDEX(Butin!$E$41:$K$50,MATCH($A14,Éléments!$C$5:$C$14,1),6),0))</f>
        <v>0</v>
      </c>
      <c r="AD14" s="77" t="n">
        <f aca="false">U14*INDEX(Butin!$E$15:$K$24,MATCH($A14,Éléments!$C$5:$C$14,1),7)+V14*IF(E14="Boss",INDEX(Butin!$E$28:$K$37,MATCH($A14,Éléments!$C$5:$C$14,1),7),IF(E14="Dragon",INDEX(Butin!$E$41:$K$50,MATCH($A14,Éléments!$C$5:$C$14,1),7),0))</f>
        <v>0.05</v>
      </c>
    </row>
    <row r="15" customFormat="false" ht="15" hidden="false" customHeight="true" outlineLevel="0" collapsed="false">
      <c r="A15" s="71" t="n">
        <v>10</v>
      </c>
      <c r="B15" s="23" t="n">
        <f aca="false">A15</f>
        <v>10</v>
      </c>
      <c r="C15" s="23" t="str">
        <f aca="false" t="array" ref="C15:C15">INDEX(Éléments!$B$5:$B$14,MATCH(A15,Éléments!$C$5:$C$14,1))</f>
        <v>Forêt</v>
      </c>
      <c r="D15" s="24" t="str">
        <f aca="false" t="array" ref="D15:D15">INDEX(Éléments!$A$5:$A$14,MATCH(A15,Éléments!$C$5:$C$14,1))</f>
        <v>Neutre</v>
      </c>
      <c r="E15" s="23" t="str">
        <f aca="false">IF(MOD(A15,5)=0,"Boss",IF(MOD(A15,10)=9,"Dragon","Normal"))</f>
        <v>Boss</v>
      </c>
      <c r="F15" s="23" t="n">
        <f aca="false">IF(E15="Normal",5*ROUNDUP(A15/5,0),A15)</f>
        <v>10</v>
      </c>
      <c r="G15" s="22" t="str">
        <f aca="false" t="array" ref="G15:G15">INDEX(Zones!$B$6:$B$35,MATCH(F15,Zones!$A$6:$A$35,0))</f>
        <v>Village gobelin</v>
      </c>
      <c r="H15" s="22" t="str">
        <f aca="false" t="array" ref="H15:H15">IF(E15="Normal","—",INDEX(Zones!$L$6:$L$35,MATCH(F15,Zones!$A$6:$A$35,0)))</f>
        <v>Chef gobelin</v>
      </c>
      <c r="I15" s="27" t="n">
        <f aca="false">IF(E15="Normal",Paramètres!$B$40,IF(E15="Boss",Paramètres!$B$41,1))</f>
        <v>5</v>
      </c>
      <c r="J15" s="27" t="n">
        <f aca="false">IF(E15="Normal",Paramètres!$B$40*Paramètres!$B$39,IF(E15="Boss",(Paramètres!$B$41-1)*Paramètres!$B$39+Paramètres!$B$42+1,1))</f>
        <v>15</v>
      </c>
      <c r="K15" s="33" t="n">
        <f aca="false" t="array" ref="K15:K15">IF(E15="Normal",Paramètres!$B$40*Paramètres!$B$39*(INDEX(Zones!$M$6:$M$35,MATCH(F15,Zones!$A$6:$A$35,0))*(1-Paramètres!$B$46)),IF(E15="Boss",((Paramètres!$B$41-1)*Paramètres!$B$39+Paramètres!$B$42)*(INDEX(Zones!$M$6:$M$35,MATCH(F15,Zones!$A$6:$A$35,0))*(1-Paramètres!$B$46))+INDEX(Zones!$P$6:$P$35,MATCH(F15,Zones!$A$6:$A$35,0)),INDEX(Zones!$P$6:$P$35,MATCH(F15,Zones!$A$6:$A$35,0))))</f>
        <v>31.46625</v>
      </c>
      <c r="L15" s="27" t="n">
        <f aca="false">K15*Paramètres!$B$45+I15*Paramètres!$B$47</f>
        <v>177.33125</v>
      </c>
      <c r="M15" s="30" t="n">
        <f aca="false" t="array" ref="M15:M15">IF(E15="Dragon",0,(INDEX(Zones!$N$6:$N$35,MATCH(F15,Zones!$A$6:$A$35,0))*Paramètres!$B$34*(INDEX(Zones!$M$6:$M$35,MATCH(F15,Zones!$A$6:$A$35,0))*(1-Paramètres!$B$46))*Paramètres!$B$39*(Paramètres!$B$39+1)/2))</f>
        <v>0.0892934296875</v>
      </c>
      <c r="N15" s="30" t="n">
        <f aca="false" t="array" ref="N15:N15">IF(E15="Normal",0,IF(E15="Dragon",INDEX(Zones!$Q$6:$Q$35,MATCH(F15,Zones!$A$6:$A$35,0))*Paramètres!$B$34*INDEX(Zones!$P$6:$P$35,MATCH(F15,Zones!$A$6:$A$35,0)),INDEX(Zones!$Q$6:$Q$35,MATCH(F15,Zones!$A$6:$A$35,0))*Paramètres!$B$34*(INDEX(Zones!$P$6:$P$35,MATCH(F15,Zones!$A$6:$A$35,0))+Paramètres!$B$42*(INDEX(Zones!$M$6:$M$35,MATCH(F15,Zones!$A$6:$A$35,0))*(1-Paramètres!$B$46)))+INDEX(Zones!$N$6:$N$35,MATCH(F15,Zones!$A$6:$A$35,0))*Paramètres!$B$34*(INDEX(Zones!$M$6:$M$35,MATCH(F15,Zones!$A$6:$A$35,0))*(1-Paramètres!$B$46))*(Paramètres!$B$42*(Paramètres!$B$42+1)/2)))</f>
        <v>0.46090233984375</v>
      </c>
      <c r="O15" s="75" t="n">
        <f aca="false">MAX(M15,N15)</f>
        <v>0.46090233984375</v>
      </c>
      <c r="P15" s="36" t="n">
        <f aca="false">IF(E15="Normal",M15*Paramètres!$B$40,IF(E15="Boss",M15*(Paramètres!$B$41-1)+N15,N15))</f>
        <v>0.81807605859375</v>
      </c>
      <c r="Q15" s="76" t="str">
        <f aca="false">IF(O15&gt;Paramètres!$B$37,"Trop dur","OK")</f>
        <v>OK</v>
      </c>
      <c r="R15" s="29" t="n">
        <f aca="false" t="array" ref="R15:R15">ROUND(IF(E15="Normal",J15*INDEX(Zones!$O$6:$O$35,MATCH(F15,Zones!$A$6:$A$35,0)),IF(E15="Boss",((Paramètres!$B$41-1)*Paramètres!$B$39+Paramètres!$B$42)*INDEX(Zones!$O$6:$O$35,MATCH(F15,Zones!$A$6:$A$35,0))+INDEX(Zones!$R$6:$R$35,MATCH(F15,Zones!$A$6:$A$35,0)),INDEX(Zones!$R$6:$R$35,MATCH(F15,Zones!$A$6:$A$35,0))))*ROUND(Paramètres!$B$49*B15^Paramètres!$B$50,0),0)</f>
        <v>2242</v>
      </c>
      <c r="S15" s="29" t="n">
        <f aca="false" t="array" ref="S15:S15">ROUND(IF(E15="Normal",J15*INDEX(Zones!$O$6:$O$35,MATCH(F15,Zones!$A$6:$A$35,0)),IF(E15="Boss",((Paramètres!$B$41-1)*Paramètres!$B$39+Paramètres!$B$42)*INDEX(Zones!$O$6:$O$35,MATCH(F15,Zones!$A$6:$A$35,0))+INDEX(Zones!$R$6:$R$35,MATCH(F15,Zones!$A$6:$A$35,0)),INDEX(Zones!$R$6:$R$35,MATCH(F15,Zones!$A$6:$A$35,0))))*ROUND(Paramètres!$B$53*B15^Paramètres!$B$54,0),0)</f>
        <v>1404</v>
      </c>
      <c r="T15" s="22" t="str">
        <f aca="false">IF(E15="Boss",G15,"—")</f>
        <v>Village gobelin</v>
      </c>
      <c r="U15" s="37" t="n">
        <f aca="false">IF(E15="Dragon",0,(J15-IF(E15="Boss",1,0))*AVERAGEIFS(Monstres!$AL$7:$AL$98,Monstres!$B$7:$B$98,F15,Monstres!$G$7:$G$98,"Non"))</f>
        <v>0.63</v>
      </c>
      <c r="V15" s="74" t="n">
        <f aca="false">IF(E15="Boss",Butin!$E$10,IF(E15="Dragon",Butin!$E$11,0))</f>
        <v>1.4</v>
      </c>
      <c r="W15" s="37" t="n">
        <f aca="false">U15+V15</f>
        <v>2.03</v>
      </c>
      <c r="X15" s="77" t="n">
        <f aca="false">U15*INDEX(Butin!$E$15:$K$24,MATCH($A15,Éléments!$C$5:$C$14,1),1)+V15*IF(E15="Boss",INDEX(Butin!$E$28:$K$37,MATCH($A15,Éléments!$C$5:$C$14,1),1),IF(E15="Dragon",INDEX(Butin!$E$41:$K$50,MATCH($A15,Éléments!$C$5:$C$14,1),1),0))</f>
        <v>1.064</v>
      </c>
      <c r="Y15" s="77" t="n">
        <f aca="false">U15*INDEX(Butin!$E$15:$K$24,MATCH($A15,Éléments!$C$5:$C$14,1),2)+V15*IF(E15="Boss",INDEX(Butin!$E$28:$K$37,MATCH($A15,Éléments!$C$5:$C$14,1),2),IF(E15="Dragon",INDEX(Butin!$E$41:$K$50,MATCH($A15,Éléments!$C$5:$C$14,1),2),0))</f>
        <v>0.686</v>
      </c>
      <c r="Z15" s="77" t="n">
        <f aca="false">U15*INDEX(Butin!$E$15:$K$24,MATCH($A15,Éléments!$C$5:$C$14,1),3)+V15*IF(E15="Boss",INDEX(Butin!$E$28:$K$37,MATCH($A15,Éléments!$C$5:$C$14,1),3),IF(E15="Dragon",INDEX(Butin!$E$41:$K$50,MATCH($A15,Éléments!$C$5:$C$14,1),3),0))</f>
        <v>0.21</v>
      </c>
      <c r="AA15" s="77" t="n">
        <f aca="false">U15*INDEX(Butin!$E$15:$K$24,MATCH($A15,Éléments!$C$5:$C$14,1),4)+V15*IF(E15="Boss",INDEX(Butin!$E$28:$K$37,MATCH($A15,Éléments!$C$5:$C$14,1),4),IF(E15="Dragon",INDEX(Butin!$E$41:$K$50,MATCH($A15,Éléments!$C$5:$C$14,1),4),0))</f>
        <v>0.056</v>
      </c>
      <c r="AB15" s="77" t="n">
        <f aca="false">U15*INDEX(Butin!$E$15:$K$24,MATCH($A15,Éléments!$C$5:$C$14,1),5)+V15*IF(E15="Boss",INDEX(Butin!$E$28:$K$37,MATCH($A15,Éléments!$C$5:$C$14,1),5),IF(E15="Dragon",INDEX(Butin!$E$41:$K$50,MATCH($A15,Éléments!$C$5:$C$14,1),5),0))</f>
        <v>0</v>
      </c>
      <c r="AC15" s="77" t="n">
        <f aca="false">U15*INDEX(Butin!$E$15:$K$24,MATCH($A15,Éléments!$C$5:$C$14,1),6)+V15*IF(E15="Boss",INDEX(Butin!$E$28:$K$37,MATCH($A15,Éléments!$C$5:$C$14,1),6),IF(E15="Dragon",INDEX(Butin!$E$41:$K$50,MATCH($A15,Éléments!$C$5:$C$14,1),6),0))</f>
        <v>0</v>
      </c>
      <c r="AD15" s="77" t="n">
        <f aca="false">U15*INDEX(Butin!$E$15:$K$24,MATCH($A15,Éléments!$C$5:$C$14,1),7)+V15*IF(E15="Boss",INDEX(Butin!$E$28:$K$37,MATCH($A15,Éléments!$C$5:$C$14,1),7),IF(E15="Dragon",INDEX(Butin!$E$41:$K$50,MATCH($A15,Éléments!$C$5:$C$14,1),7),0))</f>
        <v>0.014</v>
      </c>
    </row>
    <row r="16" customFormat="false" ht="15" hidden="false" customHeight="true" outlineLevel="0" collapsed="false">
      <c r="A16" s="71" t="n">
        <v>11</v>
      </c>
      <c r="B16" s="23" t="n">
        <f aca="false">A16</f>
        <v>11</v>
      </c>
      <c r="C16" s="23" t="str">
        <f aca="false" t="array" ref="C16:C16">INDEX(Éléments!$B$5:$B$14,MATCH(A16,Éléments!$C$5:$C$14,1))</f>
        <v>Montagne</v>
      </c>
      <c r="D16" s="41" t="str">
        <f aca="false" t="array" ref="D16:D16">INDEX(Éléments!$A$5:$A$14,MATCH(A16,Éléments!$C$5:$C$14,1))</f>
        <v>Terre</v>
      </c>
      <c r="E16" s="23" t="str">
        <f aca="false">IF(MOD(A16,5)=0,"Boss",IF(MOD(A16,10)=9,"Dragon","Normal"))</f>
        <v>Normal</v>
      </c>
      <c r="F16" s="23" t="n">
        <f aca="false">IF(E16="Normal",5*ROUNDUP(A16/5,0),A16)</f>
        <v>15</v>
      </c>
      <c r="G16" s="22" t="str">
        <f aca="false" t="array" ref="G16:G16">INDEX(Zones!$B$6:$B$35,MATCH(F16,Zones!$A$6:$A$35,0))</f>
        <v>Mine abandonnée</v>
      </c>
      <c r="H16" s="22" t="str">
        <f aca="false" t="array" ref="H16:H16">IF(E16="Normal","—",INDEX(Zones!$L$6:$L$35,MATCH(F16,Zones!$A$6:$A$35,0)))</f>
        <v>—</v>
      </c>
      <c r="I16" s="27" t="n">
        <f aca="false">IF(E16="Normal",Paramètres!$B$40,IF(E16="Boss",Paramètres!$B$41,1))</f>
        <v>3</v>
      </c>
      <c r="J16" s="23" t="n">
        <f aca="false">IF(E16="Normal",Paramètres!$B$40*Paramètres!$B$39,IF(E16="Boss",(Paramètres!$B$41-1)*Paramètres!$B$39+Paramètres!$B$42+1,1))</f>
        <v>9</v>
      </c>
      <c r="K16" s="33" t="n">
        <f aca="false" t="array" ref="K16:K16">IF(E16="Normal",Paramètres!$B$40*Paramètres!$B$39*(INDEX(Zones!$M$6:$M$35,MATCH(F16,Zones!$A$6:$A$35,0))*(1-Paramètres!$B$46)),IF(E16="Boss",((Paramètres!$B$41-1)*Paramètres!$B$39+Paramètres!$B$42)*(INDEX(Zones!$M$6:$M$35,MATCH(F16,Zones!$A$6:$A$35,0))*(1-Paramètres!$B$46))+INDEX(Zones!$P$6:$P$35,MATCH(F16,Zones!$A$6:$A$35,0)),INDEX(Zones!$P$6:$P$35,MATCH(F16,Zones!$A$6:$A$35,0))))</f>
        <v>14.3775</v>
      </c>
      <c r="L16" s="27" t="n">
        <f aca="false">K16*Paramètres!$B$45+I16*Paramètres!$B$47</f>
        <v>83.8875</v>
      </c>
      <c r="M16" s="30" t="n">
        <f aca="false" t="array" ref="M16:M16">IF(E16="Dragon",0,(INDEX(Zones!$N$6:$N$35,MATCH(F16,Zones!$A$6:$A$35,0))*Paramètres!$B$34*(INDEX(Zones!$M$6:$M$35,MATCH(F16,Zones!$A$6:$A$35,0))*(1-Paramètres!$B$46))*Paramètres!$B$39*(Paramètres!$B$39+1)/2))</f>
        <v>0.14115110625</v>
      </c>
      <c r="N16" s="30" t="n">
        <f aca="false" t="array" ref="N16:N16">IF(E16="Normal",0,IF(E16="Dragon",INDEX(Zones!$Q$6:$Q$35,MATCH(F16,Zones!$A$6:$A$35,0))*Paramètres!$B$34*INDEX(Zones!$P$6:$P$35,MATCH(F16,Zones!$A$6:$A$35,0)),INDEX(Zones!$Q$6:$Q$35,MATCH(F16,Zones!$A$6:$A$35,0))*Paramètres!$B$34*(INDEX(Zones!$P$6:$P$35,MATCH(F16,Zones!$A$6:$A$35,0))+Paramètres!$B$42*(INDEX(Zones!$M$6:$M$35,MATCH(F16,Zones!$A$6:$A$35,0))*(1-Paramètres!$B$46)))+INDEX(Zones!$N$6:$N$35,MATCH(F16,Zones!$A$6:$A$35,0))*Paramètres!$B$34*(INDEX(Zones!$M$6:$M$35,MATCH(F16,Zones!$A$6:$A$35,0))*(1-Paramètres!$B$46))*(Paramètres!$B$42*(Paramètres!$B$42+1)/2)))</f>
        <v>0</v>
      </c>
      <c r="O16" s="75" t="n">
        <f aca="false">MAX(M16,N16)</f>
        <v>0.14115110625</v>
      </c>
      <c r="P16" s="36" t="n">
        <f aca="false">IF(E16="Normal",M16*Paramètres!$B$40,IF(E16="Boss",M16*(Paramètres!$B$41-1)+N16,N16))</f>
        <v>0.42345331875</v>
      </c>
      <c r="Q16" s="76" t="str">
        <f aca="false">IF(O16&gt;Paramètres!$B$37,"Trop dur","OK")</f>
        <v>OK</v>
      </c>
      <c r="R16" s="29" t="n">
        <f aca="false" t="array" ref="R16:R16">ROUND(IF(E16="Normal",J16*INDEX(Zones!$O$6:$O$35,MATCH(F16,Zones!$A$6:$A$35,0)),IF(E16="Boss",((Paramètres!$B$41-1)*Paramètres!$B$39+Paramètres!$B$42)*INDEX(Zones!$O$6:$O$35,MATCH(F16,Zones!$A$6:$A$35,0))+INDEX(Zones!$R$6:$R$35,MATCH(F16,Zones!$A$6:$A$35,0)),INDEX(Zones!$R$6:$R$35,MATCH(F16,Zones!$A$6:$A$35,0))))*ROUND(Paramètres!$B$49*B16^Paramètres!$B$50,0),0)</f>
        <v>1188</v>
      </c>
      <c r="S16" s="29" t="n">
        <f aca="false" t="array" ref="S16:S16">ROUND(IF(E16="Normal",J16*INDEX(Zones!$O$6:$O$35,MATCH(F16,Zones!$A$6:$A$35,0)),IF(E16="Boss",((Paramètres!$B$41-1)*Paramètres!$B$39+Paramètres!$B$42)*INDEX(Zones!$O$6:$O$35,MATCH(F16,Zones!$A$6:$A$35,0))+INDEX(Zones!$R$6:$R$35,MATCH(F16,Zones!$A$6:$A$35,0)),INDEX(Zones!$R$6:$R$35,MATCH(F16,Zones!$A$6:$A$35,0))))*ROUND(Paramètres!$B$53*B16^Paramètres!$B$54,0),0)</f>
        <v>752</v>
      </c>
      <c r="T16" s="22" t="str">
        <f aca="false">IF(E16="Boss",G16,"—")</f>
        <v>—</v>
      </c>
      <c r="U16" s="37" t="n">
        <f aca="false">IF(E16="Dragon",0,(J16-IF(E16="Boss",1,0))*AVERAGEIFS(Monstres!$AL$7:$AL$98,Monstres!$B$7:$B$98,F16,Monstres!$G$7:$G$98,"Non"))</f>
        <v>0.5175</v>
      </c>
      <c r="V16" s="74" t="n">
        <f aca="false">IF(E16="Boss",Butin!$E$10,IF(E16="Dragon",Butin!$E$11,0))</f>
        <v>0</v>
      </c>
      <c r="W16" s="37" t="n">
        <f aca="false">U16+V16</f>
        <v>0.5175</v>
      </c>
      <c r="X16" s="77" t="n">
        <f aca="false">U16*INDEX(Butin!$E$15:$K$24,MATCH($A16,Éléments!$C$5:$C$14,1),1)+V16*IF(E16="Boss",INDEX(Butin!$E$28:$K$37,MATCH($A16,Éléments!$C$5:$C$14,1),1),IF(E16="Dragon",INDEX(Butin!$E$41:$K$50,MATCH($A16,Éléments!$C$5:$C$14,1),1),0))</f>
        <v>0.336375</v>
      </c>
      <c r="Y16" s="77" t="n">
        <f aca="false">U16*INDEX(Butin!$E$15:$K$24,MATCH($A16,Éléments!$C$5:$C$14,1),2)+V16*IF(E16="Boss",INDEX(Butin!$E$28:$K$37,MATCH($A16,Éléments!$C$5:$C$14,1),2),IF(E16="Dragon",INDEX(Butin!$E$41:$K$50,MATCH($A16,Éléments!$C$5:$C$14,1),2),0))</f>
        <v>0.1449</v>
      </c>
      <c r="Z16" s="77" t="n">
        <f aca="false">U16*INDEX(Butin!$E$15:$K$24,MATCH($A16,Éléments!$C$5:$C$14,1),3)+V16*IF(E16="Boss",INDEX(Butin!$E$28:$K$37,MATCH($A16,Éléments!$C$5:$C$14,1),3),IF(E16="Dragon",INDEX(Butin!$E$41:$K$50,MATCH($A16,Éléments!$C$5:$C$14,1),3),0))</f>
        <v>0.036225</v>
      </c>
      <c r="AA16" s="77" t="n">
        <f aca="false">U16*INDEX(Butin!$E$15:$K$24,MATCH($A16,Éléments!$C$5:$C$14,1),4)+V16*IF(E16="Boss",INDEX(Butin!$E$28:$K$37,MATCH($A16,Éléments!$C$5:$C$14,1),4),IF(E16="Dragon",INDEX(Butin!$E$41:$K$50,MATCH($A16,Éléments!$C$5:$C$14,1),4),0))</f>
        <v>0</v>
      </c>
      <c r="AB16" s="77" t="n">
        <f aca="false">U16*INDEX(Butin!$E$15:$K$24,MATCH($A16,Éléments!$C$5:$C$14,1),5)+V16*IF(E16="Boss",INDEX(Butin!$E$28:$K$37,MATCH($A16,Éléments!$C$5:$C$14,1),5),IF(E16="Dragon",INDEX(Butin!$E$41:$K$50,MATCH($A16,Éléments!$C$5:$C$14,1),5),0))</f>
        <v>0</v>
      </c>
      <c r="AC16" s="77" t="n">
        <f aca="false">U16*INDEX(Butin!$E$15:$K$24,MATCH($A16,Éléments!$C$5:$C$14,1),6)+V16*IF(E16="Boss",INDEX(Butin!$E$28:$K$37,MATCH($A16,Éléments!$C$5:$C$14,1),6),IF(E16="Dragon",INDEX(Butin!$E$41:$K$50,MATCH($A16,Éléments!$C$5:$C$14,1),6),0))</f>
        <v>0</v>
      </c>
      <c r="AD16" s="77" t="n">
        <f aca="false">U16*INDEX(Butin!$E$15:$K$24,MATCH($A16,Éléments!$C$5:$C$14,1),7)+V16*IF(E16="Boss",INDEX(Butin!$E$28:$K$37,MATCH($A16,Éléments!$C$5:$C$14,1),7),IF(E16="Dragon",INDEX(Butin!$E$41:$K$50,MATCH($A16,Éléments!$C$5:$C$14,1),7),0))</f>
        <v>0</v>
      </c>
    </row>
    <row r="17" customFormat="false" ht="15" hidden="false" customHeight="true" outlineLevel="0" collapsed="false">
      <c r="A17" s="71" t="n">
        <v>12</v>
      </c>
      <c r="B17" s="23" t="n">
        <f aca="false">A17</f>
        <v>12</v>
      </c>
      <c r="C17" s="23" t="str">
        <f aca="false" t="array" ref="C17:C17">INDEX(Éléments!$B$5:$B$14,MATCH(A17,Éléments!$C$5:$C$14,1))</f>
        <v>Montagne</v>
      </c>
      <c r="D17" s="41" t="str">
        <f aca="false" t="array" ref="D17:D17">INDEX(Éléments!$A$5:$A$14,MATCH(A17,Éléments!$C$5:$C$14,1))</f>
        <v>Terre</v>
      </c>
      <c r="E17" s="23" t="str">
        <f aca="false">IF(MOD(A17,5)=0,"Boss",IF(MOD(A17,10)=9,"Dragon","Normal"))</f>
        <v>Normal</v>
      </c>
      <c r="F17" s="23" t="n">
        <f aca="false">IF(E17="Normal",5*ROUNDUP(A17/5,0),A17)</f>
        <v>15</v>
      </c>
      <c r="G17" s="22" t="str">
        <f aca="false" t="array" ref="G17:G17">INDEX(Zones!$B$6:$B$35,MATCH(F17,Zones!$A$6:$A$35,0))</f>
        <v>Mine abandonnée</v>
      </c>
      <c r="H17" s="22" t="str">
        <f aca="false" t="array" ref="H17:H17">IF(E17="Normal","—",INDEX(Zones!$L$6:$L$35,MATCH(F17,Zones!$A$6:$A$35,0)))</f>
        <v>—</v>
      </c>
      <c r="I17" s="27" t="n">
        <f aca="false">IF(E17="Normal",Paramètres!$B$40,IF(E17="Boss",Paramètres!$B$41,1))</f>
        <v>3</v>
      </c>
      <c r="J17" s="23" t="n">
        <f aca="false">IF(E17="Normal",Paramètres!$B$40*Paramètres!$B$39,IF(E17="Boss",(Paramètres!$B$41-1)*Paramètres!$B$39+Paramètres!$B$42+1,1))</f>
        <v>9</v>
      </c>
      <c r="K17" s="33" t="n">
        <f aca="false" t="array" ref="K17:K17">IF(E17="Normal",Paramètres!$B$40*Paramètres!$B$39*(INDEX(Zones!$M$6:$M$35,MATCH(F17,Zones!$A$6:$A$35,0))*(1-Paramètres!$B$46)),IF(E17="Boss",((Paramètres!$B$41-1)*Paramètres!$B$39+Paramètres!$B$42)*(INDEX(Zones!$M$6:$M$35,MATCH(F17,Zones!$A$6:$A$35,0))*(1-Paramètres!$B$46))+INDEX(Zones!$P$6:$P$35,MATCH(F17,Zones!$A$6:$A$35,0)),INDEX(Zones!$P$6:$P$35,MATCH(F17,Zones!$A$6:$A$35,0))))</f>
        <v>14.3775</v>
      </c>
      <c r="L17" s="27" t="n">
        <f aca="false">K17*Paramètres!$B$45+I17*Paramètres!$B$47</f>
        <v>83.8875</v>
      </c>
      <c r="M17" s="30" t="n">
        <f aca="false" t="array" ref="M17:M17">IF(E17="Dragon",0,(INDEX(Zones!$N$6:$N$35,MATCH(F17,Zones!$A$6:$A$35,0))*Paramètres!$B$34*(INDEX(Zones!$M$6:$M$35,MATCH(F17,Zones!$A$6:$A$35,0))*(1-Paramètres!$B$46))*Paramètres!$B$39*(Paramètres!$B$39+1)/2))</f>
        <v>0.14115110625</v>
      </c>
      <c r="N17" s="30" t="n">
        <f aca="false" t="array" ref="N17:N17">IF(E17="Normal",0,IF(E17="Dragon",INDEX(Zones!$Q$6:$Q$35,MATCH(F17,Zones!$A$6:$A$35,0))*Paramètres!$B$34*INDEX(Zones!$P$6:$P$35,MATCH(F17,Zones!$A$6:$A$35,0)),INDEX(Zones!$Q$6:$Q$35,MATCH(F17,Zones!$A$6:$A$35,0))*Paramètres!$B$34*(INDEX(Zones!$P$6:$P$35,MATCH(F17,Zones!$A$6:$A$35,0))+Paramètres!$B$42*(INDEX(Zones!$M$6:$M$35,MATCH(F17,Zones!$A$6:$A$35,0))*(1-Paramètres!$B$46)))+INDEX(Zones!$N$6:$N$35,MATCH(F17,Zones!$A$6:$A$35,0))*Paramètres!$B$34*(INDEX(Zones!$M$6:$M$35,MATCH(F17,Zones!$A$6:$A$35,0))*(1-Paramètres!$B$46))*(Paramètres!$B$42*(Paramètres!$B$42+1)/2)))</f>
        <v>0</v>
      </c>
      <c r="O17" s="75" t="n">
        <f aca="false">MAX(M17,N17)</f>
        <v>0.14115110625</v>
      </c>
      <c r="P17" s="36" t="n">
        <f aca="false">IF(E17="Normal",M17*Paramètres!$B$40,IF(E17="Boss",M17*(Paramètres!$B$41-1)+N17,N17))</f>
        <v>0.42345331875</v>
      </c>
      <c r="Q17" s="76" t="str">
        <f aca="false">IF(O17&gt;Paramètres!$B$37,"Trop dur","OK")</f>
        <v>OK</v>
      </c>
      <c r="R17" s="29" t="n">
        <f aca="false" t="array" ref="R17:R17">ROUND(IF(E17="Normal",J17*INDEX(Zones!$O$6:$O$35,MATCH(F17,Zones!$A$6:$A$35,0)),IF(E17="Boss",((Paramètres!$B$41-1)*Paramètres!$B$39+Paramètres!$B$42)*INDEX(Zones!$O$6:$O$35,MATCH(F17,Zones!$A$6:$A$35,0))+INDEX(Zones!$R$6:$R$35,MATCH(F17,Zones!$A$6:$A$35,0)),INDEX(Zones!$R$6:$R$35,MATCH(F17,Zones!$A$6:$A$35,0))))*ROUND(Paramètres!$B$49*B17^Paramètres!$B$50,0),0)</f>
        <v>1327</v>
      </c>
      <c r="S17" s="29" t="n">
        <f aca="false" t="array" ref="S17:S17">ROUND(IF(E17="Normal",J17*INDEX(Zones!$O$6:$O$35,MATCH(F17,Zones!$A$6:$A$35,0)),IF(E17="Boss",((Paramètres!$B$41-1)*Paramètres!$B$39+Paramètres!$B$42)*INDEX(Zones!$O$6:$O$35,MATCH(F17,Zones!$A$6:$A$35,0))+INDEX(Zones!$R$6:$R$35,MATCH(F17,Zones!$A$6:$A$35,0)),INDEX(Zones!$R$6:$R$35,MATCH(F17,Zones!$A$6:$A$35,0))))*ROUND(Paramètres!$B$53*B17^Paramètres!$B$54,0),0)</f>
        <v>851</v>
      </c>
      <c r="T17" s="22" t="str">
        <f aca="false">IF(E17="Boss",G17,"—")</f>
        <v>—</v>
      </c>
      <c r="U17" s="37" t="n">
        <f aca="false">IF(E17="Dragon",0,(J17-IF(E17="Boss",1,0))*AVERAGEIFS(Monstres!$AL$7:$AL$98,Monstres!$B$7:$B$98,F17,Monstres!$G$7:$G$98,"Non"))</f>
        <v>0.5175</v>
      </c>
      <c r="V17" s="74" t="n">
        <f aca="false">IF(E17="Boss",Butin!$E$10,IF(E17="Dragon",Butin!$E$11,0))</f>
        <v>0</v>
      </c>
      <c r="W17" s="37" t="n">
        <f aca="false">U17+V17</f>
        <v>0.5175</v>
      </c>
      <c r="X17" s="77" t="n">
        <f aca="false">U17*INDEX(Butin!$E$15:$K$24,MATCH($A17,Éléments!$C$5:$C$14,1),1)+V17*IF(E17="Boss",INDEX(Butin!$E$28:$K$37,MATCH($A17,Éléments!$C$5:$C$14,1),1),IF(E17="Dragon",INDEX(Butin!$E$41:$K$50,MATCH($A17,Éléments!$C$5:$C$14,1),1),0))</f>
        <v>0.336375</v>
      </c>
      <c r="Y17" s="77" t="n">
        <f aca="false">U17*INDEX(Butin!$E$15:$K$24,MATCH($A17,Éléments!$C$5:$C$14,1),2)+V17*IF(E17="Boss",INDEX(Butin!$E$28:$K$37,MATCH($A17,Éléments!$C$5:$C$14,1),2),IF(E17="Dragon",INDEX(Butin!$E$41:$K$50,MATCH($A17,Éléments!$C$5:$C$14,1),2),0))</f>
        <v>0.1449</v>
      </c>
      <c r="Z17" s="77" t="n">
        <f aca="false">U17*INDEX(Butin!$E$15:$K$24,MATCH($A17,Éléments!$C$5:$C$14,1),3)+V17*IF(E17="Boss",INDEX(Butin!$E$28:$K$37,MATCH($A17,Éléments!$C$5:$C$14,1),3),IF(E17="Dragon",INDEX(Butin!$E$41:$K$50,MATCH($A17,Éléments!$C$5:$C$14,1),3),0))</f>
        <v>0.036225</v>
      </c>
      <c r="AA17" s="77" t="n">
        <f aca="false">U17*INDEX(Butin!$E$15:$K$24,MATCH($A17,Éléments!$C$5:$C$14,1),4)+V17*IF(E17="Boss",INDEX(Butin!$E$28:$K$37,MATCH($A17,Éléments!$C$5:$C$14,1),4),IF(E17="Dragon",INDEX(Butin!$E$41:$K$50,MATCH($A17,Éléments!$C$5:$C$14,1),4),0))</f>
        <v>0</v>
      </c>
      <c r="AB17" s="77" t="n">
        <f aca="false">U17*INDEX(Butin!$E$15:$K$24,MATCH($A17,Éléments!$C$5:$C$14,1),5)+V17*IF(E17="Boss",INDEX(Butin!$E$28:$K$37,MATCH($A17,Éléments!$C$5:$C$14,1),5),IF(E17="Dragon",INDEX(Butin!$E$41:$K$50,MATCH($A17,Éléments!$C$5:$C$14,1),5),0))</f>
        <v>0</v>
      </c>
      <c r="AC17" s="77" t="n">
        <f aca="false">U17*INDEX(Butin!$E$15:$K$24,MATCH($A17,Éléments!$C$5:$C$14,1),6)+V17*IF(E17="Boss",INDEX(Butin!$E$28:$K$37,MATCH($A17,Éléments!$C$5:$C$14,1),6),IF(E17="Dragon",INDEX(Butin!$E$41:$K$50,MATCH($A17,Éléments!$C$5:$C$14,1),6),0))</f>
        <v>0</v>
      </c>
      <c r="AD17" s="77" t="n">
        <f aca="false">U17*INDEX(Butin!$E$15:$K$24,MATCH($A17,Éléments!$C$5:$C$14,1),7)+V17*IF(E17="Boss",INDEX(Butin!$E$28:$K$37,MATCH($A17,Éléments!$C$5:$C$14,1),7),IF(E17="Dragon",INDEX(Butin!$E$41:$K$50,MATCH($A17,Éléments!$C$5:$C$14,1),7),0))</f>
        <v>0</v>
      </c>
    </row>
    <row r="18" customFormat="false" ht="15" hidden="false" customHeight="true" outlineLevel="0" collapsed="false">
      <c r="A18" s="71" t="n">
        <v>13</v>
      </c>
      <c r="B18" s="23" t="n">
        <f aca="false">A18</f>
        <v>13</v>
      </c>
      <c r="C18" s="23" t="str">
        <f aca="false" t="array" ref="C18:C18">INDEX(Éléments!$B$5:$B$14,MATCH(A18,Éléments!$C$5:$C$14,1))</f>
        <v>Montagne</v>
      </c>
      <c r="D18" s="41" t="str">
        <f aca="false" t="array" ref="D18:D18">INDEX(Éléments!$A$5:$A$14,MATCH(A18,Éléments!$C$5:$C$14,1))</f>
        <v>Terre</v>
      </c>
      <c r="E18" s="23" t="str">
        <f aca="false">IF(MOD(A18,5)=0,"Boss",IF(MOD(A18,10)=9,"Dragon","Normal"))</f>
        <v>Normal</v>
      </c>
      <c r="F18" s="23" t="n">
        <f aca="false">IF(E18="Normal",5*ROUNDUP(A18/5,0),A18)</f>
        <v>15</v>
      </c>
      <c r="G18" s="22" t="str">
        <f aca="false" t="array" ref="G18:G18">INDEX(Zones!$B$6:$B$35,MATCH(F18,Zones!$A$6:$A$35,0))</f>
        <v>Mine abandonnée</v>
      </c>
      <c r="H18" s="22" t="str">
        <f aca="false" t="array" ref="H18:H18">IF(E18="Normal","—",INDEX(Zones!$L$6:$L$35,MATCH(F18,Zones!$A$6:$A$35,0)))</f>
        <v>—</v>
      </c>
      <c r="I18" s="27" t="n">
        <f aca="false">IF(E18="Normal",Paramètres!$B$40,IF(E18="Boss",Paramètres!$B$41,1))</f>
        <v>3</v>
      </c>
      <c r="J18" s="23" t="n">
        <f aca="false">IF(E18="Normal",Paramètres!$B$40*Paramètres!$B$39,IF(E18="Boss",(Paramètres!$B$41-1)*Paramètres!$B$39+Paramètres!$B$42+1,1))</f>
        <v>9</v>
      </c>
      <c r="K18" s="33" t="n">
        <f aca="false" t="array" ref="K18:K18">IF(E18="Normal",Paramètres!$B$40*Paramètres!$B$39*(INDEX(Zones!$M$6:$M$35,MATCH(F18,Zones!$A$6:$A$35,0))*(1-Paramètres!$B$46)),IF(E18="Boss",((Paramètres!$B$41-1)*Paramètres!$B$39+Paramètres!$B$42)*(INDEX(Zones!$M$6:$M$35,MATCH(F18,Zones!$A$6:$A$35,0))*(1-Paramètres!$B$46))+INDEX(Zones!$P$6:$P$35,MATCH(F18,Zones!$A$6:$A$35,0)),INDEX(Zones!$P$6:$P$35,MATCH(F18,Zones!$A$6:$A$35,0))))</f>
        <v>14.3775</v>
      </c>
      <c r="L18" s="27" t="n">
        <f aca="false">K18*Paramètres!$B$45+I18*Paramètres!$B$47</f>
        <v>83.8875</v>
      </c>
      <c r="M18" s="30" t="n">
        <f aca="false" t="array" ref="M18:M18">IF(E18="Dragon",0,(INDEX(Zones!$N$6:$N$35,MATCH(F18,Zones!$A$6:$A$35,0))*Paramètres!$B$34*(INDEX(Zones!$M$6:$M$35,MATCH(F18,Zones!$A$6:$A$35,0))*(1-Paramètres!$B$46))*Paramètres!$B$39*(Paramètres!$B$39+1)/2))</f>
        <v>0.14115110625</v>
      </c>
      <c r="N18" s="30" t="n">
        <f aca="false" t="array" ref="N18:N18">IF(E18="Normal",0,IF(E18="Dragon",INDEX(Zones!$Q$6:$Q$35,MATCH(F18,Zones!$A$6:$A$35,0))*Paramètres!$B$34*INDEX(Zones!$P$6:$P$35,MATCH(F18,Zones!$A$6:$A$35,0)),INDEX(Zones!$Q$6:$Q$35,MATCH(F18,Zones!$A$6:$A$35,0))*Paramètres!$B$34*(INDEX(Zones!$P$6:$P$35,MATCH(F18,Zones!$A$6:$A$35,0))+Paramètres!$B$42*(INDEX(Zones!$M$6:$M$35,MATCH(F18,Zones!$A$6:$A$35,0))*(1-Paramètres!$B$46)))+INDEX(Zones!$N$6:$N$35,MATCH(F18,Zones!$A$6:$A$35,0))*Paramètres!$B$34*(INDEX(Zones!$M$6:$M$35,MATCH(F18,Zones!$A$6:$A$35,0))*(1-Paramètres!$B$46))*(Paramètres!$B$42*(Paramètres!$B$42+1)/2)))</f>
        <v>0</v>
      </c>
      <c r="O18" s="75" t="n">
        <f aca="false">MAX(M18,N18)</f>
        <v>0.14115110625</v>
      </c>
      <c r="P18" s="36" t="n">
        <f aca="false">IF(E18="Normal",M18*Paramètres!$B$40,IF(E18="Boss",M18*(Paramètres!$B$41-1)+N18,N18))</f>
        <v>0.42345331875</v>
      </c>
      <c r="Q18" s="76" t="str">
        <f aca="false">IF(O18&gt;Paramètres!$B$37,"Trop dur","OK")</f>
        <v>OK</v>
      </c>
      <c r="R18" s="29" t="n">
        <f aca="false" t="array" ref="R18:R18">ROUND(IF(E18="Normal",J18*INDEX(Zones!$O$6:$O$35,MATCH(F18,Zones!$A$6:$A$35,0)),IF(E18="Boss",((Paramètres!$B$41-1)*Paramètres!$B$39+Paramètres!$B$42)*INDEX(Zones!$O$6:$O$35,MATCH(F18,Zones!$A$6:$A$35,0))+INDEX(Zones!$R$6:$R$35,MATCH(F18,Zones!$A$6:$A$35,0)),INDEX(Zones!$R$6:$R$35,MATCH(F18,Zones!$A$6:$A$35,0))))*ROUND(Paramètres!$B$49*B18^Paramètres!$B$50,0),0)</f>
        <v>1465</v>
      </c>
      <c r="S18" s="29" t="n">
        <f aca="false" t="array" ref="S18:S18">ROUND(IF(E18="Normal",J18*INDEX(Zones!$O$6:$O$35,MATCH(F18,Zones!$A$6:$A$35,0)),IF(E18="Boss",((Paramètres!$B$41-1)*Paramètres!$B$39+Paramètres!$B$42)*INDEX(Zones!$O$6:$O$35,MATCH(F18,Zones!$A$6:$A$35,0))+INDEX(Zones!$R$6:$R$35,MATCH(F18,Zones!$A$6:$A$35,0)),INDEX(Zones!$R$6:$R$35,MATCH(F18,Zones!$A$6:$A$35,0))))*ROUND(Paramètres!$B$53*B18^Paramètres!$B$54,0),0)</f>
        <v>950</v>
      </c>
      <c r="T18" s="22" t="str">
        <f aca="false">IF(E18="Boss",G18,"—")</f>
        <v>—</v>
      </c>
      <c r="U18" s="37" t="n">
        <f aca="false">IF(E18="Dragon",0,(J18-IF(E18="Boss",1,0))*AVERAGEIFS(Monstres!$AL$7:$AL$98,Monstres!$B$7:$B$98,F18,Monstres!$G$7:$G$98,"Non"))</f>
        <v>0.5175</v>
      </c>
      <c r="V18" s="74" t="n">
        <f aca="false">IF(E18="Boss",Butin!$E$10,IF(E18="Dragon",Butin!$E$11,0))</f>
        <v>0</v>
      </c>
      <c r="W18" s="37" t="n">
        <f aca="false">U18+V18</f>
        <v>0.5175</v>
      </c>
      <c r="X18" s="77" t="n">
        <f aca="false">U18*INDEX(Butin!$E$15:$K$24,MATCH($A18,Éléments!$C$5:$C$14,1),1)+V18*IF(E18="Boss",INDEX(Butin!$E$28:$K$37,MATCH($A18,Éléments!$C$5:$C$14,1),1),IF(E18="Dragon",INDEX(Butin!$E$41:$K$50,MATCH($A18,Éléments!$C$5:$C$14,1),1),0))</f>
        <v>0.336375</v>
      </c>
      <c r="Y18" s="77" t="n">
        <f aca="false">U18*INDEX(Butin!$E$15:$K$24,MATCH($A18,Éléments!$C$5:$C$14,1),2)+V18*IF(E18="Boss",INDEX(Butin!$E$28:$K$37,MATCH($A18,Éléments!$C$5:$C$14,1),2),IF(E18="Dragon",INDEX(Butin!$E$41:$K$50,MATCH($A18,Éléments!$C$5:$C$14,1),2),0))</f>
        <v>0.1449</v>
      </c>
      <c r="Z18" s="77" t="n">
        <f aca="false">U18*INDEX(Butin!$E$15:$K$24,MATCH($A18,Éléments!$C$5:$C$14,1),3)+V18*IF(E18="Boss",INDEX(Butin!$E$28:$K$37,MATCH($A18,Éléments!$C$5:$C$14,1),3),IF(E18="Dragon",INDEX(Butin!$E$41:$K$50,MATCH($A18,Éléments!$C$5:$C$14,1),3),0))</f>
        <v>0.036225</v>
      </c>
      <c r="AA18" s="77" t="n">
        <f aca="false">U18*INDEX(Butin!$E$15:$K$24,MATCH($A18,Éléments!$C$5:$C$14,1),4)+V18*IF(E18="Boss",INDEX(Butin!$E$28:$K$37,MATCH($A18,Éléments!$C$5:$C$14,1),4),IF(E18="Dragon",INDEX(Butin!$E$41:$K$50,MATCH($A18,Éléments!$C$5:$C$14,1),4),0))</f>
        <v>0</v>
      </c>
      <c r="AB18" s="77" t="n">
        <f aca="false">U18*INDEX(Butin!$E$15:$K$24,MATCH($A18,Éléments!$C$5:$C$14,1),5)+V18*IF(E18="Boss",INDEX(Butin!$E$28:$K$37,MATCH($A18,Éléments!$C$5:$C$14,1),5),IF(E18="Dragon",INDEX(Butin!$E$41:$K$50,MATCH($A18,Éléments!$C$5:$C$14,1),5),0))</f>
        <v>0</v>
      </c>
      <c r="AC18" s="77" t="n">
        <f aca="false">U18*INDEX(Butin!$E$15:$K$24,MATCH($A18,Éléments!$C$5:$C$14,1),6)+V18*IF(E18="Boss",INDEX(Butin!$E$28:$K$37,MATCH($A18,Éléments!$C$5:$C$14,1),6),IF(E18="Dragon",INDEX(Butin!$E$41:$K$50,MATCH($A18,Éléments!$C$5:$C$14,1),6),0))</f>
        <v>0</v>
      </c>
      <c r="AD18" s="77" t="n">
        <f aca="false">U18*INDEX(Butin!$E$15:$K$24,MATCH($A18,Éléments!$C$5:$C$14,1),7)+V18*IF(E18="Boss",INDEX(Butin!$E$28:$K$37,MATCH($A18,Éléments!$C$5:$C$14,1),7),IF(E18="Dragon",INDEX(Butin!$E$41:$K$50,MATCH($A18,Éléments!$C$5:$C$14,1),7),0))</f>
        <v>0</v>
      </c>
    </row>
    <row r="19" customFormat="false" ht="15" hidden="false" customHeight="true" outlineLevel="0" collapsed="false">
      <c r="A19" s="71" t="n">
        <v>14</v>
      </c>
      <c r="B19" s="23" t="n">
        <f aca="false">A19</f>
        <v>14</v>
      </c>
      <c r="C19" s="23" t="str">
        <f aca="false" t="array" ref="C19:C19">INDEX(Éléments!$B$5:$B$14,MATCH(A19,Éléments!$C$5:$C$14,1))</f>
        <v>Montagne</v>
      </c>
      <c r="D19" s="41" t="str">
        <f aca="false" t="array" ref="D19:D19">INDEX(Éléments!$A$5:$A$14,MATCH(A19,Éléments!$C$5:$C$14,1))</f>
        <v>Terre</v>
      </c>
      <c r="E19" s="23" t="str">
        <f aca="false">IF(MOD(A19,5)=0,"Boss",IF(MOD(A19,10)=9,"Dragon","Normal"))</f>
        <v>Normal</v>
      </c>
      <c r="F19" s="23" t="n">
        <f aca="false">IF(E19="Normal",5*ROUNDUP(A19/5,0),A19)</f>
        <v>15</v>
      </c>
      <c r="G19" s="22" t="str">
        <f aca="false" t="array" ref="G19:G19">INDEX(Zones!$B$6:$B$35,MATCH(F19,Zones!$A$6:$A$35,0))</f>
        <v>Mine abandonnée</v>
      </c>
      <c r="H19" s="22" t="str">
        <f aca="false" t="array" ref="H19:H19">IF(E19="Normal","—",INDEX(Zones!$L$6:$L$35,MATCH(F19,Zones!$A$6:$A$35,0)))</f>
        <v>—</v>
      </c>
      <c r="I19" s="27" t="n">
        <f aca="false">IF(E19="Normal",Paramètres!$B$40,IF(E19="Boss",Paramètres!$B$41,1))</f>
        <v>3</v>
      </c>
      <c r="J19" s="23" t="n">
        <f aca="false">IF(E19="Normal",Paramètres!$B$40*Paramètres!$B$39,IF(E19="Boss",(Paramètres!$B$41-1)*Paramètres!$B$39+Paramètres!$B$42+1,1))</f>
        <v>9</v>
      </c>
      <c r="K19" s="33" t="n">
        <f aca="false" t="array" ref="K19:K19">IF(E19="Normal",Paramètres!$B$40*Paramètres!$B$39*(INDEX(Zones!$M$6:$M$35,MATCH(F19,Zones!$A$6:$A$35,0))*(1-Paramètres!$B$46)),IF(E19="Boss",((Paramètres!$B$41-1)*Paramètres!$B$39+Paramètres!$B$42)*(INDEX(Zones!$M$6:$M$35,MATCH(F19,Zones!$A$6:$A$35,0))*(1-Paramètres!$B$46))+INDEX(Zones!$P$6:$P$35,MATCH(F19,Zones!$A$6:$A$35,0)),INDEX(Zones!$P$6:$P$35,MATCH(F19,Zones!$A$6:$A$35,0))))</f>
        <v>14.3775</v>
      </c>
      <c r="L19" s="27" t="n">
        <f aca="false">K19*Paramètres!$B$45+I19*Paramètres!$B$47</f>
        <v>83.8875</v>
      </c>
      <c r="M19" s="30" t="n">
        <f aca="false" t="array" ref="M19:M19">IF(E19="Dragon",0,(INDEX(Zones!$N$6:$N$35,MATCH(F19,Zones!$A$6:$A$35,0))*Paramètres!$B$34*(INDEX(Zones!$M$6:$M$35,MATCH(F19,Zones!$A$6:$A$35,0))*(1-Paramètres!$B$46))*Paramètres!$B$39*(Paramètres!$B$39+1)/2))</f>
        <v>0.14115110625</v>
      </c>
      <c r="N19" s="30" t="n">
        <f aca="false" t="array" ref="N19:N19">IF(E19="Normal",0,IF(E19="Dragon",INDEX(Zones!$Q$6:$Q$35,MATCH(F19,Zones!$A$6:$A$35,0))*Paramètres!$B$34*INDEX(Zones!$P$6:$P$35,MATCH(F19,Zones!$A$6:$A$35,0)),INDEX(Zones!$Q$6:$Q$35,MATCH(F19,Zones!$A$6:$A$35,0))*Paramètres!$B$34*(INDEX(Zones!$P$6:$P$35,MATCH(F19,Zones!$A$6:$A$35,0))+Paramètres!$B$42*(INDEX(Zones!$M$6:$M$35,MATCH(F19,Zones!$A$6:$A$35,0))*(1-Paramètres!$B$46)))+INDEX(Zones!$N$6:$N$35,MATCH(F19,Zones!$A$6:$A$35,0))*Paramètres!$B$34*(INDEX(Zones!$M$6:$M$35,MATCH(F19,Zones!$A$6:$A$35,0))*(1-Paramètres!$B$46))*(Paramètres!$B$42*(Paramètres!$B$42+1)/2)))</f>
        <v>0</v>
      </c>
      <c r="O19" s="75" t="n">
        <f aca="false">MAX(M19,N19)</f>
        <v>0.14115110625</v>
      </c>
      <c r="P19" s="36" t="n">
        <f aca="false">IF(E19="Normal",M19*Paramètres!$B$40,IF(E19="Boss",M19*(Paramètres!$B$41-1)+N19,N19))</f>
        <v>0.42345331875</v>
      </c>
      <c r="Q19" s="76" t="str">
        <f aca="false">IF(O19&gt;Paramètres!$B$37,"Trop dur","OK")</f>
        <v>OK</v>
      </c>
      <c r="R19" s="29" t="n">
        <f aca="false" t="array" ref="R19:R19">ROUND(IF(E19="Normal",J19*INDEX(Zones!$O$6:$O$35,MATCH(F19,Zones!$A$6:$A$35,0)),IF(E19="Boss",((Paramètres!$B$41-1)*Paramètres!$B$39+Paramètres!$B$42)*INDEX(Zones!$O$6:$O$35,MATCH(F19,Zones!$A$6:$A$35,0))+INDEX(Zones!$R$6:$R$35,MATCH(F19,Zones!$A$6:$A$35,0)),INDEX(Zones!$R$6:$R$35,MATCH(F19,Zones!$A$6:$A$35,0))))*ROUND(Paramètres!$B$49*B19^Paramètres!$B$50,0),0)</f>
        <v>1604</v>
      </c>
      <c r="S19" s="29" t="n">
        <f aca="false" t="array" ref="S19:S19">ROUND(IF(E19="Normal",J19*INDEX(Zones!$O$6:$O$35,MATCH(F19,Zones!$A$6:$A$35,0)),IF(E19="Boss",((Paramètres!$B$41-1)*Paramètres!$B$39+Paramètres!$B$42)*INDEX(Zones!$O$6:$O$35,MATCH(F19,Zones!$A$6:$A$35,0))+INDEX(Zones!$R$6:$R$35,MATCH(F19,Zones!$A$6:$A$35,0)),INDEX(Zones!$R$6:$R$35,MATCH(F19,Zones!$A$6:$A$35,0))))*ROUND(Paramètres!$B$53*B19^Paramètres!$B$54,0),0)</f>
        <v>1049</v>
      </c>
      <c r="T19" s="22" t="str">
        <f aca="false">IF(E19="Boss",G19,"—")</f>
        <v>—</v>
      </c>
      <c r="U19" s="37" t="n">
        <f aca="false">IF(E19="Dragon",0,(J19-IF(E19="Boss",1,0))*AVERAGEIFS(Monstres!$AL$7:$AL$98,Monstres!$B$7:$B$98,F19,Monstres!$G$7:$G$98,"Non"))</f>
        <v>0.5175</v>
      </c>
      <c r="V19" s="74" t="n">
        <f aca="false">IF(E19="Boss",Butin!$E$10,IF(E19="Dragon",Butin!$E$11,0))</f>
        <v>0</v>
      </c>
      <c r="W19" s="37" t="n">
        <f aca="false">U19+V19</f>
        <v>0.5175</v>
      </c>
      <c r="X19" s="77" t="n">
        <f aca="false">U19*INDEX(Butin!$E$15:$K$24,MATCH($A19,Éléments!$C$5:$C$14,1),1)+V19*IF(E19="Boss",INDEX(Butin!$E$28:$K$37,MATCH($A19,Éléments!$C$5:$C$14,1),1),IF(E19="Dragon",INDEX(Butin!$E$41:$K$50,MATCH($A19,Éléments!$C$5:$C$14,1),1),0))</f>
        <v>0.336375</v>
      </c>
      <c r="Y19" s="77" t="n">
        <f aca="false">U19*INDEX(Butin!$E$15:$K$24,MATCH($A19,Éléments!$C$5:$C$14,1),2)+V19*IF(E19="Boss",INDEX(Butin!$E$28:$K$37,MATCH($A19,Éléments!$C$5:$C$14,1),2),IF(E19="Dragon",INDEX(Butin!$E$41:$K$50,MATCH($A19,Éléments!$C$5:$C$14,1),2),0))</f>
        <v>0.1449</v>
      </c>
      <c r="Z19" s="77" t="n">
        <f aca="false">U19*INDEX(Butin!$E$15:$K$24,MATCH($A19,Éléments!$C$5:$C$14,1),3)+V19*IF(E19="Boss",INDEX(Butin!$E$28:$K$37,MATCH($A19,Éléments!$C$5:$C$14,1),3),IF(E19="Dragon",INDEX(Butin!$E$41:$K$50,MATCH($A19,Éléments!$C$5:$C$14,1),3),0))</f>
        <v>0.036225</v>
      </c>
      <c r="AA19" s="77" t="n">
        <f aca="false">U19*INDEX(Butin!$E$15:$K$24,MATCH($A19,Éléments!$C$5:$C$14,1),4)+V19*IF(E19="Boss",INDEX(Butin!$E$28:$K$37,MATCH($A19,Éléments!$C$5:$C$14,1),4),IF(E19="Dragon",INDEX(Butin!$E$41:$K$50,MATCH($A19,Éléments!$C$5:$C$14,1),4),0))</f>
        <v>0</v>
      </c>
      <c r="AB19" s="77" t="n">
        <f aca="false">U19*INDEX(Butin!$E$15:$K$24,MATCH($A19,Éléments!$C$5:$C$14,1),5)+V19*IF(E19="Boss",INDEX(Butin!$E$28:$K$37,MATCH($A19,Éléments!$C$5:$C$14,1),5),IF(E19="Dragon",INDEX(Butin!$E$41:$K$50,MATCH($A19,Éléments!$C$5:$C$14,1),5),0))</f>
        <v>0</v>
      </c>
      <c r="AC19" s="77" t="n">
        <f aca="false">U19*INDEX(Butin!$E$15:$K$24,MATCH($A19,Éléments!$C$5:$C$14,1),6)+V19*IF(E19="Boss",INDEX(Butin!$E$28:$K$37,MATCH($A19,Éléments!$C$5:$C$14,1),6),IF(E19="Dragon",INDEX(Butin!$E$41:$K$50,MATCH($A19,Éléments!$C$5:$C$14,1),6),0))</f>
        <v>0</v>
      </c>
      <c r="AD19" s="77" t="n">
        <f aca="false">U19*INDEX(Butin!$E$15:$K$24,MATCH($A19,Éléments!$C$5:$C$14,1),7)+V19*IF(E19="Boss",INDEX(Butin!$E$28:$K$37,MATCH($A19,Éléments!$C$5:$C$14,1),7),IF(E19="Dragon",INDEX(Butin!$E$41:$K$50,MATCH($A19,Éléments!$C$5:$C$14,1),7),0))</f>
        <v>0</v>
      </c>
    </row>
    <row r="20" customFormat="false" ht="15" hidden="false" customHeight="true" outlineLevel="0" collapsed="false">
      <c r="A20" s="71" t="n">
        <v>15</v>
      </c>
      <c r="B20" s="23" t="n">
        <f aca="false">A20</f>
        <v>15</v>
      </c>
      <c r="C20" s="23" t="str">
        <f aca="false" t="array" ref="C20:C20">INDEX(Éléments!$B$5:$B$14,MATCH(A20,Éléments!$C$5:$C$14,1))</f>
        <v>Montagne</v>
      </c>
      <c r="D20" s="41" t="str">
        <f aca="false" t="array" ref="D20:D20">INDEX(Éléments!$A$5:$A$14,MATCH(A20,Éléments!$C$5:$C$14,1))</f>
        <v>Terre</v>
      </c>
      <c r="E20" s="23" t="str">
        <f aca="false">IF(MOD(A20,5)=0,"Boss",IF(MOD(A20,10)=9,"Dragon","Normal"))</f>
        <v>Boss</v>
      </c>
      <c r="F20" s="23" t="n">
        <f aca="false">IF(E20="Normal",5*ROUNDUP(A20/5,0),A20)</f>
        <v>15</v>
      </c>
      <c r="G20" s="22" t="str">
        <f aca="false" t="array" ref="G20:G20">INDEX(Zones!$B$6:$B$35,MATCH(F20,Zones!$A$6:$A$35,0))</f>
        <v>Mine abandonnée</v>
      </c>
      <c r="H20" s="22" t="str">
        <f aca="false" t="array" ref="H20:H20">IF(E20="Normal","—",INDEX(Zones!$L$6:$L$35,MATCH(F20,Zones!$A$6:$A$35,0)))</f>
        <v>Haut chaman gobelin</v>
      </c>
      <c r="I20" s="27" t="n">
        <f aca="false">IF(E20="Normal",Paramètres!$B$40,IF(E20="Boss",Paramètres!$B$41,1))</f>
        <v>5</v>
      </c>
      <c r="J20" s="27" t="n">
        <f aca="false">IF(E20="Normal",Paramètres!$B$40*Paramètres!$B$39,IF(E20="Boss",(Paramètres!$B$41-1)*Paramètres!$B$39+Paramètres!$B$42+1,1))</f>
        <v>15</v>
      </c>
      <c r="K20" s="33" t="n">
        <f aca="false" t="array" ref="K20:K20">IF(E20="Normal",Paramètres!$B$40*Paramètres!$B$39*(INDEX(Zones!$M$6:$M$35,MATCH(F20,Zones!$A$6:$A$35,0))*(1-Paramètres!$B$46)),IF(E20="Boss",((Paramètres!$B$41-1)*Paramètres!$B$39+Paramètres!$B$42)*(INDEX(Zones!$M$6:$M$35,MATCH(F20,Zones!$A$6:$A$35,0))*(1-Paramètres!$B$46))+INDEX(Zones!$P$6:$P$35,MATCH(F20,Zones!$A$6:$A$35,0)),INDEX(Zones!$P$6:$P$35,MATCH(F20,Zones!$A$6:$A$35,0))))</f>
        <v>32.565</v>
      </c>
      <c r="L20" s="27" t="n">
        <f aca="false">K20*Paramètres!$B$45+I20*Paramètres!$B$47</f>
        <v>182.825</v>
      </c>
      <c r="M20" s="30" t="n">
        <f aca="false" t="array" ref="M20:M20">IF(E20="Dragon",0,(INDEX(Zones!$N$6:$N$35,MATCH(F20,Zones!$A$6:$A$35,0))*Paramètres!$B$34*(INDEX(Zones!$M$6:$M$35,MATCH(F20,Zones!$A$6:$A$35,0))*(1-Paramètres!$B$46))*Paramètres!$B$39*(Paramètres!$B$39+1)/2))</f>
        <v>0.14115110625</v>
      </c>
      <c r="N20" s="30" t="n">
        <f aca="false" t="array" ref="N20:N20">IF(E20="Normal",0,IF(E20="Dragon",INDEX(Zones!$Q$6:$Q$35,MATCH(F20,Zones!$A$6:$A$35,0))*Paramètres!$B$34*INDEX(Zones!$P$6:$P$35,MATCH(F20,Zones!$A$6:$A$35,0)),INDEX(Zones!$Q$6:$Q$35,MATCH(F20,Zones!$A$6:$A$35,0))*Paramètres!$B$34*(INDEX(Zones!$P$6:$P$35,MATCH(F20,Zones!$A$6:$A$35,0))+Paramètres!$B$42*(INDEX(Zones!$M$6:$M$35,MATCH(F20,Zones!$A$6:$A$35,0))*(1-Paramètres!$B$46)))+INDEX(Zones!$N$6:$N$35,MATCH(F20,Zones!$A$6:$A$35,0))*Paramètres!$B$34*(INDEX(Zones!$M$6:$M$35,MATCH(F20,Zones!$A$6:$A$35,0))*(1-Paramètres!$B$46))*(Paramètres!$B$42*(Paramètres!$B$42+1)/2)))</f>
        <v>0.343833553125</v>
      </c>
      <c r="O20" s="75" t="n">
        <f aca="false">MAX(M20,N20)</f>
        <v>0.343833553125</v>
      </c>
      <c r="P20" s="36" t="n">
        <f aca="false">IF(E20="Normal",M20*Paramètres!$B$40,IF(E20="Boss",M20*(Paramètres!$B$41-1)+N20,N20))</f>
        <v>0.908437978125</v>
      </c>
      <c r="Q20" s="76" t="str">
        <f aca="false">IF(O20&gt;Paramètres!$B$37,"Trop dur","OK")</f>
        <v>OK</v>
      </c>
      <c r="R20" s="29" t="n">
        <f aca="false" t="array" ref="R20:R20">ROUND(IF(E20="Normal",J20*INDEX(Zones!$O$6:$O$35,MATCH(F20,Zones!$A$6:$A$35,0)),IF(E20="Boss",((Paramètres!$B$41-1)*Paramètres!$B$39+Paramètres!$B$42)*INDEX(Zones!$O$6:$O$35,MATCH(F20,Zones!$A$6:$A$35,0))+INDEX(Zones!$R$6:$R$35,MATCH(F20,Zones!$A$6:$A$35,0)),INDEX(Zones!$R$6:$R$35,MATCH(F20,Zones!$A$6:$A$35,0))))*ROUND(Paramètres!$B$49*B20^Paramètres!$B$50,0),0)</f>
        <v>4142</v>
      </c>
      <c r="S20" s="29" t="n">
        <f aca="false" t="array" ref="S20:S20">ROUND(IF(E20="Normal",J20*INDEX(Zones!$O$6:$O$35,MATCH(F20,Zones!$A$6:$A$35,0)),IF(E20="Boss",((Paramètres!$B$41-1)*Paramètres!$B$39+Paramètres!$B$42)*INDEX(Zones!$O$6:$O$35,MATCH(F20,Zones!$A$6:$A$35,0))+INDEX(Zones!$R$6:$R$35,MATCH(F20,Zones!$A$6:$A$35,0)),INDEX(Zones!$R$6:$R$35,MATCH(F20,Zones!$A$6:$A$35,0))))*ROUND(Paramètres!$B$53*B20^Paramètres!$B$54,0),0)</f>
        <v>2714</v>
      </c>
      <c r="T20" s="22" t="str">
        <f aca="false">IF(E20="Boss",G20,"—")</f>
        <v>Mine abandonnée</v>
      </c>
      <c r="U20" s="37" t="n">
        <f aca="false">IF(E20="Dragon",0,(J20-IF(E20="Boss",1,0))*AVERAGEIFS(Monstres!$AL$7:$AL$98,Monstres!$B$7:$B$98,F20,Monstres!$G$7:$G$98,"Non"))</f>
        <v>0.805</v>
      </c>
      <c r="V20" s="74" t="n">
        <f aca="false">IF(E20="Boss",Butin!$E$10,IF(E20="Dragon",Butin!$E$11,0))</f>
        <v>1.4</v>
      </c>
      <c r="W20" s="37" t="n">
        <f aca="false">U20+V20</f>
        <v>2.205</v>
      </c>
      <c r="X20" s="77" t="n">
        <f aca="false">U20*INDEX(Butin!$E$15:$K$24,MATCH($A20,Éléments!$C$5:$C$14,1),1)+V20*IF(E20="Boss",INDEX(Butin!$E$28:$K$37,MATCH($A20,Éléments!$C$5:$C$14,1),1),IF(E20="Dragon",INDEX(Butin!$E$41:$K$50,MATCH($A20,Éléments!$C$5:$C$14,1),1),0))</f>
        <v>0.91525</v>
      </c>
      <c r="Y20" s="77" t="n">
        <f aca="false">U20*INDEX(Butin!$E$15:$K$24,MATCH($A20,Éléments!$C$5:$C$14,1),2)+V20*IF(E20="Boss",INDEX(Butin!$E$28:$K$37,MATCH($A20,Éléments!$C$5:$C$14,1),2),IF(E20="Dragon",INDEX(Butin!$E$41:$K$50,MATCH($A20,Éléments!$C$5:$C$14,1),2),0))</f>
        <v>0.7574</v>
      </c>
      <c r="Z20" s="77" t="n">
        <f aca="false">U20*INDEX(Butin!$E$15:$K$24,MATCH($A20,Éléments!$C$5:$C$14,1),3)+V20*IF(E20="Boss",INDEX(Butin!$E$28:$K$37,MATCH($A20,Éléments!$C$5:$C$14,1),3),IF(E20="Dragon",INDEX(Butin!$E$41:$K$50,MATCH($A20,Éléments!$C$5:$C$14,1),3),0))</f>
        <v>0.39235</v>
      </c>
      <c r="AA20" s="77" t="n">
        <f aca="false">U20*INDEX(Butin!$E$15:$K$24,MATCH($A20,Éléments!$C$5:$C$14,1),4)+V20*IF(E20="Boss",INDEX(Butin!$E$28:$K$37,MATCH($A20,Éléments!$C$5:$C$14,1),4),IF(E20="Dragon",INDEX(Butin!$E$41:$K$50,MATCH($A20,Éléments!$C$5:$C$14,1),4),0))</f>
        <v>0.112</v>
      </c>
      <c r="AB20" s="77" t="n">
        <f aca="false">U20*INDEX(Butin!$E$15:$K$24,MATCH($A20,Éléments!$C$5:$C$14,1),5)+V20*IF(E20="Boss",INDEX(Butin!$E$28:$K$37,MATCH($A20,Éléments!$C$5:$C$14,1),5),IF(E20="Dragon",INDEX(Butin!$E$41:$K$50,MATCH($A20,Éléments!$C$5:$C$14,1),5),0))</f>
        <v>0</v>
      </c>
      <c r="AC20" s="77" t="n">
        <f aca="false">U20*INDEX(Butin!$E$15:$K$24,MATCH($A20,Éléments!$C$5:$C$14,1),6)+V20*IF(E20="Boss",INDEX(Butin!$E$28:$K$37,MATCH($A20,Éléments!$C$5:$C$14,1),6),IF(E20="Dragon",INDEX(Butin!$E$41:$K$50,MATCH($A20,Éléments!$C$5:$C$14,1),6),0))</f>
        <v>0</v>
      </c>
      <c r="AD20" s="77" t="n">
        <f aca="false">U20*INDEX(Butin!$E$15:$K$24,MATCH($A20,Éléments!$C$5:$C$14,1),7)+V20*IF(E20="Boss",INDEX(Butin!$E$28:$K$37,MATCH($A20,Éléments!$C$5:$C$14,1),7),IF(E20="Dragon",INDEX(Butin!$E$41:$K$50,MATCH($A20,Éléments!$C$5:$C$14,1),7),0))</f>
        <v>0.028</v>
      </c>
    </row>
    <row r="21" customFormat="false" ht="15.75" hidden="false" customHeight="true" outlineLevel="0" collapsed="false">
      <c r="A21" s="71" t="n">
        <v>16</v>
      </c>
      <c r="B21" s="23" t="n">
        <f aca="false">A21</f>
        <v>16</v>
      </c>
      <c r="C21" s="23" t="str">
        <f aca="false" t="array" ref="C21:C21">INDEX(Éléments!$B$5:$B$14,MATCH(A21,Éléments!$C$5:$C$14,1))</f>
        <v>Montagne</v>
      </c>
      <c r="D21" s="41" t="str">
        <f aca="false" t="array" ref="D21:D21">INDEX(Éléments!$A$5:$A$14,MATCH(A21,Éléments!$C$5:$C$14,1))</f>
        <v>Terre</v>
      </c>
      <c r="E21" s="23" t="str">
        <f aca="false">IF(MOD(A21,5)=0,"Boss",IF(MOD(A21,10)=9,"Dragon","Normal"))</f>
        <v>Normal</v>
      </c>
      <c r="F21" s="23" t="n">
        <f aca="false">IF(E21="Normal",5*ROUNDUP(A21/5,0),A21)</f>
        <v>20</v>
      </c>
      <c r="G21" s="22" t="str">
        <f aca="false" t="array" ref="G21:G21">INDEX(Zones!$B$6:$B$35,MATCH(F21,Zones!$A$6:$A$35,0))</f>
        <v>Grotte profonde</v>
      </c>
      <c r="H21" s="22" t="str">
        <f aca="false" t="array" ref="H21:H21">IF(E21="Normal","—",INDEX(Zones!$L$6:$L$35,MATCH(F21,Zones!$A$6:$A$35,0)))</f>
        <v>—</v>
      </c>
      <c r="I21" s="27" t="n">
        <f aca="false">IF(E21="Normal",Paramètres!$B$40,IF(E21="Boss",Paramètres!$B$41,1))</f>
        <v>3</v>
      </c>
      <c r="J21" s="23" t="n">
        <f aca="false">IF(E21="Normal",Paramètres!$B$40*Paramètres!$B$39,IF(E21="Boss",(Paramètres!$B$41-1)*Paramètres!$B$39+Paramètres!$B$42+1,1))</f>
        <v>9</v>
      </c>
      <c r="K21" s="33" t="n">
        <f aca="false" t="array" ref="K21:K21">IF(E21="Normal",Paramètres!$B$40*Paramètres!$B$39*(INDEX(Zones!$M$6:$M$35,MATCH(F21,Zones!$A$6:$A$35,0))*(1-Paramètres!$B$46)),IF(E21="Boss",((Paramètres!$B$41-1)*Paramètres!$B$39+Paramètres!$B$42)*(INDEX(Zones!$M$6:$M$35,MATCH(F21,Zones!$A$6:$A$35,0))*(1-Paramètres!$B$46))+INDEX(Zones!$P$6:$P$35,MATCH(F21,Zones!$A$6:$A$35,0)),INDEX(Zones!$P$6:$P$35,MATCH(F21,Zones!$A$6:$A$35,0))))</f>
        <v>15.57</v>
      </c>
      <c r="L21" s="27" t="n">
        <f aca="false">K21*Paramètres!$B$45+I21*Paramètres!$B$47</f>
        <v>89.85</v>
      </c>
      <c r="M21" s="30" t="n">
        <f aca="false" t="array" ref="M21:M21">IF(E21="Dragon",0,(INDEX(Zones!$N$6:$N$35,MATCH(F21,Zones!$A$6:$A$35,0))*Paramètres!$B$34*(INDEX(Zones!$M$6:$M$35,MATCH(F21,Zones!$A$6:$A$35,0))*(1-Paramètres!$B$46))*Paramètres!$B$39*(Paramètres!$B$39+1)/2))</f>
        <v>0.1552848</v>
      </c>
      <c r="N21" s="30" t="n">
        <f aca="false" t="array" ref="N21:N21">IF(E21="Normal",0,IF(E21="Dragon",INDEX(Zones!$Q$6:$Q$35,MATCH(F21,Zones!$A$6:$A$35,0))*Paramètres!$B$34*INDEX(Zones!$P$6:$P$35,MATCH(F21,Zones!$A$6:$A$35,0)),INDEX(Zones!$Q$6:$Q$35,MATCH(F21,Zones!$A$6:$A$35,0))*Paramètres!$B$34*(INDEX(Zones!$P$6:$P$35,MATCH(F21,Zones!$A$6:$A$35,0))+Paramètres!$B$42*(INDEX(Zones!$M$6:$M$35,MATCH(F21,Zones!$A$6:$A$35,0))*(1-Paramètres!$B$46)))+INDEX(Zones!$N$6:$N$35,MATCH(F21,Zones!$A$6:$A$35,0))*Paramètres!$B$34*(INDEX(Zones!$M$6:$M$35,MATCH(F21,Zones!$A$6:$A$35,0))*(1-Paramètres!$B$46))*(Paramètres!$B$42*(Paramètres!$B$42+1)/2)))</f>
        <v>0</v>
      </c>
      <c r="O21" s="75" t="n">
        <f aca="false">MAX(M21,N21)</f>
        <v>0.1552848</v>
      </c>
      <c r="P21" s="36" t="n">
        <f aca="false">IF(E21="Normal",M21*Paramètres!$B$40,IF(E21="Boss",M21*(Paramètres!$B$41-1)+N21,N21))</f>
        <v>0.4658544</v>
      </c>
      <c r="Q21" s="76" t="str">
        <f aca="false">IF(O21&gt;Paramètres!$B$37,"Trop dur","OK")</f>
        <v>OK</v>
      </c>
      <c r="R21" s="29" t="n">
        <f aca="false" t="array" ref="R21:R21">ROUND(IF(E21="Normal",J21*INDEX(Zones!$O$6:$O$35,MATCH(F21,Zones!$A$6:$A$35,0)),IF(E21="Boss",((Paramètres!$B$41-1)*Paramètres!$B$39+Paramètres!$B$42)*INDEX(Zones!$O$6:$O$35,MATCH(F21,Zones!$A$6:$A$35,0))+INDEX(Zones!$R$6:$R$35,MATCH(F21,Zones!$A$6:$A$35,0)),INDEX(Zones!$R$6:$R$35,MATCH(F21,Zones!$A$6:$A$35,0))))*ROUND(Paramètres!$B$49*B21^Paramètres!$B$50,0),0)</f>
        <v>1958</v>
      </c>
      <c r="S21" s="29" t="n">
        <f aca="false" t="array" ref="S21:S21">ROUND(IF(E21="Normal",J21*INDEX(Zones!$O$6:$O$35,MATCH(F21,Zones!$A$6:$A$35,0)),IF(E21="Boss",((Paramètres!$B$41-1)*Paramètres!$B$39+Paramètres!$B$42)*INDEX(Zones!$O$6:$O$35,MATCH(F21,Zones!$A$6:$A$35,0))+INDEX(Zones!$R$6:$R$35,MATCH(F21,Zones!$A$6:$A$35,0)),INDEX(Zones!$R$6:$R$35,MATCH(F21,Zones!$A$6:$A$35,0))))*ROUND(Paramètres!$B$53*B21^Paramètres!$B$54,0),0)</f>
        <v>1295</v>
      </c>
      <c r="T21" s="22" t="str">
        <f aca="false">IF(E21="Boss",G21,"—")</f>
        <v>—</v>
      </c>
      <c r="U21" s="37" t="n">
        <f aca="false">IF(E21="Dragon",0,(J21-IF(E21="Boss",1,0))*AVERAGEIFS(Monstres!$AL$7:$AL$98,Monstres!$B$7:$B$98,F21,Monstres!$G$7:$G$98,"Non"))</f>
        <v>0.54</v>
      </c>
      <c r="V21" s="74" t="n">
        <f aca="false">IF(E21="Boss",Butin!$E$10,IF(E21="Dragon",Butin!$E$11,0))</f>
        <v>0</v>
      </c>
      <c r="W21" s="37" t="n">
        <f aca="false">U21+V21</f>
        <v>0.54</v>
      </c>
      <c r="X21" s="77" t="n">
        <f aca="false">U21*INDEX(Butin!$E$15:$K$24,MATCH($A21,Éléments!$C$5:$C$14,1),1)+V21*IF(E21="Boss",INDEX(Butin!$E$28:$K$37,MATCH($A21,Éléments!$C$5:$C$14,1),1),IF(E21="Dragon",INDEX(Butin!$E$41:$K$50,MATCH($A21,Éléments!$C$5:$C$14,1),1),0))</f>
        <v>0.351</v>
      </c>
      <c r="Y21" s="77" t="n">
        <f aca="false">U21*INDEX(Butin!$E$15:$K$24,MATCH($A21,Éléments!$C$5:$C$14,1),2)+V21*IF(E21="Boss",INDEX(Butin!$E$28:$K$37,MATCH($A21,Éléments!$C$5:$C$14,1),2),IF(E21="Dragon",INDEX(Butin!$E$41:$K$50,MATCH($A21,Éléments!$C$5:$C$14,1),2),0))</f>
        <v>0.1512</v>
      </c>
      <c r="Z21" s="77" t="n">
        <f aca="false">U21*INDEX(Butin!$E$15:$K$24,MATCH($A21,Éléments!$C$5:$C$14,1),3)+V21*IF(E21="Boss",INDEX(Butin!$E$28:$K$37,MATCH($A21,Éléments!$C$5:$C$14,1),3),IF(E21="Dragon",INDEX(Butin!$E$41:$K$50,MATCH($A21,Éléments!$C$5:$C$14,1),3),0))</f>
        <v>0.0378</v>
      </c>
      <c r="AA21" s="77" t="n">
        <f aca="false">U21*INDEX(Butin!$E$15:$K$24,MATCH($A21,Éléments!$C$5:$C$14,1),4)+V21*IF(E21="Boss",INDEX(Butin!$E$28:$K$37,MATCH($A21,Éléments!$C$5:$C$14,1),4),IF(E21="Dragon",INDEX(Butin!$E$41:$K$50,MATCH($A21,Éléments!$C$5:$C$14,1),4),0))</f>
        <v>0</v>
      </c>
      <c r="AB21" s="77" t="n">
        <f aca="false">U21*INDEX(Butin!$E$15:$K$24,MATCH($A21,Éléments!$C$5:$C$14,1),5)+V21*IF(E21="Boss",INDEX(Butin!$E$28:$K$37,MATCH($A21,Éléments!$C$5:$C$14,1),5),IF(E21="Dragon",INDEX(Butin!$E$41:$K$50,MATCH($A21,Éléments!$C$5:$C$14,1),5),0))</f>
        <v>0</v>
      </c>
      <c r="AC21" s="77" t="n">
        <f aca="false">U21*INDEX(Butin!$E$15:$K$24,MATCH($A21,Éléments!$C$5:$C$14,1),6)+V21*IF(E21="Boss",INDEX(Butin!$E$28:$K$37,MATCH($A21,Éléments!$C$5:$C$14,1),6),IF(E21="Dragon",INDEX(Butin!$E$41:$K$50,MATCH($A21,Éléments!$C$5:$C$14,1),6),0))</f>
        <v>0</v>
      </c>
      <c r="AD21" s="77" t="n">
        <f aca="false">U21*INDEX(Butin!$E$15:$K$24,MATCH($A21,Éléments!$C$5:$C$14,1),7)+V21*IF(E21="Boss",INDEX(Butin!$E$28:$K$37,MATCH($A21,Éléments!$C$5:$C$14,1),7),IF(E21="Dragon",INDEX(Butin!$E$41:$K$50,MATCH($A21,Éléments!$C$5:$C$14,1),7),0))</f>
        <v>0</v>
      </c>
    </row>
    <row r="22" customFormat="false" ht="15.75" hidden="false" customHeight="true" outlineLevel="0" collapsed="false">
      <c r="A22" s="71" t="n">
        <v>17</v>
      </c>
      <c r="B22" s="23" t="n">
        <f aca="false">A22</f>
        <v>17</v>
      </c>
      <c r="C22" s="23" t="str">
        <f aca="false" t="array" ref="C22:C22">INDEX(Éléments!$B$5:$B$14,MATCH(A22,Éléments!$C$5:$C$14,1))</f>
        <v>Montagne</v>
      </c>
      <c r="D22" s="41" t="str">
        <f aca="false" t="array" ref="D22:D22">INDEX(Éléments!$A$5:$A$14,MATCH(A22,Éléments!$C$5:$C$14,1))</f>
        <v>Terre</v>
      </c>
      <c r="E22" s="23" t="str">
        <f aca="false">IF(MOD(A22,5)=0,"Boss",IF(MOD(A22,10)=9,"Dragon","Normal"))</f>
        <v>Normal</v>
      </c>
      <c r="F22" s="23" t="n">
        <f aca="false">IF(E22="Normal",5*ROUNDUP(A22/5,0),A22)</f>
        <v>20</v>
      </c>
      <c r="G22" s="22" t="str">
        <f aca="false" t="array" ref="G22:G22">INDEX(Zones!$B$6:$B$35,MATCH(F22,Zones!$A$6:$A$35,0))</f>
        <v>Grotte profonde</v>
      </c>
      <c r="H22" s="22" t="str">
        <f aca="false" t="array" ref="H22:H22">IF(E22="Normal","—",INDEX(Zones!$L$6:$L$35,MATCH(F22,Zones!$A$6:$A$35,0)))</f>
        <v>—</v>
      </c>
      <c r="I22" s="27" t="n">
        <f aca="false">IF(E22="Normal",Paramètres!$B$40,IF(E22="Boss",Paramètres!$B$41,1))</f>
        <v>3</v>
      </c>
      <c r="J22" s="23" t="n">
        <f aca="false">IF(E22="Normal",Paramètres!$B$40*Paramètres!$B$39,IF(E22="Boss",(Paramètres!$B$41-1)*Paramètres!$B$39+Paramètres!$B$42+1,1))</f>
        <v>9</v>
      </c>
      <c r="K22" s="33" t="n">
        <f aca="false" t="array" ref="K22:K22">IF(E22="Normal",Paramètres!$B$40*Paramètres!$B$39*(INDEX(Zones!$M$6:$M$35,MATCH(F22,Zones!$A$6:$A$35,0))*(1-Paramètres!$B$46)),IF(E22="Boss",((Paramètres!$B$41-1)*Paramètres!$B$39+Paramètres!$B$42)*(INDEX(Zones!$M$6:$M$35,MATCH(F22,Zones!$A$6:$A$35,0))*(1-Paramètres!$B$46))+INDEX(Zones!$P$6:$P$35,MATCH(F22,Zones!$A$6:$A$35,0)),INDEX(Zones!$P$6:$P$35,MATCH(F22,Zones!$A$6:$A$35,0))))</f>
        <v>15.57</v>
      </c>
      <c r="L22" s="27" t="n">
        <f aca="false">K22*Paramètres!$B$45+I22*Paramètres!$B$47</f>
        <v>89.85</v>
      </c>
      <c r="M22" s="30" t="n">
        <f aca="false" t="array" ref="M22:M22">IF(E22="Dragon",0,(INDEX(Zones!$N$6:$N$35,MATCH(F22,Zones!$A$6:$A$35,0))*Paramètres!$B$34*(INDEX(Zones!$M$6:$M$35,MATCH(F22,Zones!$A$6:$A$35,0))*(1-Paramètres!$B$46))*Paramètres!$B$39*(Paramètres!$B$39+1)/2))</f>
        <v>0.1552848</v>
      </c>
      <c r="N22" s="30" t="n">
        <f aca="false" t="array" ref="N22:N22">IF(E22="Normal",0,IF(E22="Dragon",INDEX(Zones!$Q$6:$Q$35,MATCH(F22,Zones!$A$6:$A$35,0))*Paramètres!$B$34*INDEX(Zones!$P$6:$P$35,MATCH(F22,Zones!$A$6:$A$35,0)),INDEX(Zones!$Q$6:$Q$35,MATCH(F22,Zones!$A$6:$A$35,0))*Paramètres!$B$34*(INDEX(Zones!$P$6:$P$35,MATCH(F22,Zones!$A$6:$A$35,0))+Paramètres!$B$42*(INDEX(Zones!$M$6:$M$35,MATCH(F22,Zones!$A$6:$A$35,0))*(1-Paramètres!$B$46)))+INDEX(Zones!$N$6:$N$35,MATCH(F22,Zones!$A$6:$A$35,0))*Paramètres!$B$34*(INDEX(Zones!$M$6:$M$35,MATCH(F22,Zones!$A$6:$A$35,0))*(1-Paramètres!$B$46))*(Paramètres!$B$42*(Paramètres!$B$42+1)/2)))</f>
        <v>0</v>
      </c>
      <c r="O22" s="75" t="n">
        <f aca="false">MAX(M22,N22)</f>
        <v>0.1552848</v>
      </c>
      <c r="P22" s="36" t="n">
        <f aca="false">IF(E22="Normal",M22*Paramètres!$B$40,IF(E22="Boss",M22*(Paramètres!$B$41-1)+N22,N22))</f>
        <v>0.4658544</v>
      </c>
      <c r="Q22" s="76" t="str">
        <f aca="false">IF(O22&gt;Paramètres!$B$37,"Trop dur","OK")</f>
        <v>OK</v>
      </c>
      <c r="R22" s="29" t="n">
        <f aca="false" t="array" ref="R22:R22">ROUND(IF(E22="Normal",J22*INDEX(Zones!$O$6:$O$35,MATCH(F22,Zones!$A$6:$A$35,0)),IF(E22="Boss",((Paramètres!$B$41-1)*Paramètres!$B$39+Paramètres!$B$42)*INDEX(Zones!$O$6:$O$35,MATCH(F22,Zones!$A$6:$A$35,0))+INDEX(Zones!$R$6:$R$35,MATCH(F22,Zones!$A$6:$A$35,0)),INDEX(Zones!$R$6:$R$35,MATCH(F22,Zones!$A$6:$A$35,0))))*ROUND(Paramètres!$B$49*B22^Paramètres!$B$50,0),0)</f>
        <v>2111</v>
      </c>
      <c r="S22" s="29" t="n">
        <f aca="false" t="array" ref="S22:S22">ROUND(IF(E22="Normal",J22*INDEX(Zones!$O$6:$O$35,MATCH(F22,Zones!$A$6:$A$35,0)),IF(E22="Boss",((Paramètres!$B$41-1)*Paramètres!$B$39+Paramètres!$B$42)*INDEX(Zones!$O$6:$O$35,MATCH(F22,Zones!$A$6:$A$35,0))+INDEX(Zones!$R$6:$R$35,MATCH(F22,Zones!$A$6:$A$35,0)),INDEX(Zones!$R$6:$R$35,MATCH(F22,Zones!$A$6:$A$35,0))))*ROUND(Paramètres!$B$53*B22^Paramètres!$B$54,0),0)</f>
        <v>1397</v>
      </c>
      <c r="T22" s="22" t="str">
        <f aca="false">IF(E22="Boss",G22,"—")</f>
        <v>—</v>
      </c>
      <c r="U22" s="37" t="n">
        <f aca="false">IF(E22="Dragon",0,(J22-IF(E22="Boss",1,0))*AVERAGEIFS(Monstres!$AL$7:$AL$98,Monstres!$B$7:$B$98,F22,Monstres!$G$7:$G$98,"Non"))</f>
        <v>0.54</v>
      </c>
      <c r="V22" s="74" t="n">
        <f aca="false">IF(E22="Boss",Butin!$E$10,IF(E22="Dragon",Butin!$E$11,0))</f>
        <v>0</v>
      </c>
      <c r="W22" s="37" t="n">
        <f aca="false">U22+V22</f>
        <v>0.54</v>
      </c>
      <c r="X22" s="77" t="n">
        <f aca="false">U22*INDEX(Butin!$E$15:$K$24,MATCH($A22,Éléments!$C$5:$C$14,1),1)+V22*IF(E22="Boss",INDEX(Butin!$E$28:$K$37,MATCH($A22,Éléments!$C$5:$C$14,1),1),IF(E22="Dragon",INDEX(Butin!$E$41:$K$50,MATCH($A22,Éléments!$C$5:$C$14,1),1),0))</f>
        <v>0.351</v>
      </c>
      <c r="Y22" s="77" t="n">
        <f aca="false">U22*INDEX(Butin!$E$15:$K$24,MATCH($A22,Éléments!$C$5:$C$14,1),2)+V22*IF(E22="Boss",INDEX(Butin!$E$28:$K$37,MATCH($A22,Éléments!$C$5:$C$14,1),2),IF(E22="Dragon",INDEX(Butin!$E$41:$K$50,MATCH($A22,Éléments!$C$5:$C$14,1),2),0))</f>
        <v>0.1512</v>
      </c>
      <c r="Z22" s="77" t="n">
        <f aca="false">U22*INDEX(Butin!$E$15:$K$24,MATCH($A22,Éléments!$C$5:$C$14,1),3)+V22*IF(E22="Boss",INDEX(Butin!$E$28:$K$37,MATCH($A22,Éléments!$C$5:$C$14,1),3),IF(E22="Dragon",INDEX(Butin!$E$41:$K$50,MATCH($A22,Éléments!$C$5:$C$14,1),3),0))</f>
        <v>0.0378</v>
      </c>
      <c r="AA22" s="77" t="n">
        <f aca="false">U22*INDEX(Butin!$E$15:$K$24,MATCH($A22,Éléments!$C$5:$C$14,1),4)+V22*IF(E22="Boss",INDEX(Butin!$E$28:$K$37,MATCH($A22,Éléments!$C$5:$C$14,1),4),IF(E22="Dragon",INDEX(Butin!$E$41:$K$50,MATCH($A22,Éléments!$C$5:$C$14,1),4),0))</f>
        <v>0</v>
      </c>
      <c r="AB22" s="77" t="n">
        <f aca="false">U22*INDEX(Butin!$E$15:$K$24,MATCH($A22,Éléments!$C$5:$C$14,1),5)+V22*IF(E22="Boss",INDEX(Butin!$E$28:$K$37,MATCH($A22,Éléments!$C$5:$C$14,1),5),IF(E22="Dragon",INDEX(Butin!$E$41:$K$50,MATCH($A22,Éléments!$C$5:$C$14,1),5),0))</f>
        <v>0</v>
      </c>
      <c r="AC22" s="77" t="n">
        <f aca="false">U22*INDEX(Butin!$E$15:$K$24,MATCH($A22,Éléments!$C$5:$C$14,1),6)+V22*IF(E22="Boss",INDEX(Butin!$E$28:$K$37,MATCH($A22,Éléments!$C$5:$C$14,1),6),IF(E22="Dragon",INDEX(Butin!$E$41:$K$50,MATCH($A22,Éléments!$C$5:$C$14,1),6),0))</f>
        <v>0</v>
      </c>
      <c r="AD22" s="77" t="n">
        <f aca="false">U22*INDEX(Butin!$E$15:$K$24,MATCH($A22,Éléments!$C$5:$C$14,1),7)+V22*IF(E22="Boss",INDEX(Butin!$E$28:$K$37,MATCH($A22,Éléments!$C$5:$C$14,1),7),IF(E22="Dragon",INDEX(Butin!$E$41:$K$50,MATCH($A22,Éléments!$C$5:$C$14,1),7),0))</f>
        <v>0</v>
      </c>
    </row>
    <row r="23" customFormat="false" ht="15.75" hidden="false" customHeight="true" outlineLevel="0" collapsed="false">
      <c r="A23" s="71" t="n">
        <v>18</v>
      </c>
      <c r="B23" s="23" t="n">
        <f aca="false">A23</f>
        <v>18</v>
      </c>
      <c r="C23" s="23" t="str">
        <f aca="false" t="array" ref="C23:C23">INDEX(Éléments!$B$5:$B$14,MATCH(A23,Éléments!$C$5:$C$14,1))</f>
        <v>Montagne</v>
      </c>
      <c r="D23" s="41" t="str">
        <f aca="false" t="array" ref="D23:D23">INDEX(Éléments!$A$5:$A$14,MATCH(A23,Éléments!$C$5:$C$14,1))</f>
        <v>Terre</v>
      </c>
      <c r="E23" s="23" t="str">
        <f aca="false">IF(MOD(A23,5)=0,"Boss",IF(MOD(A23,10)=9,"Dragon","Normal"))</f>
        <v>Normal</v>
      </c>
      <c r="F23" s="23" t="n">
        <f aca="false">IF(E23="Normal",5*ROUNDUP(A23/5,0),A23)</f>
        <v>20</v>
      </c>
      <c r="G23" s="22" t="str">
        <f aca="false" t="array" ref="G23:G23">INDEX(Zones!$B$6:$B$35,MATCH(F23,Zones!$A$6:$A$35,0))</f>
        <v>Grotte profonde</v>
      </c>
      <c r="H23" s="22" t="str">
        <f aca="false" t="array" ref="H23:H23">IF(E23="Normal","—",INDEX(Zones!$L$6:$L$35,MATCH(F23,Zones!$A$6:$A$35,0)))</f>
        <v>—</v>
      </c>
      <c r="I23" s="27" t="n">
        <f aca="false">IF(E23="Normal",Paramètres!$B$40,IF(E23="Boss",Paramètres!$B$41,1))</f>
        <v>3</v>
      </c>
      <c r="J23" s="23" t="n">
        <f aca="false">IF(E23="Normal",Paramètres!$B$40*Paramètres!$B$39,IF(E23="Boss",(Paramètres!$B$41-1)*Paramètres!$B$39+Paramètres!$B$42+1,1))</f>
        <v>9</v>
      </c>
      <c r="K23" s="33" t="n">
        <f aca="false" t="array" ref="K23:K23">IF(E23="Normal",Paramètres!$B$40*Paramètres!$B$39*(INDEX(Zones!$M$6:$M$35,MATCH(F23,Zones!$A$6:$A$35,0))*(1-Paramètres!$B$46)),IF(E23="Boss",((Paramètres!$B$41-1)*Paramètres!$B$39+Paramètres!$B$42)*(INDEX(Zones!$M$6:$M$35,MATCH(F23,Zones!$A$6:$A$35,0))*(1-Paramètres!$B$46))+INDEX(Zones!$P$6:$P$35,MATCH(F23,Zones!$A$6:$A$35,0)),INDEX(Zones!$P$6:$P$35,MATCH(F23,Zones!$A$6:$A$35,0))))</f>
        <v>15.57</v>
      </c>
      <c r="L23" s="27" t="n">
        <f aca="false">K23*Paramètres!$B$45+I23*Paramètres!$B$47</f>
        <v>89.85</v>
      </c>
      <c r="M23" s="30" t="n">
        <f aca="false" t="array" ref="M23:M23">IF(E23="Dragon",0,(INDEX(Zones!$N$6:$N$35,MATCH(F23,Zones!$A$6:$A$35,0))*Paramètres!$B$34*(INDEX(Zones!$M$6:$M$35,MATCH(F23,Zones!$A$6:$A$35,0))*(1-Paramètres!$B$46))*Paramètres!$B$39*(Paramètres!$B$39+1)/2))</f>
        <v>0.1552848</v>
      </c>
      <c r="N23" s="30" t="n">
        <f aca="false" t="array" ref="N23:N23">IF(E23="Normal",0,IF(E23="Dragon",INDEX(Zones!$Q$6:$Q$35,MATCH(F23,Zones!$A$6:$A$35,0))*Paramètres!$B$34*INDEX(Zones!$P$6:$P$35,MATCH(F23,Zones!$A$6:$A$35,0)),INDEX(Zones!$Q$6:$Q$35,MATCH(F23,Zones!$A$6:$A$35,0))*Paramètres!$B$34*(INDEX(Zones!$P$6:$P$35,MATCH(F23,Zones!$A$6:$A$35,0))+Paramètres!$B$42*(INDEX(Zones!$M$6:$M$35,MATCH(F23,Zones!$A$6:$A$35,0))*(1-Paramètres!$B$46)))+INDEX(Zones!$N$6:$N$35,MATCH(F23,Zones!$A$6:$A$35,0))*Paramètres!$B$34*(INDEX(Zones!$M$6:$M$35,MATCH(F23,Zones!$A$6:$A$35,0))*(1-Paramètres!$B$46))*(Paramètres!$B$42*(Paramètres!$B$42+1)/2)))</f>
        <v>0</v>
      </c>
      <c r="O23" s="75" t="n">
        <f aca="false">MAX(M23,N23)</f>
        <v>0.1552848</v>
      </c>
      <c r="P23" s="36" t="n">
        <f aca="false">IF(E23="Normal",M23*Paramètres!$B$40,IF(E23="Boss",M23*(Paramètres!$B$41-1)+N23,N23))</f>
        <v>0.4658544</v>
      </c>
      <c r="Q23" s="76" t="str">
        <f aca="false">IF(O23&gt;Paramètres!$B$37,"Trop dur","OK")</f>
        <v>OK</v>
      </c>
      <c r="R23" s="29" t="n">
        <f aca="false" t="array" ref="R23:R23">ROUND(IF(E23="Normal",J23*INDEX(Zones!$O$6:$O$35,MATCH(F23,Zones!$A$6:$A$35,0)),IF(E23="Boss",((Paramètres!$B$41-1)*Paramètres!$B$39+Paramètres!$B$42)*INDEX(Zones!$O$6:$O$35,MATCH(F23,Zones!$A$6:$A$35,0))+INDEX(Zones!$R$6:$R$35,MATCH(F23,Zones!$A$6:$A$35,0)),INDEX(Zones!$R$6:$R$35,MATCH(F23,Zones!$A$6:$A$35,0))))*ROUND(Paramètres!$B$49*B23^Paramètres!$B$50,0),0)</f>
        <v>2264</v>
      </c>
      <c r="S23" s="29" t="n">
        <f aca="false" t="array" ref="S23:S23">ROUND(IF(E23="Normal",J23*INDEX(Zones!$O$6:$O$35,MATCH(F23,Zones!$A$6:$A$35,0)),IF(E23="Boss",((Paramètres!$B$41-1)*Paramètres!$B$39+Paramètres!$B$42)*INDEX(Zones!$O$6:$O$35,MATCH(F23,Zones!$A$6:$A$35,0))+INDEX(Zones!$R$6:$R$35,MATCH(F23,Zones!$A$6:$A$35,0)),INDEX(Zones!$R$6:$R$35,MATCH(F23,Zones!$A$6:$A$35,0))))*ROUND(Paramètres!$B$53*B23^Paramètres!$B$54,0),0)</f>
        <v>1520</v>
      </c>
      <c r="T23" s="22" t="str">
        <f aca="false">IF(E23="Boss",G23,"—")</f>
        <v>—</v>
      </c>
      <c r="U23" s="37" t="n">
        <f aca="false">IF(E23="Dragon",0,(J23-IF(E23="Boss",1,0))*AVERAGEIFS(Monstres!$AL$7:$AL$98,Monstres!$B$7:$B$98,F23,Monstres!$G$7:$G$98,"Non"))</f>
        <v>0.54</v>
      </c>
      <c r="V23" s="74" t="n">
        <f aca="false">IF(E23="Boss",Butin!$E$10,IF(E23="Dragon",Butin!$E$11,0))</f>
        <v>0</v>
      </c>
      <c r="W23" s="37" t="n">
        <f aca="false">U23+V23</f>
        <v>0.54</v>
      </c>
      <c r="X23" s="77" t="n">
        <f aca="false">U23*INDEX(Butin!$E$15:$K$24,MATCH($A23,Éléments!$C$5:$C$14,1),1)+V23*IF(E23="Boss",INDEX(Butin!$E$28:$K$37,MATCH($A23,Éléments!$C$5:$C$14,1),1),IF(E23="Dragon",INDEX(Butin!$E$41:$K$50,MATCH($A23,Éléments!$C$5:$C$14,1),1),0))</f>
        <v>0.351</v>
      </c>
      <c r="Y23" s="77" t="n">
        <f aca="false">U23*INDEX(Butin!$E$15:$K$24,MATCH($A23,Éléments!$C$5:$C$14,1),2)+V23*IF(E23="Boss",INDEX(Butin!$E$28:$K$37,MATCH($A23,Éléments!$C$5:$C$14,1),2),IF(E23="Dragon",INDEX(Butin!$E$41:$K$50,MATCH($A23,Éléments!$C$5:$C$14,1),2),0))</f>
        <v>0.1512</v>
      </c>
      <c r="Z23" s="77" t="n">
        <f aca="false">U23*INDEX(Butin!$E$15:$K$24,MATCH($A23,Éléments!$C$5:$C$14,1),3)+V23*IF(E23="Boss",INDEX(Butin!$E$28:$K$37,MATCH($A23,Éléments!$C$5:$C$14,1),3),IF(E23="Dragon",INDEX(Butin!$E$41:$K$50,MATCH($A23,Éléments!$C$5:$C$14,1),3),0))</f>
        <v>0.0378</v>
      </c>
      <c r="AA23" s="77" t="n">
        <f aca="false">U23*INDEX(Butin!$E$15:$K$24,MATCH($A23,Éléments!$C$5:$C$14,1),4)+V23*IF(E23="Boss",INDEX(Butin!$E$28:$K$37,MATCH($A23,Éléments!$C$5:$C$14,1),4),IF(E23="Dragon",INDEX(Butin!$E$41:$K$50,MATCH($A23,Éléments!$C$5:$C$14,1),4),0))</f>
        <v>0</v>
      </c>
      <c r="AB23" s="77" t="n">
        <f aca="false">U23*INDEX(Butin!$E$15:$K$24,MATCH($A23,Éléments!$C$5:$C$14,1),5)+V23*IF(E23="Boss",INDEX(Butin!$E$28:$K$37,MATCH($A23,Éléments!$C$5:$C$14,1),5),IF(E23="Dragon",INDEX(Butin!$E$41:$K$50,MATCH($A23,Éléments!$C$5:$C$14,1),5),0))</f>
        <v>0</v>
      </c>
      <c r="AC23" s="77" t="n">
        <f aca="false">U23*INDEX(Butin!$E$15:$K$24,MATCH($A23,Éléments!$C$5:$C$14,1),6)+V23*IF(E23="Boss",INDEX(Butin!$E$28:$K$37,MATCH($A23,Éléments!$C$5:$C$14,1),6),IF(E23="Dragon",INDEX(Butin!$E$41:$K$50,MATCH($A23,Éléments!$C$5:$C$14,1),6),0))</f>
        <v>0</v>
      </c>
      <c r="AD23" s="77" t="n">
        <f aca="false">U23*INDEX(Butin!$E$15:$K$24,MATCH($A23,Éléments!$C$5:$C$14,1),7)+V23*IF(E23="Boss",INDEX(Butin!$E$28:$K$37,MATCH($A23,Éléments!$C$5:$C$14,1),7),IF(E23="Dragon",INDEX(Butin!$E$41:$K$50,MATCH($A23,Éléments!$C$5:$C$14,1),7),0))</f>
        <v>0</v>
      </c>
    </row>
    <row r="24" customFormat="false" ht="15.75" hidden="false" customHeight="true" outlineLevel="0" collapsed="false">
      <c r="A24" s="71" t="n">
        <v>19</v>
      </c>
      <c r="B24" s="23" t="n">
        <f aca="false">A24</f>
        <v>19</v>
      </c>
      <c r="C24" s="23" t="str">
        <f aca="false" t="array" ref="C24:C24">INDEX(Éléments!$B$5:$B$14,MATCH(A24,Éléments!$C$5:$C$14,1))</f>
        <v>Montagne</v>
      </c>
      <c r="D24" s="41" t="str">
        <f aca="false" t="array" ref="D24:D24">INDEX(Éléments!$A$5:$A$14,MATCH(A24,Éléments!$C$5:$C$14,1))</f>
        <v>Terre</v>
      </c>
      <c r="E24" s="23" t="str">
        <f aca="false">IF(MOD(A24,5)=0,"Boss",IF(MOD(A24,10)=9,"Dragon","Normal"))</f>
        <v>Dragon</v>
      </c>
      <c r="F24" s="23" t="n">
        <f aca="false">IF(E24="Normal",5*ROUNDUP(A24/5,0),A24)</f>
        <v>19</v>
      </c>
      <c r="G24" s="22" t="str">
        <f aca="false" t="array" ref="G24:G24">INDEX(Zones!$B$6:$B$35,MATCH(F24,Zones!$A$6:$A$35,0))</f>
        <v>Tannière du dragon (19)</v>
      </c>
      <c r="H24" s="22" t="str">
        <f aca="false" t="array" ref="H24:H24">IF(E24="Normal","—",INDEX(Zones!$L$6:$L$35,MATCH(F24,Zones!$A$6:$A$35,0)))</f>
        <v>Dragon (Terre)</v>
      </c>
      <c r="I24" s="23" t="n">
        <f aca="false">IF(E24="Normal",Paramètres!$B$40,IF(E24="Boss",Paramètres!$B$41,1))</f>
        <v>1</v>
      </c>
      <c r="J24" s="23" t="n">
        <f aca="false">IF(E24="Normal",Paramètres!$B$40*Paramètres!$B$39,IF(E24="Boss",(Paramètres!$B$41-1)*Paramètres!$B$39+Paramètres!$B$42+1,1))</f>
        <v>1</v>
      </c>
      <c r="K24" s="33" t="n">
        <f aca="false" t="array" ref="K24:K24">IF(E24="Normal",Paramètres!$B$40*Paramètres!$B$39*(INDEX(Zones!$M$6:$M$35,MATCH(F24,Zones!$A$6:$A$35,0))*(1-Paramètres!$B$46)),IF(E24="Boss",((Paramètres!$B$41-1)*Paramètres!$B$39+Paramètres!$B$42)*(INDEX(Zones!$M$6:$M$35,MATCH(F24,Zones!$A$6:$A$35,0))*(1-Paramètres!$B$46))+INDEX(Zones!$P$6:$P$35,MATCH(F24,Zones!$A$6:$A$35,0)),INDEX(Zones!$P$6:$P$35,MATCH(F24,Zones!$A$6:$A$35,0))))</f>
        <v>20</v>
      </c>
      <c r="L24" s="27" t="n">
        <f aca="false">K24*Paramètres!$B$45+I24*Paramètres!$B$47</f>
        <v>104</v>
      </c>
      <c r="M24" s="30" t="n">
        <f aca="false" t="array" ref="M24:M24">IF(E24="Dragon",0,(INDEX(Zones!$N$6:$N$35,MATCH(F24,Zones!$A$6:$A$35,0))*Paramètres!$B$34*(INDEX(Zones!$M$6:$M$35,MATCH(F24,Zones!$A$6:$A$35,0))*(1-Paramètres!$B$46))*Paramètres!$B$39*(Paramètres!$B$39+1)/2))</f>
        <v>0</v>
      </c>
      <c r="N24" s="30" t="n">
        <f aca="false" t="array" ref="N24:N24">IF(E24="Normal",0,IF(E24="Dragon",INDEX(Zones!$Q$6:$Q$35,MATCH(F24,Zones!$A$6:$A$35,0))*Paramètres!$B$34*INDEX(Zones!$P$6:$P$35,MATCH(F24,Zones!$A$6:$A$35,0)),INDEX(Zones!$Q$6:$Q$35,MATCH(F24,Zones!$A$6:$A$35,0))*Paramètres!$B$34*(INDEX(Zones!$P$6:$P$35,MATCH(F24,Zones!$A$6:$A$35,0))+Paramètres!$B$42*(INDEX(Zones!$M$6:$M$35,MATCH(F24,Zones!$A$6:$A$35,0))*(1-Paramètres!$B$46)))+INDEX(Zones!$N$6:$N$35,MATCH(F24,Zones!$A$6:$A$35,0))*Paramètres!$B$34*(INDEX(Zones!$M$6:$M$35,MATCH(F24,Zones!$A$6:$A$35,0))*(1-Paramètres!$B$46))*(Paramètres!$B$42*(Paramètres!$B$42+1)/2)))</f>
        <v>0.51</v>
      </c>
      <c r="O24" s="75" t="n">
        <f aca="false">MAX(M24,N24)</f>
        <v>0.51</v>
      </c>
      <c r="P24" s="36" t="n">
        <f aca="false">IF(E24="Normal",M24*Paramètres!$B$40,IF(E24="Boss",M24*(Paramètres!$B$41-1)+N24,N24))</f>
        <v>0.51</v>
      </c>
      <c r="Q24" s="76" t="str">
        <f aca="false">IF(O24&gt;Paramètres!$B$37,"Trop dur","OK")</f>
        <v>OK</v>
      </c>
      <c r="R24" s="29" t="n">
        <f aca="false" t="array" ref="R24:R24">ROUND(IF(E24="Normal",J24*INDEX(Zones!$O$6:$O$35,MATCH(F24,Zones!$A$6:$A$35,0)),IF(E24="Boss",((Paramètres!$B$41-1)*Paramètres!$B$39+Paramètres!$B$42)*INDEX(Zones!$O$6:$O$35,MATCH(F24,Zones!$A$6:$A$35,0))+INDEX(Zones!$R$6:$R$35,MATCH(F24,Zones!$A$6:$A$35,0)),INDEX(Zones!$R$6:$R$35,MATCH(F24,Zones!$A$6:$A$35,0))))*ROUND(Paramètres!$B$49*B24^Paramètres!$B$50,0),0)</f>
        <v>2856</v>
      </c>
      <c r="S24" s="29" t="n">
        <f aca="false" t="array" ref="S24:S24">ROUND(IF(E24="Normal",J24*INDEX(Zones!$O$6:$O$35,MATCH(F24,Zones!$A$6:$A$35,0)),IF(E24="Boss",((Paramètres!$B$41-1)*Paramètres!$B$39+Paramètres!$B$42)*INDEX(Zones!$O$6:$O$35,MATCH(F24,Zones!$A$6:$A$35,0))+INDEX(Zones!$R$6:$R$35,MATCH(F24,Zones!$A$6:$A$35,0)),INDEX(Zones!$R$6:$R$35,MATCH(F24,Zones!$A$6:$A$35,0))))*ROUND(Paramètres!$B$53*B24^Paramètres!$B$54,0),0)</f>
        <v>1920</v>
      </c>
      <c r="T24" s="22" t="str">
        <f aca="false">IF(E24="Boss",G24,"—")</f>
        <v>—</v>
      </c>
      <c r="U24" s="37" t="n">
        <f aca="false">IF(E24="Dragon",0,(J24-IF(E24="Boss",1,0))*AVERAGEIFS(Monstres!$AL$7:$AL$98,Monstres!$B$7:$B$98,F24,Monstres!$G$7:$G$98,"Non"))</f>
        <v>0</v>
      </c>
      <c r="V24" s="74" t="n">
        <f aca="false">IF(E24="Boss",Butin!$E$10,IF(E24="Dragon",Butin!$E$11,0))</f>
        <v>2.5</v>
      </c>
      <c r="W24" s="37" t="n">
        <f aca="false">U24+V24</f>
        <v>2.5</v>
      </c>
      <c r="X24" s="77" t="n">
        <f aca="false">U24*INDEX(Butin!$E$15:$K$24,MATCH($A24,Éléments!$C$5:$C$14,1),1)+V24*IF(E24="Boss",INDEX(Butin!$E$28:$K$37,MATCH($A24,Éléments!$C$5:$C$14,1),1),IF(E24="Dragon",INDEX(Butin!$E$41:$K$50,MATCH($A24,Éléments!$C$5:$C$14,1),1),0))</f>
        <v>0.5</v>
      </c>
      <c r="Y24" s="77" t="n">
        <f aca="false">U24*INDEX(Butin!$E$15:$K$24,MATCH($A24,Éléments!$C$5:$C$14,1),2)+V24*IF(E24="Boss",INDEX(Butin!$E$28:$K$37,MATCH($A24,Éléments!$C$5:$C$14,1),2),IF(E24="Dragon",INDEX(Butin!$E$41:$K$50,MATCH($A24,Éléments!$C$5:$C$14,1),2),0))</f>
        <v>0.9</v>
      </c>
      <c r="Z24" s="77" t="n">
        <f aca="false">U24*INDEX(Butin!$E$15:$K$24,MATCH($A24,Éléments!$C$5:$C$14,1),3)+V24*IF(E24="Boss",INDEX(Butin!$E$28:$K$37,MATCH($A24,Éléments!$C$5:$C$14,1),3),IF(E24="Dragon",INDEX(Butin!$E$41:$K$50,MATCH($A24,Éléments!$C$5:$C$14,1),3),0))</f>
        <v>0.7</v>
      </c>
      <c r="AA24" s="77" t="n">
        <f aca="false">U24*INDEX(Butin!$E$15:$K$24,MATCH($A24,Éléments!$C$5:$C$14,1),4)+V24*IF(E24="Boss",INDEX(Butin!$E$28:$K$37,MATCH($A24,Éléments!$C$5:$C$14,1),4),IF(E24="Dragon",INDEX(Butin!$E$41:$K$50,MATCH($A24,Éléments!$C$5:$C$14,1),4),0))</f>
        <v>0.3</v>
      </c>
      <c r="AB24" s="77" t="n">
        <f aca="false">U24*INDEX(Butin!$E$15:$K$24,MATCH($A24,Éléments!$C$5:$C$14,1),5)+V24*IF(E24="Boss",INDEX(Butin!$E$28:$K$37,MATCH($A24,Éléments!$C$5:$C$14,1),5),IF(E24="Dragon",INDEX(Butin!$E$41:$K$50,MATCH($A24,Éléments!$C$5:$C$14,1),5),0))</f>
        <v>0.025</v>
      </c>
      <c r="AC24" s="77" t="n">
        <f aca="false">U24*INDEX(Butin!$E$15:$K$24,MATCH($A24,Éléments!$C$5:$C$14,1),6)+V24*IF(E24="Boss",INDEX(Butin!$E$28:$K$37,MATCH($A24,Éléments!$C$5:$C$14,1),6),IF(E24="Dragon",INDEX(Butin!$E$41:$K$50,MATCH($A24,Éléments!$C$5:$C$14,1),6),0))</f>
        <v>0</v>
      </c>
      <c r="AD24" s="77" t="n">
        <f aca="false">U24*INDEX(Butin!$E$15:$K$24,MATCH($A24,Éléments!$C$5:$C$14,1),7)+V24*IF(E24="Boss",INDEX(Butin!$E$28:$K$37,MATCH($A24,Éléments!$C$5:$C$14,1),7),IF(E24="Dragon",INDEX(Butin!$E$41:$K$50,MATCH($A24,Éléments!$C$5:$C$14,1),7),0))</f>
        <v>0.075</v>
      </c>
    </row>
    <row r="25" customFormat="false" ht="15.75" hidden="false" customHeight="true" outlineLevel="0" collapsed="false">
      <c r="A25" s="71" t="n">
        <v>20</v>
      </c>
      <c r="B25" s="23" t="n">
        <f aca="false">A25</f>
        <v>20</v>
      </c>
      <c r="C25" s="23" t="str">
        <f aca="false" t="array" ref="C25:C25">INDEX(Éléments!$B$5:$B$14,MATCH(A25,Éléments!$C$5:$C$14,1))</f>
        <v>Montagne</v>
      </c>
      <c r="D25" s="41" t="str">
        <f aca="false" t="array" ref="D25:D25">INDEX(Éléments!$A$5:$A$14,MATCH(A25,Éléments!$C$5:$C$14,1))</f>
        <v>Terre</v>
      </c>
      <c r="E25" s="23" t="str">
        <f aca="false">IF(MOD(A25,5)=0,"Boss",IF(MOD(A25,10)=9,"Dragon","Normal"))</f>
        <v>Boss</v>
      </c>
      <c r="F25" s="23" t="n">
        <f aca="false">IF(E25="Normal",5*ROUNDUP(A25/5,0),A25)</f>
        <v>20</v>
      </c>
      <c r="G25" s="22" t="str">
        <f aca="false" t="array" ref="G25:G25">INDEX(Zones!$B$6:$B$35,MATCH(F25,Zones!$A$6:$A$35,0))</f>
        <v>Grotte profonde</v>
      </c>
      <c r="H25" s="22" t="str">
        <f aca="false" t="array" ref="H25:H25">IF(E25="Normal","—",INDEX(Zones!$L$6:$L$35,MATCH(F25,Zones!$A$6:$A$35,0)))</f>
        <v>Chef orc</v>
      </c>
      <c r="I25" s="27" t="n">
        <f aca="false">IF(E25="Normal",Paramètres!$B$40,IF(E25="Boss",Paramètres!$B$41,1))</f>
        <v>5</v>
      </c>
      <c r="J25" s="27" t="n">
        <f aca="false">IF(E25="Normal",Paramètres!$B$40*Paramètres!$B$39,IF(E25="Boss",(Paramètres!$B$41-1)*Paramètres!$B$39+Paramètres!$B$42+1,1))</f>
        <v>15</v>
      </c>
      <c r="K25" s="33" t="n">
        <f aca="false" t="array" ref="K25:K25">IF(E25="Normal",Paramètres!$B$40*Paramètres!$B$39*(INDEX(Zones!$M$6:$M$35,MATCH(F25,Zones!$A$6:$A$35,0))*(1-Paramètres!$B$46)),IF(E25="Boss",((Paramètres!$B$41-1)*Paramètres!$B$39+Paramètres!$B$42)*(INDEX(Zones!$M$6:$M$35,MATCH(F25,Zones!$A$6:$A$35,0))*(1-Paramètres!$B$46))+INDEX(Zones!$P$6:$P$35,MATCH(F25,Zones!$A$6:$A$35,0)),INDEX(Zones!$P$6:$P$35,MATCH(F25,Zones!$A$6:$A$35,0))))</f>
        <v>42.22</v>
      </c>
      <c r="L25" s="27" t="n">
        <f aca="false">K25*Paramètres!$B$45+I25*Paramètres!$B$47</f>
        <v>231.1</v>
      </c>
      <c r="M25" s="30" t="n">
        <f aca="false" t="array" ref="M25:M25">IF(E25="Dragon",0,(INDEX(Zones!$N$6:$N$35,MATCH(F25,Zones!$A$6:$A$35,0))*Paramètres!$B$34*(INDEX(Zones!$M$6:$M$35,MATCH(F25,Zones!$A$6:$A$35,0))*(1-Paramètres!$B$46))*Paramètres!$B$39*(Paramètres!$B$39+1)/2))</f>
        <v>0.1552848</v>
      </c>
      <c r="N25" s="30" t="n">
        <f aca="false" t="array" ref="N25:N25">IF(E25="Normal",0,IF(E25="Dragon",INDEX(Zones!$Q$6:$Q$35,MATCH(F25,Zones!$A$6:$A$35,0))*Paramètres!$B$34*INDEX(Zones!$P$6:$P$35,MATCH(F25,Zones!$A$6:$A$35,0)),INDEX(Zones!$Q$6:$Q$35,MATCH(F25,Zones!$A$6:$A$35,0))*Paramètres!$B$34*(INDEX(Zones!$P$6:$P$35,MATCH(F25,Zones!$A$6:$A$35,0))+Paramètres!$B$42*(INDEX(Zones!$M$6:$M$35,MATCH(F25,Zones!$A$6:$A$35,0))*(1-Paramètres!$B$46)))+INDEX(Zones!$N$6:$N$35,MATCH(F25,Zones!$A$6:$A$35,0))*Paramètres!$B$34*(INDEX(Zones!$M$6:$M$35,MATCH(F25,Zones!$A$6:$A$35,0))*(1-Paramètres!$B$46))*(Paramètres!$B$42*(Paramètres!$B$42+1)/2)))</f>
        <v>0.5975109</v>
      </c>
      <c r="O25" s="75" t="n">
        <f aca="false">MAX(M25,N25)</f>
        <v>0.5975109</v>
      </c>
      <c r="P25" s="36" t="n">
        <f aca="false">IF(E25="Normal",M25*Paramètres!$B$40,IF(E25="Boss",M25*(Paramètres!$B$41-1)+N25,N25))</f>
        <v>1.2186501</v>
      </c>
      <c r="Q25" s="76" t="str">
        <f aca="false">IF(O25&gt;Paramètres!$B$37,"Trop dur","OK")</f>
        <v>OK</v>
      </c>
      <c r="R25" s="29" t="n">
        <f aca="false" t="array" ref="R25:R25">ROUND(IF(E25="Normal",J25*INDEX(Zones!$O$6:$O$35,MATCH(F25,Zones!$A$6:$A$35,0)),IF(E25="Boss",((Paramètres!$B$41-1)*Paramètres!$B$39+Paramètres!$B$42)*INDEX(Zones!$O$6:$O$35,MATCH(F25,Zones!$A$6:$A$35,0))+INDEX(Zones!$R$6:$R$35,MATCH(F25,Zones!$A$6:$A$35,0)),INDEX(Zones!$R$6:$R$35,MATCH(F25,Zones!$A$6:$A$35,0))))*ROUND(Paramètres!$B$49*B25^Paramètres!$B$50,0),0)</f>
        <v>6062</v>
      </c>
      <c r="S25" s="29" t="n">
        <f aca="false" t="array" ref="S25:S25">ROUND(IF(E25="Normal",J25*INDEX(Zones!$O$6:$O$35,MATCH(F25,Zones!$A$6:$A$35,0)),IF(E25="Boss",((Paramètres!$B$41-1)*Paramètres!$B$39+Paramètres!$B$42)*INDEX(Zones!$O$6:$O$35,MATCH(F25,Zones!$A$6:$A$35,0))+INDEX(Zones!$R$6:$R$35,MATCH(F25,Zones!$A$6:$A$35,0)),INDEX(Zones!$R$6:$R$35,MATCH(F25,Zones!$A$6:$A$35,0))))*ROUND(Paramètres!$B$53*B25^Paramètres!$B$54,0),0)</f>
        <v>4081</v>
      </c>
      <c r="T25" s="22" t="str">
        <f aca="false">IF(E25="Boss",G25,"—")</f>
        <v>Grotte profonde</v>
      </c>
      <c r="U25" s="37" t="n">
        <f aca="false">IF(E25="Dragon",0,(J25-IF(E25="Boss",1,0))*AVERAGEIFS(Monstres!$AL$7:$AL$98,Monstres!$B$7:$B$98,F25,Monstres!$G$7:$G$98,"Non"))</f>
        <v>0.84</v>
      </c>
      <c r="V25" s="74" t="n">
        <f aca="false">IF(E25="Boss",Butin!$E$10,IF(E25="Dragon",Butin!$E$11,0))</f>
        <v>1.4</v>
      </c>
      <c r="W25" s="37" t="n">
        <f aca="false">U25+V25</f>
        <v>2.24</v>
      </c>
      <c r="X25" s="77" t="n">
        <f aca="false">U25*INDEX(Butin!$E$15:$K$24,MATCH($A25,Éléments!$C$5:$C$14,1),1)+V25*IF(E25="Boss",INDEX(Butin!$E$28:$K$37,MATCH($A25,Éléments!$C$5:$C$14,1),1),IF(E25="Dragon",INDEX(Butin!$E$41:$K$50,MATCH($A25,Éléments!$C$5:$C$14,1),1),0))</f>
        <v>0.938</v>
      </c>
      <c r="Y25" s="77" t="n">
        <f aca="false">U25*INDEX(Butin!$E$15:$K$24,MATCH($A25,Éléments!$C$5:$C$14,1),2)+V25*IF(E25="Boss",INDEX(Butin!$E$28:$K$37,MATCH($A25,Éléments!$C$5:$C$14,1),2),IF(E25="Dragon",INDEX(Butin!$E$41:$K$50,MATCH($A25,Éléments!$C$5:$C$14,1),2),0))</f>
        <v>0.7672</v>
      </c>
      <c r="Z25" s="77" t="n">
        <f aca="false">U25*INDEX(Butin!$E$15:$K$24,MATCH($A25,Éléments!$C$5:$C$14,1),3)+V25*IF(E25="Boss",INDEX(Butin!$E$28:$K$37,MATCH($A25,Éléments!$C$5:$C$14,1),3),IF(E25="Dragon",INDEX(Butin!$E$41:$K$50,MATCH($A25,Éléments!$C$5:$C$14,1),3),0))</f>
        <v>0.3948</v>
      </c>
      <c r="AA25" s="77" t="n">
        <f aca="false">U25*INDEX(Butin!$E$15:$K$24,MATCH($A25,Éléments!$C$5:$C$14,1),4)+V25*IF(E25="Boss",INDEX(Butin!$E$28:$K$37,MATCH($A25,Éléments!$C$5:$C$14,1),4),IF(E25="Dragon",INDEX(Butin!$E$41:$K$50,MATCH($A25,Éléments!$C$5:$C$14,1),4),0))</f>
        <v>0.112</v>
      </c>
      <c r="AB25" s="77" t="n">
        <f aca="false">U25*INDEX(Butin!$E$15:$K$24,MATCH($A25,Éléments!$C$5:$C$14,1),5)+V25*IF(E25="Boss",INDEX(Butin!$E$28:$K$37,MATCH($A25,Éléments!$C$5:$C$14,1),5),IF(E25="Dragon",INDEX(Butin!$E$41:$K$50,MATCH($A25,Éléments!$C$5:$C$14,1),5),0))</f>
        <v>0</v>
      </c>
      <c r="AC25" s="77" t="n">
        <f aca="false">U25*INDEX(Butin!$E$15:$K$24,MATCH($A25,Éléments!$C$5:$C$14,1),6)+V25*IF(E25="Boss",INDEX(Butin!$E$28:$K$37,MATCH($A25,Éléments!$C$5:$C$14,1),6),IF(E25="Dragon",INDEX(Butin!$E$41:$K$50,MATCH($A25,Éléments!$C$5:$C$14,1),6),0))</f>
        <v>0</v>
      </c>
      <c r="AD25" s="77" t="n">
        <f aca="false">U25*INDEX(Butin!$E$15:$K$24,MATCH($A25,Éléments!$C$5:$C$14,1),7)+V25*IF(E25="Boss",INDEX(Butin!$E$28:$K$37,MATCH($A25,Éléments!$C$5:$C$14,1),7),IF(E25="Dragon",INDEX(Butin!$E$41:$K$50,MATCH($A25,Éléments!$C$5:$C$14,1),7),0))</f>
        <v>0.028</v>
      </c>
    </row>
    <row r="26" customFormat="false" ht="15.75" hidden="false" customHeight="true" outlineLevel="0" collapsed="false">
      <c r="A26" s="71" t="n">
        <v>21</v>
      </c>
      <c r="B26" s="23" t="n">
        <f aca="false">A26</f>
        <v>21</v>
      </c>
      <c r="C26" s="23" t="str">
        <f aca="false" t="array" ref="C26:C26">INDEX(Éléments!$B$5:$B$14,MATCH(A26,Éléments!$C$5:$C$14,1))</f>
        <v>Volcan</v>
      </c>
      <c r="D26" s="42" t="str">
        <f aca="false" t="array" ref="D26:D26">INDEX(Éléments!$A$5:$A$14,MATCH(A26,Éléments!$C$5:$C$14,1))</f>
        <v>Feu</v>
      </c>
      <c r="E26" s="23" t="str">
        <f aca="false">IF(MOD(A26,5)=0,"Boss",IF(MOD(A26,10)=9,"Dragon","Normal"))</f>
        <v>Normal</v>
      </c>
      <c r="F26" s="23" t="n">
        <f aca="false">IF(E26="Normal",5*ROUNDUP(A26/5,0),A26)</f>
        <v>25</v>
      </c>
      <c r="G26" s="22" t="str">
        <f aca="false" t="array" ref="G26:G26">INDEX(Zones!$B$6:$B$35,MATCH(F26,Zones!$A$6:$A$35,0))</f>
        <v>Océan de lave</v>
      </c>
      <c r="H26" s="22" t="str">
        <f aca="false" t="array" ref="H26:H26">IF(E26="Normal","—",INDEX(Zones!$L$6:$L$35,MATCH(F26,Zones!$A$6:$A$35,0)))</f>
        <v>—</v>
      </c>
      <c r="I26" s="27" t="n">
        <f aca="false">IF(E26="Normal",Paramètres!$B$40,IF(E26="Boss",Paramètres!$B$41,1))</f>
        <v>3</v>
      </c>
      <c r="J26" s="23" t="n">
        <f aca="false">IF(E26="Normal",Paramètres!$B$40*Paramètres!$B$39,IF(E26="Boss",(Paramètres!$B$41-1)*Paramètres!$B$39+Paramètres!$B$42+1,1))</f>
        <v>9</v>
      </c>
      <c r="K26" s="33" t="n">
        <f aca="false" t="array" ref="K26:K26">IF(E26="Normal",Paramètres!$B$40*Paramètres!$B$39*(INDEX(Zones!$M$6:$M$35,MATCH(F26,Zones!$A$6:$A$35,0))*(1-Paramètres!$B$46)),IF(E26="Boss",((Paramètres!$B$41-1)*Paramètres!$B$39+Paramètres!$B$42)*(INDEX(Zones!$M$6:$M$35,MATCH(F26,Zones!$A$6:$A$35,0))*(1-Paramètres!$B$46))+INDEX(Zones!$P$6:$P$35,MATCH(F26,Zones!$A$6:$A$35,0)),INDEX(Zones!$P$6:$P$35,MATCH(F26,Zones!$A$6:$A$35,0))))</f>
        <v>20.5875</v>
      </c>
      <c r="L26" s="27" t="n">
        <f aca="false">K26*Paramètres!$B$45+I26*Paramètres!$B$47</f>
        <v>114.9375</v>
      </c>
      <c r="M26" s="30" t="n">
        <f aca="false" t="array" ref="M26:M26">IF(E26="Dragon",0,(INDEX(Zones!$N$6:$N$35,MATCH(F26,Zones!$A$6:$A$35,0))*Paramètres!$B$34*(INDEX(Zones!$M$6:$M$35,MATCH(F26,Zones!$A$6:$A$35,0))*(1-Paramètres!$B$46))*Paramètres!$B$39*(Paramètres!$B$39+1)/2))</f>
        <v>0.1977429375</v>
      </c>
      <c r="N26" s="30" t="n">
        <f aca="false" t="array" ref="N26:N26">IF(E26="Normal",0,IF(E26="Dragon",INDEX(Zones!$Q$6:$Q$35,MATCH(F26,Zones!$A$6:$A$35,0))*Paramètres!$B$34*INDEX(Zones!$P$6:$P$35,MATCH(F26,Zones!$A$6:$A$35,0)),INDEX(Zones!$Q$6:$Q$35,MATCH(F26,Zones!$A$6:$A$35,0))*Paramètres!$B$34*(INDEX(Zones!$P$6:$P$35,MATCH(F26,Zones!$A$6:$A$35,0))+Paramètres!$B$42*(INDEX(Zones!$M$6:$M$35,MATCH(F26,Zones!$A$6:$A$35,0))*(1-Paramètres!$B$46)))+INDEX(Zones!$N$6:$N$35,MATCH(F26,Zones!$A$6:$A$35,0))*Paramètres!$B$34*(INDEX(Zones!$M$6:$M$35,MATCH(F26,Zones!$A$6:$A$35,0))*(1-Paramètres!$B$46))*(Paramètres!$B$42*(Paramètres!$B$42+1)/2)))</f>
        <v>0</v>
      </c>
      <c r="O26" s="75" t="n">
        <f aca="false">MAX(M26,N26)</f>
        <v>0.1977429375</v>
      </c>
      <c r="P26" s="36" t="n">
        <f aca="false">IF(E26="Normal",M26*Paramètres!$B$40,IF(E26="Boss",M26*(Paramètres!$B$41-1)+N26,N26))</f>
        <v>0.5932288125</v>
      </c>
      <c r="Q26" s="76" t="str">
        <f aca="false">IF(O26&gt;Paramètres!$B$37,"Trop dur","OK")</f>
        <v>OK</v>
      </c>
      <c r="R26" s="29" t="n">
        <f aca="false" t="array" ref="R26:R26">ROUND(IF(E26="Normal",J26*INDEX(Zones!$O$6:$O$35,MATCH(F26,Zones!$A$6:$A$35,0)),IF(E26="Boss",((Paramètres!$B$41-1)*Paramètres!$B$39+Paramètres!$B$42)*INDEX(Zones!$O$6:$O$35,MATCH(F26,Zones!$A$6:$A$35,0))+INDEX(Zones!$R$6:$R$35,MATCH(F26,Zones!$A$6:$A$35,0)),INDEX(Zones!$R$6:$R$35,MATCH(F26,Zones!$A$6:$A$35,0))))*ROUND(Paramètres!$B$49*B26^Paramètres!$B$50,0),0)</f>
        <v>2916</v>
      </c>
      <c r="S26" s="29" t="n">
        <f aca="false" t="array" ref="S26:S26">ROUND(IF(E26="Normal",J26*INDEX(Zones!$O$6:$O$35,MATCH(F26,Zones!$A$6:$A$35,0)),IF(E26="Boss",((Paramètres!$B$41-1)*Paramètres!$B$39+Paramètres!$B$42)*INDEX(Zones!$O$6:$O$35,MATCH(F26,Zones!$A$6:$A$35,0))+INDEX(Zones!$R$6:$R$35,MATCH(F26,Zones!$A$6:$A$35,0)),INDEX(Zones!$R$6:$R$35,MATCH(F26,Zones!$A$6:$A$35,0))))*ROUND(Paramètres!$B$53*B26^Paramètres!$B$54,0),0)</f>
        <v>1976</v>
      </c>
      <c r="T26" s="22" t="str">
        <f aca="false">IF(E26="Boss",G26,"—")</f>
        <v>—</v>
      </c>
      <c r="U26" s="37" t="n">
        <f aca="false">IF(E26="Dragon",0,(J26-IF(E26="Boss",1,0))*AVERAGEIFS(Monstres!$AL$7:$AL$98,Monstres!$B$7:$B$98,F26,Monstres!$G$7:$G$98,"Non"))</f>
        <v>0.585</v>
      </c>
      <c r="V26" s="74" t="n">
        <f aca="false">IF(E26="Boss",Butin!$E$10,IF(E26="Dragon",Butin!$E$11,0))</f>
        <v>0</v>
      </c>
      <c r="W26" s="37" t="n">
        <f aca="false">U26+V26</f>
        <v>0.585</v>
      </c>
      <c r="X26" s="77" t="n">
        <f aca="false">U26*INDEX(Butin!$E$15:$K$24,MATCH($A26,Éléments!$C$5:$C$14,1),1)+V26*IF(E26="Boss",INDEX(Butin!$E$28:$K$37,MATCH($A26,Éléments!$C$5:$C$14,1),1),IF(E26="Dragon",INDEX(Butin!$E$41:$K$50,MATCH($A26,Éléments!$C$5:$C$14,1),1),0))</f>
        <v>0.3042</v>
      </c>
      <c r="Y26" s="77" t="n">
        <f aca="false">U26*INDEX(Butin!$E$15:$K$24,MATCH($A26,Éléments!$C$5:$C$14,1),2)+V26*IF(E26="Boss",INDEX(Butin!$E$28:$K$37,MATCH($A26,Éléments!$C$5:$C$14,1),2),IF(E26="Dragon",INDEX(Butin!$E$41:$K$50,MATCH($A26,Éléments!$C$5:$C$14,1),2),0))</f>
        <v>0.1872</v>
      </c>
      <c r="Z26" s="77" t="n">
        <f aca="false">U26*INDEX(Butin!$E$15:$K$24,MATCH($A26,Éléments!$C$5:$C$14,1),3)+V26*IF(E26="Boss",INDEX(Butin!$E$28:$K$37,MATCH($A26,Éléments!$C$5:$C$14,1),3),IF(E26="Dragon",INDEX(Butin!$E$41:$K$50,MATCH($A26,Éléments!$C$5:$C$14,1),3),0))</f>
        <v>0.07605</v>
      </c>
      <c r="AA26" s="77" t="n">
        <f aca="false">U26*INDEX(Butin!$E$15:$K$24,MATCH($A26,Éléments!$C$5:$C$14,1),4)+V26*IF(E26="Boss",INDEX(Butin!$E$28:$K$37,MATCH($A26,Éléments!$C$5:$C$14,1),4),IF(E26="Dragon",INDEX(Butin!$E$41:$K$50,MATCH($A26,Éléments!$C$5:$C$14,1),4),0))</f>
        <v>0.01755</v>
      </c>
      <c r="AB26" s="77" t="n">
        <f aca="false">U26*INDEX(Butin!$E$15:$K$24,MATCH($A26,Éléments!$C$5:$C$14,1),5)+V26*IF(E26="Boss",INDEX(Butin!$E$28:$K$37,MATCH($A26,Éléments!$C$5:$C$14,1),5),IF(E26="Dragon",INDEX(Butin!$E$41:$K$50,MATCH($A26,Éléments!$C$5:$C$14,1),5),0))</f>
        <v>0</v>
      </c>
      <c r="AC26" s="77" t="n">
        <f aca="false">U26*INDEX(Butin!$E$15:$K$24,MATCH($A26,Éléments!$C$5:$C$14,1),6)+V26*IF(E26="Boss",INDEX(Butin!$E$28:$K$37,MATCH($A26,Éléments!$C$5:$C$14,1),6),IF(E26="Dragon",INDEX(Butin!$E$41:$K$50,MATCH($A26,Éléments!$C$5:$C$14,1),6),0))</f>
        <v>0</v>
      </c>
      <c r="AD26" s="77" t="n">
        <f aca="false">U26*INDEX(Butin!$E$15:$K$24,MATCH($A26,Éléments!$C$5:$C$14,1),7)+V26*IF(E26="Boss",INDEX(Butin!$E$28:$K$37,MATCH($A26,Éléments!$C$5:$C$14,1),7),IF(E26="Dragon",INDEX(Butin!$E$41:$K$50,MATCH($A26,Éléments!$C$5:$C$14,1),7),0))</f>
        <v>0</v>
      </c>
    </row>
    <row r="27" customFormat="false" ht="15.75" hidden="false" customHeight="true" outlineLevel="0" collapsed="false">
      <c r="A27" s="71" t="n">
        <v>22</v>
      </c>
      <c r="B27" s="23" t="n">
        <f aca="false">A27</f>
        <v>22</v>
      </c>
      <c r="C27" s="23" t="str">
        <f aca="false" t="array" ref="C27:C27">INDEX(Éléments!$B$5:$B$14,MATCH(A27,Éléments!$C$5:$C$14,1))</f>
        <v>Volcan</v>
      </c>
      <c r="D27" s="42" t="str">
        <f aca="false" t="array" ref="D27:D27">INDEX(Éléments!$A$5:$A$14,MATCH(A27,Éléments!$C$5:$C$14,1))</f>
        <v>Feu</v>
      </c>
      <c r="E27" s="23" t="str">
        <f aca="false">IF(MOD(A27,5)=0,"Boss",IF(MOD(A27,10)=9,"Dragon","Normal"))</f>
        <v>Normal</v>
      </c>
      <c r="F27" s="23" t="n">
        <f aca="false">IF(E27="Normal",5*ROUNDUP(A27/5,0),A27)</f>
        <v>25</v>
      </c>
      <c r="G27" s="22" t="str">
        <f aca="false" t="array" ref="G27:G27">INDEX(Zones!$B$6:$B$35,MATCH(F27,Zones!$A$6:$A$35,0))</f>
        <v>Océan de lave</v>
      </c>
      <c r="H27" s="22" t="str">
        <f aca="false" t="array" ref="H27:H27">IF(E27="Normal","—",INDEX(Zones!$L$6:$L$35,MATCH(F27,Zones!$A$6:$A$35,0)))</f>
        <v>—</v>
      </c>
      <c r="I27" s="27" t="n">
        <f aca="false">IF(E27="Normal",Paramètres!$B$40,IF(E27="Boss",Paramètres!$B$41,1))</f>
        <v>3</v>
      </c>
      <c r="J27" s="23" t="n">
        <f aca="false">IF(E27="Normal",Paramètres!$B$40*Paramètres!$B$39,IF(E27="Boss",(Paramètres!$B$41-1)*Paramètres!$B$39+Paramètres!$B$42+1,1))</f>
        <v>9</v>
      </c>
      <c r="K27" s="33" t="n">
        <f aca="false" t="array" ref="K27:K27">IF(E27="Normal",Paramètres!$B$40*Paramètres!$B$39*(INDEX(Zones!$M$6:$M$35,MATCH(F27,Zones!$A$6:$A$35,0))*(1-Paramètres!$B$46)),IF(E27="Boss",((Paramètres!$B$41-1)*Paramètres!$B$39+Paramètres!$B$42)*(INDEX(Zones!$M$6:$M$35,MATCH(F27,Zones!$A$6:$A$35,0))*(1-Paramètres!$B$46))+INDEX(Zones!$P$6:$P$35,MATCH(F27,Zones!$A$6:$A$35,0)),INDEX(Zones!$P$6:$P$35,MATCH(F27,Zones!$A$6:$A$35,0))))</f>
        <v>20.5875</v>
      </c>
      <c r="L27" s="27" t="n">
        <f aca="false">K27*Paramètres!$B$45+I27*Paramètres!$B$47</f>
        <v>114.9375</v>
      </c>
      <c r="M27" s="30" t="n">
        <f aca="false" t="array" ref="M27:M27">IF(E27="Dragon",0,(INDEX(Zones!$N$6:$N$35,MATCH(F27,Zones!$A$6:$A$35,0))*Paramètres!$B$34*(INDEX(Zones!$M$6:$M$35,MATCH(F27,Zones!$A$6:$A$35,0))*(1-Paramètres!$B$46))*Paramètres!$B$39*(Paramètres!$B$39+1)/2))</f>
        <v>0.1977429375</v>
      </c>
      <c r="N27" s="30" t="n">
        <f aca="false" t="array" ref="N27:N27">IF(E27="Normal",0,IF(E27="Dragon",INDEX(Zones!$Q$6:$Q$35,MATCH(F27,Zones!$A$6:$A$35,0))*Paramètres!$B$34*INDEX(Zones!$P$6:$P$35,MATCH(F27,Zones!$A$6:$A$35,0)),INDEX(Zones!$Q$6:$Q$35,MATCH(F27,Zones!$A$6:$A$35,0))*Paramètres!$B$34*(INDEX(Zones!$P$6:$P$35,MATCH(F27,Zones!$A$6:$A$35,0))+Paramètres!$B$42*(INDEX(Zones!$M$6:$M$35,MATCH(F27,Zones!$A$6:$A$35,0))*(1-Paramètres!$B$46)))+INDEX(Zones!$N$6:$N$35,MATCH(F27,Zones!$A$6:$A$35,0))*Paramètres!$B$34*(INDEX(Zones!$M$6:$M$35,MATCH(F27,Zones!$A$6:$A$35,0))*(1-Paramètres!$B$46))*(Paramètres!$B$42*(Paramètres!$B$42+1)/2)))</f>
        <v>0</v>
      </c>
      <c r="O27" s="75" t="n">
        <f aca="false">MAX(M27,N27)</f>
        <v>0.1977429375</v>
      </c>
      <c r="P27" s="36" t="n">
        <f aca="false">IF(E27="Normal",M27*Paramètres!$B$40,IF(E27="Boss",M27*(Paramètres!$B$41-1)+N27,N27))</f>
        <v>0.5932288125</v>
      </c>
      <c r="Q27" s="76" t="str">
        <f aca="false">IF(O27&gt;Paramètres!$B$37,"Trop dur","OK")</f>
        <v>OK</v>
      </c>
      <c r="R27" s="29" t="n">
        <f aca="false" t="array" ref="R27:R27">ROUND(IF(E27="Normal",J27*INDEX(Zones!$O$6:$O$35,MATCH(F27,Zones!$A$6:$A$35,0)),IF(E27="Boss",((Paramètres!$B$41-1)*Paramètres!$B$39+Paramètres!$B$42)*INDEX(Zones!$O$6:$O$35,MATCH(F27,Zones!$A$6:$A$35,0))+INDEX(Zones!$R$6:$R$35,MATCH(F27,Zones!$A$6:$A$35,0)),INDEX(Zones!$R$6:$R$35,MATCH(F27,Zones!$A$6:$A$35,0))))*ROUND(Paramètres!$B$49*B27^Paramètres!$B$50,0),0)</f>
        <v>3089</v>
      </c>
      <c r="S27" s="29" t="n">
        <f aca="false" t="array" ref="S27:S27">ROUND(IF(E27="Normal",J27*INDEX(Zones!$O$6:$O$35,MATCH(F27,Zones!$A$6:$A$35,0)),IF(E27="Boss",((Paramètres!$B$41-1)*Paramètres!$B$39+Paramètres!$B$42)*INDEX(Zones!$O$6:$O$35,MATCH(F27,Zones!$A$6:$A$35,0))+INDEX(Zones!$R$6:$R$35,MATCH(F27,Zones!$A$6:$A$35,0)),INDEX(Zones!$R$6:$R$35,MATCH(F27,Zones!$A$6:$A$35,0))))*ROUND(Paramètres!$B$53*B27^Paramètres!$B$54,0),0)</f>
        <v>2106</v>
      </c>
      <c r="T27" s="22" t="str">
        <f aca="false">IF(E27="Boss",G27,"—")</f>
        <v>—</v>
      </c>
      <c r="U27" s="37" t="n">
        <f aca="false">IF(E27="Dragon",0,(J27-IF(E27="Boss",1,0))*AVERAGEIFS(Monstres!$AL$7:$AL$98,Monstres!$B$7:$B$98,F27,Monstres!$G$7:$G$98,"Non"))</f>
        <v>0.585</v>
      </c>
      <c r="V27" s="74" t="n">
        <f aca="false">IF(E27="Boss",Butin!$E$10,IF(E27="Dragon",Butin!$E$11,0))</f>
        <v>0</v>
      </c>
      <c r="W27" s="37" t="n">
        <f aca="false">U27+V27</f>
        <v>0.585</v>
      </c>
      <c r="X27" s="77" t="n">
        <f aca="false">U27*INDEX(Butin!$E$15:$K$24,MATCH($A27,Éléments!$C$5:$C$14,1),1)+V27*IF(E27="Boss",INDEX(Butin!$E$28:$K$37,MATCH($A27,Éléments!$C$5:$C$14,1),1),IF(E27="Dragon",INDEX(Butin!$E$41:$K$50,MATCH($A27,Éléments!$C$5:$C$14,1),1),0))</f>
        <v>0.3042</v>
      </c>
      <c r="Y27" s="77" t="n">
        <f aca="false">U27*INDEX(Butin!$E$15:$K$24,MATCH($A27,Éléments!$C$5:$C$14,1),2)+V27*IF(E27="Boss",INDEX(Butin!$E$28:$K$37,MATCH($A27,Éléments!$C$5:$C$14,1),2),IF(E27="Dragon",INDEX(Butin!$E$41:$K$50,MATCH($A27,Éléments!$C$5:$C$14,1),2),0))</f>
        <v>0.1872</v>
      </c>
      <c r="Z27" s="77" t="n">
        <f aca="false">U27*INDEX(Butin!$E$15:$K$24,MATCH($A27,Éléments!$C$5:$C$14,1),3)+V27*IF(E27="Boss",INDEX(Butin!$E$28:$K$37,MATCH($A27,Éléments!$C$5:$C$14,1),3),IF(E27="Dragon",INDEX(Butin!$E$41:$K$50,MATCH($A27,Éléments!$C$5:$C$14,1),3),0))</f>
        <v>0.07605</v>
      </c>
      <c r="AA27" s="77" t="n">
        <f aca="false">U27*INDEX(Butin!$E$15:$K$24,MATCH($A27,Éléments!$C$5:$C$14,1),4)+V27*IF(E27="Boss",INDEX(Butin!$E$28:$K$37,MATCH($A27,Éléments!$C$5:$C$14,1),4),IF(E27="Dragon",INDEX(Butin!$E$41:$K$50,MATCH($A27,Éléments!$C$5:$C$14,1),4),0))</f>
        <v>0.01755</v>
      </c>
      <c r="AB27" s="77" t="n">
        <f aca="false">U27*INDEX(Butin!$E$15:$K$24,MATCH($A27,Éléments!$C$5:$C$14,1),5)+V27*IF(E27="Boss",INDEX(Butin!$E$28:$K$37,MATCH($A27,Éléments!$C$5:$C$14,1),5),IF(E27="Dragon",INDEX(Butin!$E$41:$K$50,MATCH($A27,Éléments!$C$5:$C$14,1),5),0))</f>
        <v>0</v>
      </c>
      <c r="AC27" s="77" t="n">
        <f aca="false">U27*INDEX(Butin!$E$15:$K$24,MATCH($A27,Éléments!$C$5:$C$14,1),6)+V27*IF(E27="Boss",INDEX(Butin!$E$28:$K$37,MATCH($A27,Éléments!$C$5:$C$14,1),6),IF(E27="Dragon",INDEX(Butin!$E$41:$K$50,MATCH($A27,Éléments!$C$5:$C$14,1),6),0))</f>
        <v>0</v>
      </c>
      <c r="AD27" s="77" t="n">
        <f aca="false">U27*INDEX(Butin!$E$15:$K$24,MATCH($A27,Éléments!$C$5:$C$14,1),7)+V27*IF(E27="Boss",INDEX(Butin!$E$28:$K$37,MATCH($A27,Éléments!$C$5:$C$14,1),7),IF(E27="Dragon",INDEX(Butin!$E$41:$K$50,MATCH($A27,Éléments!$C$5:$C$14,1),7),0))</f>
        <v>0</v>
      </c>
    </row>
    <row r="28" customFormat="false" ht="15.75" hidden="false" customHeight="true" outlineLevel="0" collapsed="false">
      <c r="A28" s="71" t="n">
        <v>23</v>
      </c>
      <c r="B28" s="23" t="n">
        <f aca="false">A28</f>
        <v>23</v>
      </c>
      <c r="C28" s="23" t="str">
        <f aca="false" t="array" ref="C28:C28">INDEX(Éléments!$B$5:$B$14,MATCH(A28,Éléments!$C$5:$C$14,1))</f>
        <v>Volcan</v>
      </c>
      <c r="D28" s="42" t="str">
        <f aca="false" t="array" ref="D28:D28">INDEX(Éléments!$A$5:$A$14,MATCH(A28,Éléments!$C$5:$C$14,1))</f>
        <v>Feu</v>
      </c>
      <c r="E28" s="23" t="str">
        <f aca="false">IF(MOD(A28,5)=0,"Boss",IF(MOD(A28,10)=9,"Dragon","Normal"))</f>
        <v>Normal</v>
      </c>
      <c r="F28" s="23" t="n">
        <f aca="false">IF(E28="Normal",5*ROUNDUP(A28/5,0),A28)</f>
        <v>25</v>
      </c>
      <c r="G28" s="22" t="str">
        <f aca="false" t="array" ref="G28:G28">INDEX(Zones!$B$6:$B$35,MATCH(F28,Zones!$A$6:$A$35,0))</f>
        <v>Océan de lave</v>
      </c>
      <c r="H28" s="22" t="str">
        <f aca="false" t="array" ref="H28:H28">IF(E28="Normal","—",INDEX(Zones!$L$6:$L$35,MATCH(F28,Zones!$A$6:$A$35,0)))</f>
        <v>—</v>
      </c>
      <c r="I28" s="27" t="n">
        <f aca="false">IF(E28="Normal",Paramètres!$B$40,IF(E28="Boss",Paramètres!$B$41,1))</f>
        <v>3</v>
      </c>
      <c r="J28" s="23" t="n">
        <f aca="false">IF(E28="Normal",Paramètres!$B$40*Paramètres!$B$39,IF(E28="Boss",(Paramètres!$B$41-1)*Paramètres!$B$39+Paramètres!$B$42+1,1))</f>
        <v>9</v>
      </c>
      <c r="K28" s="33" t="n">
        <f aca="false" t="array" ref="K28:K28">IF(E28="Normal",Paramètres!$B$40*Paramètres!$B$39*(INDEX(Zones!$M$6:$M$35,MATCH(F28,Zones!$A$6:$A$35,0))*(1-Paramètres!$B$46)),IF(E28="Boss",((Paramètres!$B$41-1)*Paramètres!$B$39+Paramètres!$B$42)*(INDEX(Zones!$M$6:$M$35,MATCH(F28,Zones!$A$6:$A$35,0))*(1-Paramètres!$B$46))+INDEX(Zones!$P$6:$P$35,MATCH(F28,Zones!$A$6:$A$35,0)),INDEX(Zones!$P$6:$P$35,MATCH(F28,Zones!$A$6:$A$35,0))))</f>
        <v>20.5875</v>
      </c>
      <c r="L28" s="27" t="n">
        <f aca="false">K28*Paramètres!$B$45+I28*Paramètres!$B$47</f>
        <v>114.9375</v>
      </c>
      <c r="M28" s="30" t="n">
        <f aca="false" t="array" ref="M28:M28">IF(E28="Dragon",0,(INDEX(Zones!$N$6:$N$35,MATCH(F28,Zones!$A$6:$A$35,0))*Paramètres!$B$34*(INDEX(Zones!$M$6:$M$35,MATCH(F28,Zones!$A$6:$A$35,0))*(1-Paramètres!$B$46))*Paramètres!$B$39*(Paramètres!$B$39+1)/2))</f>
        <v>0.1977429375</v>
      </c>
      <c r="N28" s="30" t="n">
        <f aca="false" t="array" ref="N28:N28">IF(E28="Normal",0,IF(E28="Dragon",INDEX(Zones!$Q$6:$Q$35,MATCH(F28,Zones!$A$6:$A$35,0))*Paramètres!$B$34*INDEX(Zones!$P$6:$P$35,MATCH(F28,Zones!$A$6:$A$35,0)),INDEX(Zones!$Q$6:$Q$35,MATCH(F28,Zones!$A$6:$A$35,0))*Paramètres!$B$34*(INDEX(Zones!$P$6:$P$35,MATCH(F28,Zones!$A$6:$A$35,0))+Paramètres!$B$42*(INDEX(Zones!$M$6:$M$35,MATCH(F28,Zones!$A$6:$A$35,0))*(1-Paramètres!$B$46)))+INDEX(Zones!$N$6:$N$35,MATCH(F28,Zones!$A$6:$A$35,0))*Paramètres!$B$34*(INDEX(Zones!$M$6:$M$35,MATCH(F28,Zones!$A$6:$A$35,0))*(1-Paramètres!$B$46))*(Paramètres!$B$42*(Paramètres!$B$42+1)/2)))</f>
        <v>0</v>
      </c>
      <c r="O28" s="75" t="n">
        <f aca="false">MAX(M28,N28)</f>
        <v>0.1977429375</v>
      </c>
      <c r="P28" s="36" t="n">
        <f aca="false">IF(E28="Normal",M28*Paramètres!$B$40,IF(E28="Boss",M28*(Paramètres!$B$41-1)+N28,N28))</f>
        <v>0.5932288125</v>
      </c>
      <c r="Q28" s="76" t="str">
        <f aca="false">IF(O28&gt;Paramètres!$B$37,"Trop dur","OK")</f>
        <v>OK</v>
      </c>
      <c r="R28" s="29" t="n">
        <f aca="false" t="array" ref="R28:R28">ROUND(IF(E28="Normal",J28*INDEX(Zones!$O$6:$O$35,MATCH(F28,Zones!$A$6:$A$35,0)),IF(E28="Boss",((Paramètres!$B$41-1)*Paramètres!$B$39+Paramètres!$B$42)*INDEX(Zones!$O$6:$O$35,MATCH(F28,Zones!$A$6:$A$35,0))+INDEX(Zones!$R$6:$R$35,MATCH(F28,Zones!$A$6:$A$35,0)),INDEX(Zones!$R$6:$R$35,MATCH(F28,Zones!$A$6:$A$35,0))))*ROUND(Paramètres!$B$49*B28^Paramètres!$B$50,0),0)</f>
        <v>3262</v>
      </c>
      <c r="S28" s="29" t="n">
        <f aca="false" t="array" ref="S28:S28">ROUND(IF(E28="Normal",J28*INDEX(Zones!$O$6:$O$35,MATCH(F28,Zones!$A$6:$A$35,0)),IF(E28="Boss",((Paramètres!$B$41-1)*Paramètres!$B$39+Paramètres!$B$42)*INDEX(Zones!$O$6:$O$35,MATCH(F28,Zones!$A$6:$A$35,0))+INDEX(Zones!$R$6:$R$35,MATCH(F28,Zones!$A$6:$A$35,0)),INDEX(Zones!$R$6:$R$35,MATCH(F28,Zones!$A$6:$A$35,0))))*ROUND(Paramètres!$B$53*B28^Paramètres!$B$54,0),0)</f>
        <v>2236</v>
      </c>
      <c r="T28" s="22" t="str">
        <f aca="false">IF(E28="Boss",G28,"—")</f>
        <v>—</v>
      </c>
      <c r="U28" s="37" t="n">
        <f aca="false">IF(E28="Dragon",0,(J28-IF(E28="Boss",1,0))*AVERAGEIFS(Monstres!$AL$7:$AL$98,Monstres!$B$7:$B$98,F28,Monstres!$G$7:$G$98,"Non"))</f>
        <v>0.585</v>
      </c>
      <c r="V28" s="74" t="n">
        <f aca="false">IF(E28="Boss",Butin!$E$10,IF(E28="Dragon",Butin!$E$11,0))</f>
        <v>0</v>
      </c>
      <c r="W28" s="37" t="n">
        <f aca="false">U28+V28</f>
        <v>0.585</v>
      </c>
      <c r="X28" s="77" t="n">
        <f aca="false">U28*INDEX(Butin!$E$15:$K$24,MATCH($A28,Éléments!$C$5:$C$14,1),1)+V28*IF(E28="Boss",INDEX(Butin!$E$28:$K$37,MATCH($A28,Éléments!$C$5:$C$14,1),1),IF(E28="Dragon",INDEX(Butin!$E$41:$K$50,MATCH($A28,Éléments!$C$5:$C$14,1),1),0))</f>
        <v>0.3042</v>
      </c>
      <c r="Y28" s="77" t="n">
        <f aca="false">U28*INDEX(Butin!$E$15:$K$24,MATCH($A28,Éléments!$C$5:$C$14,1),2)+V28*IF(E28="Boss",INDEX(Butin!$E$28:$K$37,MATCH($A28,Éléments!$C$5:$C$14,1),2),IF(E28="Dragon",INDEX(Butin!$E$41:$K$50,MATCH($A28,Éléments!$C$5:$C$14,1),2),0))</f>
        <v>0.1872</v>
      </c>
      <c r="Z28" s="77" t="n">
        <f aca="false">U28*INDEX(Butin!$E$15:$K$24,MATCH($A28,Éléments!$C$5:$C$14,1),3)+V28*IF(E28="Boss",INDEX(Butin!$E$28:$K$37,MATCH($A28,Éléments!$C$5:$C$14,1),3),IF(E28="Dragon",INDEX(Butin!$E$41:$K$50,MATCH($A28,Éléments!$C$5:$C$14,1),3),0))</f>
        <v>0.07605</v>
      </c>
      <c r="AA28" s="77" t="n">
        <f aca="false">U28*INDEX(Butin!$E$15:$K$24,MATCH($A28,Éléments!$C$5:$C$14,1),4)+V28*IF(E28="Boss",INDEX(Butin!$E$28:$K$37,MATCH($A28,Éléments!$C$5:$C$14,1),4),IF(E28="Dragon",INDEX(Butin!$E$41:$K$50,MATCH($A28,Éléments!$C$5:$C$14,1),4),0))</f>
        <v>0.01755</v>
      </c>
      <c r="AB28" s="77" t="n">
        <f aca="false">U28*INDEX(Butin!$E$15:$K$24,MATCH($A28,Éléments!$C$5:$C$14,1),5)+V28*IF(E28="Boss",INDEX(Butin!$E$28:$K$37,MATCH($A28,Éléments!$C$5:$C$14,1),5),IF(E28="Dragon",INDEX(Butin!$E$41:$K$50,MATCH($A28,Éléments!$C$5:$C$14,1),5),0))</f>
        <v>0</v>
      </c>
      <c r="AC28" s="77" t="n">
        <f aca="false">U28*INDEX(Butin!$E$15:$K$24,MATCH($A28,Éléments!$C$5:$C$14,1),6)+V28*IF(E28="Boss",INDEX(Butin!$E$28:$K$37,MATCH($A28,Éléments!$C$5:$C$14,1),6),IF(E28="Dragon",INDEX(Butin!$E$41:$K$50,MATCH($A28,Éléments!$C$5:$C$14,1),6),0))</f>
        <v>0</v>
      </c>
      <c r="AD28" s="77" t="n">
        <f aca="false">U28*INDEX(Butin!$E$15:$K$24,MATCH($A28,Éléments!$C$5:$C$14,1),7)+V28*IF(E28="Boss",INDEX(Butin!$E$28:$K$37,MATCH($A28,Éléments!$C$5:$C$14,1),7),IF(E28="Dragon",INDEX(Butin!$E$41:$K$50,MATCH($A28,Éléments!$C$5:$C$14,1),7),0))</f>
        <v>0</v>
      </c>
    </row>
    <row r="29" customFormat="false" ht="15.75" hidden="false" customHeight="true" outlineLevel="0" collapsed="false">
      <c r="A29" s="71" t="n">
        <v>24</v>
      </c>
      <c r="B29" s="23" t="n">
        <f aca="false">A29</f>
        <v>24</v>
      </c>
      <c r="C29" s="23" t="str">
        <f aca="false" t="array" ref="C29:C29">INDEX(Éléments!$B$5:$B$14,MATCH(A29,Éléments!$C$5:$C$14,1))</f>
        <v>Volcan</v>
      </c>
      <c r="D29" s="42" t="str">
        <f aca="false" t="array" ref="D29:D29">INDEX(Éléments!$A$5:$A$14,MATCH(A29,Éléments!$C$5:$C$14,1))</f>
        <v>Feu</v>
      </c>
      <c r="E29" s="23" t="str">
        <f aca="false">IF(MOD(A29,5)=0,"Boss",IF(MOD(A29,10)=9,"Dragon","Normal"))</f>
        <v>Normal</v>
      </c>
      <c r="F29" s="23" t="n">
        <f aca="false">IF(E29="Normal",5*ROUNDUP(A29/5,0),A29)</f>
        <v>25</v>
      </c>
      <c r="G29" s="22" t="str">
        <f aca="false" t="array" ref="G29:G29">INDEX(Zones!$B$6:$B$35,MATCH(F29,Zones!$A$6:$A$35,0))</f>
        <v>Océan de lave</v>
      </c>
      <c r="H29" s="22" t="str">
        <f aca="false" t="array" ref="H29:H29">IF(E29="Normal","—",INDEX(Zones!$L$6:$L$35,MATCH(F29,Zones!$A$6:$A$35,0)))</f>
        <v>—</v>
      </c>
      <c r="I29" s="27" t="n">
        <f aca="false">IF(E29="Normal",Paramètres!$B$40,IF(E29="Boss",Paramètres!$B$41,1))</f>
        <v>3</v>
      </c>
      <c r="J29" s="23" t="n">
        <f aca="false">IF(E29="Normal",Paramètres!$B$40*Paramètres!$B$39,IF(E29="Boss",(Paramètres!$B$41-1)*Paramètres!$B$39+Paramètres!$B$42+1,1))</f>
        <v>9</v>
      </c>
      <c r="K29" s="33" t="n">
        <f aca="false" t="array" ref="K29:K29">IF(E29="Normal",Paramètres!$B$40*Paramètres!$B$39*(INDEX(Zones!$M$6:$M$35,MATCH(F29,Zones!$A$6:$A$35,0))*(1-Paramètres!$B$46)),IF(E29="Boss",((Paramètres!$B$41-1)*Paramètres!$B$39+Paramètres!$B$42)*(INDEX(Zones!$M$6:$M$35,MATCH(F29,Zones!$A$6:$A$35,0))*(1-Paramètres!$B$46))+INDEX(Zones!$P$6:$P$35,MATCH(F29,Zones!$A$6:$A$35,0)),INDEX(Zones!$P$6:$P$35,MATCH(F29,Zones!$A$6:$A$35,0))))</f>
        <v>20.5875</v>
      </c>
      <c r="L29" s="27" t="n">
        <f aca="false">K29*Paramètres!$B$45+I29*Paramètres!$B$47</f>
        <v>114.9375</v>
      </c>
      <c r="M29" s="30" t="n">
        <f aca="false" t="array" ref="M29:M29">IF(E29="Dragon",0,(INDEX(Zones!$N$6:$N$35,MATCH(F29,Zones!$A$6:$A$35,0))*Paramètres!$B$34*(INDEX(Zones!$M$6:$M$35,MATCH(F29,Zones!$A$6:$A$35,0))*(1-Paramètres!$B$46))*Paramètres!$B$39*(Paramètres!$B$39+1)/2))</f>
        <v>0.1977429375</v>
      </c>
      <c r="N29" s="30" t="n">
        <f aca="false" t="array" ref="N29:N29">IF(E29="Normal",0,IF(E29="Dragon",INDEX(Zones!$Q$6:$Q$35,MATCH(F29,Zones!$A$6:$A$35,0))*Paramètres!$B$34*INDEX(Zones!$P$6:$P$35,MATCH(F29,Zones!$A$6:$A$35,0)),INDEX(Zones!$Q$6:$Q$35,MATCH(F29,Zones!$A$6:$A$35,0))*Paramètres!$B$34*(INDEX(Zones!$P$6:$P$35,MATCH(F29,Zones!$A$6:$A$35,0))+Paramètres!$B$42*(INDEX(Zones!$M$6:$M$35,MATCH(F29,Zones!$A$6:$A$35,0))*(1-Paramètres!$B$46)))+INDEX(Zones!$N$6:$N$35,MATCH(F29,Zones!$A$6:$A$35,0))*Paramètres!$B$34*(INDEX(Zones!$M$6:$M$35,MATCH(F29,Zones!$A$6:$A$35,0))*(1-Paramètres!$B$46))*(Paramètres!$B$42*(Paramètres!$B$42+1)/2)))</f>
        <v>0</v>
      </c>
      <c r="O29" s="75" t="n">
        <f aca="false">MAX(M29,N29)</f>
        <v>0.1977429375</v>
      </c>
      <c r="P29" s="36" t="n">
        <f aca="false">IF(E29="Normal",M29*Paramètres!$B$40,IF(E29="Boss",M29*(Paramètres!$B$41-1)+N29,N29))</f>
        <v>0.5932288125</v>
      </c>
      <c r="Q29" s="76" t="str">
        <f aca="false">IF(O29&gt;Paramètres!$B$37,"Trop dur","OK")</f>
        <v>OK</v>
      </c>
      <c r="R29" s="29" t="n">
        <f aca="false" t="array" ref="R29:R29">ROUND(IF(E29="Normal",J29*INDEX(Zones!$O$6:$O$35,MATCH(F29,Zones!$A$6:$A$35,0)),IF(E29="Boss",((Paramètres!$B$41-1)*Paramètres!$B$39+Paramètres!$B$42)*INDEX(Zones!$O$6:$O$35,MATCH(F29,Zones!$A$6:$A$35,0))+INDEX(Zones!$R$6:$R$35,MATCH(F29,Zones!$A$6:$A$35,0)),INDEX(Zones!$R$6:$R$35,MATCH(F29,Zones!$A$6:$A$35,0))))*ROUND(Paramètres!$B$49*B29^Paramètres!$B$50,0),0)</f>
        <v>3445</v>
      </c>
      <c r="S29" s="29" t="n">
        <f aca="false" t="array" ref="S29:S29">ROUND(IF(E29="Normal",J29*INDEX(Zones!$O$6:$O$35,MATCH(F29,Zones!$A$6:$A$35,0)),IF(E29="Boss",((Paramètres!$B$41-1)*Paramètres!$B$39+Paramètres!$B$42)*INDEX(Zones!$O$6:$O$35,MATCH(F29,Zones!$A$6:$A$35,0))+INDEX(Zones!$R$6:$R$35,MATCH(F29,Zones!$A$6:$A$35,0)),INDEX(Zones!$R$6:$R$35,MATCH(F29,Zones!$A$6:$A$35,0))))*ROUND(Paramètres!$B$53*B29^Paramètres!$B$54,0),0)</f>
        <v>2365</v>
      </c>
      <c r="T29" s="22" t="str">
        <f aca="false">IF(E29="Boss",G29,"—")</f>
        <v>—</v>
      </c>
      <c r="U29" s="37" t="n">
        <f aca="false">IF(E29="Dragon",0,(J29-IF(E29="Boss",1,0))*AVERAGEIFS(Monstres!$AL$7:$AL$98,Monstres!$B$7:$B$98,F29,Monstres!$G$7:$G$98,"Non"))</f>
        <v>0.585</v>
      </c>
      <c r="V29" s="74" t="n">
        <f aca="false">IF(E29="Boss",Butin!$E$10,IF(E29="Dragon",Butin!$E$11,0))</f>
        <v>0</v>
      </c>
      <c r="W29" s="37" t="n">
        <f aca="false">U29+V29</f>
        <v>0.585</v>
      </c>
      <c r="X29" s="77" t="n">
        <f aca="false">U29*INDEX(Butin!$E$15:$K$24,MATCH($A29,Éléments!$C$5:$C$14,1),1)+V29*IF(E29="Boss",INDEX(Butin!$E$28:$K$37,MATCH($A29,Éléments!$C$5:$C$14,1),1),IF(E29="Dragon",INDEX(Butin!$E$41:$K$50,MATCH($A29,Éléments!$C$5:$C$14,1),1),0))</f>
        <v>0.3042</v>
      </c>
      <c r="Y29" s="77" t="n">
        <f aca="false">U29*INDEX(Butin!$E$15:$K$24,MATCH($A29,Éléments!$C$5:$C$14,1),2)+V29*IF(E29="Boss",INDEX(Butin!$E$28:$K$37,MATCH($A29,Éléments!$C$5:$C$14,1),2),IF(E29="Dragon",INDEX(Butin!$E$41:$K$50,MATCH($A29,Éléments!$C$5:$C$14,1),2),0))</f>
        <v>0.1872</v>
      </c>
      <c r="Z29" s="77" t="n">
        <f aca="false">U29*INDEX(Butin!$E$15:$K$24,MATCH($A29,Éléments!$C$5:$C$14,1),3)+V29*IF(E29="Boss",INDEX(Butin!$E$28:$K$37,MATCH($A29,Éléments!$C$5:$C$14,1),3),IF(E29="Dragon",INDEX(Butin!$E$41:$K$50,MATCH($A29,Éléments!$C$5:$C$14,1),3),0))</f>
        <v>0.07605</v>
      </c>
      <c r="AA29" s="77" t="n">
        <f aca="false">U29*INDEX(Butin!$E$15:$K$24,MATCH($A29,Éléments!$C$5:$C$14,1),4)+V29*IF(E29="Boss",INDEX(Butin!$E$28:$K$37,MATCH($A29,Éléments!$C$5:$C$14,1),4),IF(E29="Dragon",INDEX(Butin!$E$41:$K$50,MATCH($A29,Éléments!$C$5:$C$14,1),4),0))</f>
        <v>0.01755</v>
      </c>
      <c r="AB29" s="77" t="n">
        <f aca="false">U29*INDEX(Butin!$E$15:$K$24,MATCH($A29,Éléments!$C$5:$C$14,1),5)+V29*IF(E29="Boss",INDEX(Butin!$E$28:$K$37,MATCH($A29,Éléments!$C$5:$C$14,1),5),IF(E29="Dragon",INDEX(Butin!$E$41:$K$50,MATCH($A29,Éléments!$C$5:$C$14,1),5),0))</f>
        <v>0</v>
      </c>
      <c r="AC29" s="77" t="n">
        <f aca="false">U29*INDEX(Butin!$E$15:$K$24,MATCH($A29,Éléments!$C$5:$C$14,1),6)+V29*IF(E29="Boss",INDEX(Butin!$E$28:$K$37,MATCH($A29,Éléments!$C$5:$C$14,1),6),IF(E29="Dragon",INDEX(Butin!$E$41:$K$50,MATCH($A29,Éléments!$C$5:$C$14,1),6),0))</f>
        <v>0</v>
      </c>
      <c r="AD29" s="77" t="n">
        <f aca="false">U29*INDEX(Butin!$E$15:$K$24,MATCH($A29,Éléments!$C$5:$C$14,1),7)+V29*IF(E29="Boss",INDEX(Butin!$E$28:$K$37,MATCH($A29,Éléments!$C$5:$C$14,1),7),IF(E29="Dragon",INDEX(Butin!$E$41:$K$50,MATCH($A29,Éléments!$C$5:$C$14,1),7),0))</f>
        <v>0</v>
      </c>
    </row>
    <row r="30" customFormat="false" ht="15.75" hidden="false" customHeight="true" outlineLevel="0" collapsed="false">
      <c r="A30" s="71" t="n">
        <v>25</v>
      </c>
      <c r="B30" s="23" t="n">
        <f aca="false">A30</f>
        <v>25</v>
      </c>
      <c r="C30" s="23" t="str">
        <f aca="false" t="array" ref="C30:C30">INDEX(Éléments!$B$5:$B$14,MATCH(A30,Éléments!$C$5:$C$14,1))</f>
        <v>Volcan</v>
      </c>
      <c r="D30" s="42" t="str">
        <f aca="false" t="array" ref="D30:D30">INDEX(Éléments!$A$5:$A$14,MATCH(A30,Éléments!$C$5:$C$14,1))</f>
        <v>Feu</v>
      </c>
      <c r="E30" s="23" t="str">
        <f aca="false">IF(MOD(A30,5)=0,"Boss",IF(MOD(A30,10)=9,"Dragon","Normal"))</f>
        <v>Boss</v>
      </c>
      <c r="F30" s="23" t="n">
        <f aca="false">IF(E30="Normal",5*ROUNDUP(A30/5,0),A30)</f>
        <v>25</v>
      </c>
      <c r="G30" s="22" t="str">
        <f aca="false" t="array" ref="G30:G30">INDEX(Zones!$B$6:$B$35,MATCH(F30,Zones!$A$6:$A$35,0))</f>
        <v>Océan de lave</v>
      </c>
      <c r="H30" s="22" t="str">
        <f aca="false" t="array" ref="H30:H30">IF(E30="Normal","—",INDEX(Zones!$L$6:$L$35,MATCH(F30,Zones!$A$6:$A$35,0)))</f>
        <v>Malphite</v>
      </c>
      <c r="I30" s="27" t="n">
        <f aca="false">IF(E30="Normal",Paramètres!$B$40,IF(E30="Boss",Paramètres!$B$41,1))</f>
        <v>5</v>
      </c>
      <c r="J30" s="27" t="n">
        <f aca="false">IF(E30="Normal",Paramètres!$B$40*Paramètres!$B$39,IF(E30="Boss",(Paramètres!$B$41-1)*Paramètres!$B$39+Paramètres!$B$42+1,1))</f>
        <v>15</v>
      </c>
      <c r="K30" s="33" t="n">
        <f aca="false" t="array" ref="K30:K30">IF(E30="Normal",Paramètres!$B$40*Paramètres!$B$39*(INDEX(Zones!$M$6:$M$35,MATCH(F30,Zones!$A$6:$A$35,0))*(1-Paramètres!$B$46)),IF(E30="Boss",((Paramètres!$B$41-1)*Paramètres!$B$39+Paramètres!$B$42)*(INDEX(Zones!$M$6:$M$35,MATCH(F30,Zones!$A$6:$A$35,0))*(1-Paramètres!$B$46))+INDEX(Zones!$P$6:$P$35,MATCH(F30,Zones!$A$6:$A$35,0)),INDEX(Zones!$P$6:$P$35,MATCH(F30,Zones!$A$6:$A$35,0))))</f>
        <v>50.025</v>
      </c>
      <c r="L30" s="27" t="n">
        <f aca="false">K30*Paramètres!$B$45+I30*Paramètres!$B$47</f>
        <v>270.125</v>
      </c>
      <c r="M30" s="30" t="n">
        <f aca="false" t="array" ref="M30:M30">IF(E30="Dragon",0,(INDEX(Zones!$N$6:$N$35,MATCH(F30,Zones!$A$6:$A$35,0))*Paramètres!$B$34*(INDEX(Zones!$M$6:$M$35,MATCH(F30,Zones!$A$6:$A$35,0))*(1-Paramètres!$B$46))*Paramètres!$B$39*(Paramètres!$B$39+1)/2))</f>
        <v>0.1977429375</v>
      </c>
      <c r="N30" s="30" t="n">
        <f aca="false" t="array" ref="N30:N30">IF(E30="Normal",0,IF(E30="Dragon",INDEX(Zones!$Q$6:$Q$35,MATCH(F30,Zones!$A$6:$A$35,0))*Paramètres!$B$34*INDEX(Zones!$P$6:$P$35,MATCH(F30,Zones!$A$6:$A$35,0)),INDEX(Zones!$Q$6:$Q$35,MATCH(F30,Zones!$A$6:$A$35,0))*Paramètres!$B$34*(INDEX(Zones!$P$6:$P$35,MATCH(F30,Zones!$A$6:$A$35,0))+Paramètres!$B$42*(INDEX(Zones!$M$6:$M$35,MATCH(F30,Zones!$A$6:$A$35,0))*(1-Paramètres!$B$46)))+INDEX(Zones!$N$6:$N$35,MATCH(F30,Zones!$A$6:$A$35,0))*Paramètres!$B$34*(INDEX(Zones!$M$6:$M$35,MATCH(F30,Zones!$A$6:$A$35,0))*(1-Paramètres!$B$46))*(Paramètres!$B$42*(Paramètres!$B$42+1)/2)))</f>
        <v>0.64575084375</v>
      </c>
      <c r="O30" s="75" t="n">
        <f aca="false">MAX(M30,N30)</f>
        <v>0.64575084375</v>
      </c>
      <c r="P30" s="36" t="n">
        <f aca="false">IF(E30="Normal",M30*Paramètres!$B$40,IF(E30="Boss",M30*(Paramètres!$B$41-1)+N30,N30))</f>
        <v>1.43672259375</v>
      </c>
      <c r="Q30" s="76" t="str">
        <f aca="false">IF(O30&gt;Paramètres!$B$37,"Trop dur","OK")</f>
        <v>OK</v>
      </c>
      <c r="R30" s="29" t="n">
        <f aca="false" t="array" ref="R30:R30">ROUND(IF(E30="Normal",J30*INDEX(Zones!$O$6:$O$35,MATCH(F30,Zones!$A$6:$A$35,0)),IF(E30="Boss",((Paramètres!$B$41-1)*Paramètres!$B$39+Paramètres!$B$42)*INDEX(Zones!$O$6:$O$35,MATCH(F30,Zones!$A$6:$A$35,0))+INDEX(Zones!$R$6:$R$35,MATCH(F30,Zones!$A$6:$A$35,0)),INDEX(Zones!$R$6:$R$35,MATCH(F30,Zones!$A$6:$A$35,0))))*ROUND(Paramètres!$B$49*B30^Paramètres!$B$50,0),0)</f>
        <v>8308</v>
      </c>
      <c r="S30" s="29" t="n">
        <f aca="false" t="array" ref="S30:S30">ROUND(IF(E30="Normal",J30*INDEX(Zones!$O$6:$O$35,MATCH(F30,Zones!$A$6:$A$35,0)),IF(E30="Boss",((Paramètres!$B$41-1)*Paramètres!$B$39+Paramètres!$B$42)*INDEX(Zones!$O$6:$O$35,MATCH(F30,Zones!$A$6:$A$35,0))+INDEX(Zones!$R$6:$R$35,MATCH(F30,Zones!$A$6:$A$35,0)),INDEX(Zones!$R$6:$R$35,MATCH(F30,Zones!$A$6:$A$35,0))))*ROUND(Paramètres!$B$53*B30^Paramètres!$B$54,0),0)</f>
        <v>5729</v>
      </c>
      <c r="T30" s="22" t="str">
        <f aca="false">IF(E30="Boss",G30,"—")</f>
        <v>Océan de lave</v>
      </c>
      <c r="U30" s="37" t="n">
        <f aca="false">IF(E30="Dragon",0,(J30-IF(E30="Boss",1,0))*AVERAGEIFS(Monstres!$AL$7:$AL$98,Monstres!$B$7:$B$98,F30,Monstres!$G$7:$G$98,"Non"))</f>
        <v>0.91</v>
      </c>
      <c r="V30" s="74" t="n">
        <f aca="false">IF(E30="Boss",Butin!$E$10,IF(E30="Dragon",Butin!$E$11,0))</f>
        <v>1.4</v>
      </c>
      <c r="W30" s="37" t="n">
        <f aca="false">U30+V30</f>
        <v>2.31</v>
      </c>
      <c r="X30" s="77" t="n">
        <f aca="false">U30*INDEX(Butin!$E$15:$K$24,MATCH($A30,Éléments!$C$5:$C$14,1),1)+V30*IF(E30="Boss",INDEX(Butin!$E$28:$K$37,MATCH($A30,Éléments!$C$5:$C$14,1),1),IF(E30="Dragon",INDEX(Butin!$E$41:$K$50,MATCH($A30,Éléments!$C$5:$C$14,1),1),0))</f>
        <v>0.7252</v>
      </c>
      <c r="Y30" s="77" t="n">
        <f aca="false">U30*INDEX(Butin!$E$15:$K$24,MATCH($A30,Éléments!$C$5:$C$14,1),2)+V30*IF(E30="Boss",INDEX(Butin!$E$28:$K$37,MATCH($A30,Éléments!$C$5:$C$14,1),2),IF(E30="Dragon",INDEX(Butin!$E$41:$K$50,MATCH($A30,Éléments!$C$5:$C$14,1),2),0))</f>
        <v>0.7392</v>
      </c>
      <c r="Z30" s="77" t="n">
        <f aca="false">U30*INDEX(Butin!$E$15:$K$24,MATCH($A30,Éléments!$C$5:$C$14,1),3)+V30*IF(E30="Boss",INDEX(Butin!$E$28:$K$37,MATCH($A30,Éléments!$C$5:$C$14,1),3),IF(E30="Dragon",INDEX(Butin!$E$41:$K$50,MATCH($A30,Éléments!$C$5:$C$14,1),3),0))</f>
        <v>0.5383</v>
      </c>
      <c r="AA30" s="77" t="n">
        <f aca="false">U30*INDEX(Butin!$E$15:$K$24,MATCH($A30,Éléments!$C$5:$C$14,1),4)+V30*IF(E30="Boss",INDEX(Butin!$E$28:$K$37,MATCH($A30,Éléments!$C$5:$C$14,1),4),IF(E30="Dragon",INDEX(Butin!$E$41:$K$50,MATCH($A30,Éléments!$C$5:$C$14,1),4),0))</f>
        <v>0.2233</v>
      </c>
      <c r="AB30" s="77" t="n">
        <f aca="false">U30*INDEX(Butin!$E$15:$K$24,MATCH($A30,Éléments!$C$5:$C$14,1),5)+V30*IF(E30="Boss",INDEX(Butin!$E$28:$K$37,MATCH($A30,Éléments!$C$5:$C$14,1),5),IF(E30="Dragon",INDEX(Butin!$E$41:$K$50,MATCH($A30,Éléments!$C$5:$C$14,1),5),0))</f>
        <v>0.042</v>
      </c>
      <c r="AC30" s="77" t="n">
        <f aca="false">U30*INDEX(Butin!$E$15:$K$24,MATCH($A30,Éléments!$C$5:$C$14,1),6)+V30*IF(E30="Boss",INDEX(Butin!$E$28:$K$37,MATCH($A30,Éléments!$C$5:$C$14,1),6),IF(E30="Dragon",INDEX(Butin!$E$41:$K$50,MATCH($A30,Éléments!$C$5:$C$14,1),6),0))</f>
        <v>0</v>
      </c>
      <c r="AD30" s="77" t="n">
        <f aca="false">U30*INDEX(Butin!$E$15:$K$24,MATCH($A30,Éléments!$C$5:$C$14,1),7)+V30*IF(E30="Boss",INDEX(Butin!$E$28:$K$37,MATCH($A30,Éléments!$C$5:$C$14,1),7),IF(E30="Dragon",INDEX(Butin!$E$41:$K$50,MATCH($A30,Éléments!$C$5:$C$14,1),7),0))</f>
        <v>0.042</v>
      </c>
    </row>
    <row r="31" customFormat="false" ht="15.75" hidden="false" customHeight="true" outlineLevel="0" collapsed="false">
      <c r="A31" s="71" t="n">
        <v>26</v>
      </c>
      <c r="B31" s="23" t="n">
        <f aca="false">A31</f>
        <v>26</v>
      </c>
      <c r="C31" s="23" t="str">
        <f aca="false" t="array" ref="C31:C31">INDEX(Éléments!$B$5:$B$14,MATCH(A31,Éléments!$C$5:$C$14,1))</f>
        <v>Volcan</v>
      </c>
      <c r="D31" s="42" t="str">
        <f aca="false" t="array" ref="D31:D31">INDEX(Éléments!$A$5:$A$14,MATCH(A31,Éléments!$C$5:$C$14,1))</f>
        <v>Feu</v>
      </c>
      <c r="E31" s="23" t="str">
        <f aca="false">IF(MOD(A31,5)=0,"Boss",IF(MOD(A31,10)=9,"Dragon","Normal"))</f>
        <v>Normal</v>
      </c>
      <c r="F31" s="23" t="n">
        <f aca="false">IF(E31="Normal",5*ROUNDUP(A31/5,0),A31)</f>
        <v>30</v>
      </c>
      <c r="G31" s="22" t="str">
        <f aca="false" t="array" ref="G31:G31">INDEX(Zones!$B$6:$B$35,MATCH(F31,Zones!$A$6:$A$35,0))</f>
        <v>Cœur du volcan</v>
      </c>
      <c r="H31" s="22" t="str">
        <f aca="false" t="array" ref="H31:H31">IF(E31="Normal","—",INDEX(Zones!$L$6:$L$35,MATCH(F31,Zones!$A$6:$A$35,0)))</f>
        <v>—</v>
      </c>
      <c r="I31" s="27" t="n">
        <f aca="false">IF(E31="Normal",Paramètres!$B$40,IF(E31="Boss",Paramètres!$B$41,1))</f>
        <v>3</v>
      </c>
      <c r="J31" s="23" t="n">
        <f aca="false">IF(E31="Normal",Paramètres!$B$40*Paramètres!$B$39,IF(E31="Boss",(Paramètres!$B$41-1)*Paramètres!$B$39+Paramètres!$B$42+1,1))</f>
        <v>9</v>
      </c>
      <c r="K31" s="33" t="n">
        <f aca="false" t="array" ref="K31:K31">IF(E31="Normal",Paramètres!$B$40*Paramètres!$B$39*(INDEX(Zones!$M$6:$M$35,MATCH(F31,Zones!$A$6:$A$35,0))*(1-Paramètres!$B$46)),IF(E31="Boss",((Paramètres!$B$41-1)*Paramètres!$B$39+Paramètres!$B$42)*(INDEX(Zones!$M$6:$M$35,MATCH(F31,Zones!$A$6:$A$35,0))*(1-Paramètres!$B$46))+INDEX(Zones!$P$6:$P$35,MATCH(F31,Zones!$A$6:$A$35,0)),INDEX(Zones!$P$6:$P$35,MATCH(F31,Zones!$A$6:$A$35,0))))</f>
        <v>11.3175</v>
      </c>
      <c r="L31" s="27" t="n">
        <f aca="false">K31*Paramètres!$B$45+I31*Paramètres!$B$47</f>
        <v>68.5875</v>
      </c>
      <c r="M31" s="30" t="n">
        <f aca="false" t="array" ref="M31:M31">IF(E31="Dragon",0,(INDEX(Zones!$N$6:$N$35,MATCH(F31,Zones!$A$6:$A$35,0))*Paramètres!$B$34*(INDEX(Zones!$M$6:$M$35,MATCH(F31,Zones!$A$6:$A$35,0))*(1-Paramètres!$B$46))*Paramètres!$B$39*(Paramètres!$B$39+1)/2))</f>
        <v>0.09790895</v>
      </c>
      <c r="N31" s="30" t="n">
        <f aca="false" t="array" ref="N31:N31">IF(E31="Normal",0,IF(E31="Dragon",INDEX(Zones!$Q$6:$Q$35,MATCH(F31,Zones!$A$6:$A$35,0))*Paramètres!$B$34*INDEX(Zones!$P$6:$P$35,MATCH(F31,Zones!$A$6:$A$35,0)),INDEX(Zones!$Q$6:$Q$35,MATCH(F31,Zones!$A$6:$A$35,0))*Paramètres!$B$34*(INDEX(Zones!$P$6:$P$35,MATCH(F31,Zones!$A$6:$A$35,0))+Paramètres!$B$42*(INDEX(Zones!$M$6:$M$35,MATCH(F31,Zones!$A$6:$A$35,0))*(1-Paramètres!$B$46)))+INDEX(Zones!$N$6:$N$35,MATCH(F31,Zones!$A$6:$A$35,0))*Paramètres!$B$34*(INDEX(Zones!$M$6:$M$35,MATCH(F31,Zones!$A$6:$A$35,0))*(1-Paramètres!$B$46))*(Paramètres!$B$42*(Paramètres!$B$42+1)/2)))</f>
        <v>0</v>
      </c>
      <c r="O31" s="75" t="n">
        <f aca="false">MAX(M31,N31)</f>
        <v>0.09790895</v>
      </c>
      <c r="P31" s="36" t="n">
        <f aca="false">IF(E31="Normal",M31*Paramètres!$B$40,IF(E31="Boss",M31*(Paramètres!$B$41-1)+N31,N31))</f>
        <v>0.29372685</v>
      </c>
      <c r="Q31" s="76" t="str">
        <f aca="false">IF(O31&gt;Paramètres!$B$37,"Trop dur","OK")</f>
        <v>OK</v>
      </c>
      <c r="R31" s="29" t="n">
        <f aca="false" t="array" ref="R31:R31">ROUND(IF(E31="Normal",J31*INDEX(Zones!$O$6:$O$35,MATCH(F31,Zones!$A$6:$A$35,0)),IF(E31="Boss",((Paramètres!$B$41-1)*Paramètres!$B$39+Paramètres!$B$42)*INDEX(Zones!$O$6:$O$35,MATCH(F31,Zones!$A$6:$A$35,0))+INDEX(Zones!$R$6:$R$35,MATCH(F31,Zones!$A$6:$A$35,0)),INDEX(Zones!$R$6:$R$35,MATCH(F31,Zones!$A$6:$A$35,0))))*ROUND(Paramètres!$B$49*B31^Paramètres!$B$50,0),0)</f>
        <v>2851</v>
      </c>
      <c r="S31" s="29" t="n">
        <f aca="false" t="array" ref="S31:S31">ROUND(IF(E31="Normal",J31*INDEX(Zones!$O$6:$O$35,MATCH(F31,Zones!$A$6:$A$35,0)),IF(E31="Boss",((Paramètres!$B$41-1)*Paramètres!$B$39+Paramètres!$B$42)*INDEX(Zones!$O$6:$O$35,MATCH(F31,Zones!$A$6:$A$35,0))+INDEX(Zones!$R$6:$R$35,MATCH(F31,Zones!$A$6:$A$35,0)),INDEX(Zones!$R$6:$R$35,MATCH(F31,Zones!$A$6:$A$35,0))))*ROUND(Paramètres!$B$53*B31^Paramètres!$B$54,0),0)</f>
        <v>1976</v>
      </c>
      <c r="T31" s="22" t="str">
        <f aca="false">IF(E31="Boss",G31,"—")</f>
        <v>—</v>
      </c>
      <c r="U31" s="37" t="n">
        <f aca="false">IF(E31="Dragon",0,(J31-IF(E31="Boss",1,0))*AVERAGEIFS(Monstres!$AL$7:$AL$98,Monstres!$B$7:$B$98,F31,Monstres!$G$7:$G$98,"Non"))</f>
        <v>0.39</v>
      </c>
      <c r="V31" s="74" t="n">
        <f aca="false">IF(E31="Boss",Butin!$E$10,IF(E31="Dragon",Butin!$E$11,0))</f>
        <v>0</v>
      </c>
      <c r="W31" s="37" t="n">
        <f aca="false">U31+V31</f>
        <v>0.39</v>
      </c>
      <c r="X31" s="77" t="n">
        <f aca="false">U31*INDEX(Butin!$E$15:$K$24,MATCH($A31,Éléments!$C$5:$C$14,1),1)+V31*IF(E31="Boss",INDEX(Butin!$E$28:$K$37,MATCH($A31,Éléments!$C$5:$C$14,1),1),IF(E31="Dragon",INDEX(Butin!$E$41:$K$50,MATCH($A31,Éléments!$C$5:$C$14,1),1),0))</f>
        <v>0.2028</v>
      </c>
      <c r="Y31" s="77" t="n">
        <f aca="false">U31*INDEX(Butin!$E$15:$K$24,MATCH($A31,Éléments!$C$5:$C$14,1),2)+V31*IF(E31="Boss",INDEX(Butin!$E$28:$K$37,MATCH($A31,Éléments!$C$5:$C$14,1),2),IF(E31="Dragon",INDEX(Butin!$E$41:$K$50,MATCH($A31,Éléments!$C$5:$C$14,1),2),0))</f>
        <v>0.1248</v>
      </c>
      <c r="Z31" s="77" t="n">
        <f aca="false">U31*INDEX(Butin!$E$15:$K$24,MATCH($A31,Éléments!$C$5:$C$14,1),3)+V31*IF(E31="Boss",INDEX(Butin!$E$28:$K$37,MATCH($A31,Éléments!$C$5:$C$14,1),3),IF(E31="Dragon",INDEX(Butin!$E$41:$K$50,MATCH($A31,Éléments!$C$5:$C$14,1),3),0))</f>
        <v>0.0507</v>
      </c>
      <c r="AA31" s="77" t="n">
        <f aca="false">U31*INDEX(Butin!$E$15:$K$24,MATCH($A31,Éléments!$C$5:$C$14,1),4)+V31*IF(E31="Boss",INDEX(Butin!$E$28:$K$37,MATCH($A31,Éléments!$C$5:$C$14,1),4),IF(E31="Dragon",INDEX(Butin!$E$41:$K$50,MATCH($A31,Éléments!$C$5:$C$14,1),4),0))</f>
        <v>0.0117</v>
      </c>
      <c r="AB31" s="77" t="n">
        <f aca="false">U31*INDEX(Butin!$E$15:$K$24,MATCH($A31,Éléments!$C$5:$C$14,1),5)+V31*IF(E31="Boss",INDEX(Butin!$E$28:$K$37,MATCH($A31,Éléments!$C$5:$C$14,1),5),IF(E31="Dragon",INDEX(Butin!$E$41:$K$50,MATCH($A31,Éléments!$C$5:$C$14,1),5),0))</f>
        <v>0</v>
      </c>
      <c r="AC31" s="77" t="n">
        <f aca="false">U31*INDEX(Butin!$E$15:$K$24,MATCH($A31,Éléments!$C$5:$C$14,1),6)+V31*IF(E31="Boss",INDEX(Butin!$E$28:$K$37,MATCH($A31,Éléments!$C$5:$C$14,1),6),IF(E31="Dragon",INDEX(Butin!$E$41:$K$50,MATCH($A31,Éléments!$C$5:$C$14,1),6),0))</f>
        <v>0</v>
      </c>
      <c r="AD31" s="77" t="n">
        <f aca="false">U31*INDEX(Butin!$E$15:$K$24,MATCH($A31,Éléments!$C$5:$C$14,1),7)+V31*IF(E31="Boss",INDEX(Butin!$E$28:$K$37,MATCH($A31,Éléments!$C$5:$C$14,1),7),IF(E31="Dragon",INDEX(Butin!$E$41:$K$50,MATCH($A31,Éléments!$C$5:$C$14,1),7),0))</f>
        <v>0</v>
      </c>
    </row>
    <row r="32" customFormat="false" ht="15.75" hidden="false" customHeight="true" outlineLevel="0" collapsed="false">
      <c r="A32" s="71" t="n">
        <v>27</v>
      </c>
      <c r="B32" s="23" t="n">
        <f aca="false">A32</f>
        <v>27</v>
      </c>
      <c r="C32" s="23" t="str">
        <f aca="false" t="array" ref="C32:C32">INDEX(Éléments!$B$5:$B$14,MATCH(A32,Éléments!$C$5:$C$14,1))</f>
        <v>Volcan</v>
      </c>
      <c r="D32" s="42" t="str">
        <f aca="false" t="array" ref="D32:D32">INDEX(Éléments!$A$5:$A$14,MATCH(A32,Éléments!$C$5:$C$14,1))</f>
        <v>Feu</v>
      </c>
      <c r="E32" s="23" t="str">
        <f aca="false">IF(MOD(A32,5)=0,"Boss",IF(MOD(A32,10)=9,"Dragon","Normal"))</f>
        <v>Normal</v>
      </c>
      <c r="F32" s="23" t="n">
        <f aca="false">IF(E32="Normal",5*ROUNDUP(A32/5,0),A32)</f>
        <v>30</v>
      </c>
      <c r="G32" s="22" t="str">
        <f aca="false" t="array" ref="G32:G32">INDEX(Zones!$B$6:$B$35,MATCH(F32,Zones!$A$6:$A$35,0))</f>
        <v>Cœur du volcan</v>
      </c>
      <c r="H32" s="22" t="str">
        <f aca="false" t="array" ref="H32:H32">IF(E32="Normal","—",INDEX(Zones!$L$6:$L$35,MATCH(F32,Zones!$A$6:$A$35,0)))</f>
        <v>—</v>
      </c>
      <c r="I32" s="27" t="n">
        <f aca="false">IF(E32="Normal",Paramètres!$B$40,IF(E32="Boss",Paramètres!$B$41,1))</f>
        <v>3</v>
      </c>
      <c r="J32" s="23" t="n">
        <f aca="false">IF(E32="Normal",Paramètres!$B$40*Paramètres!$B$39,IF(E32="Boss",(Paramètres!$B$41-1)*Paramètres!$B$39+Paramètres!$B$42+1,1))</f>
        <v>9</v>
      </c>
      <c r="K32" s="33" t="n">
        <f aca="false" t="array" ref="K32:K32">IF(E32="Normal",Paramètres!$B$40*Paramètres!$B$39*(INDEX(Zones!$M$6:$M$35,MATCH(F32,Zones!$A$6:$A$35,0))*(1-Paramètres!$B$46)),IF(E32="Boss",((Paramètres!$B$41-1)*Paramètres!$B$39+Paramètres!$B$42)*(INDEX(Zones!$M$6:$M$35,MATCH(F32,Zones!$A$6:$A$35,0))*(1-Paramètres!$B$46))+INDEX(Zones!$P$6:$P$35,MATCH(F32,Zones!$A$6:$A$35,0)),INDEX(Zones!$P$6:$P$35,MATCH(F32,Zones!$A$6:$A$35,0))))</f>
        <v>11.3175</v>
      </c>
      <c r="L32" s="27" t="n">
        <f aca="false">K32*Paramètres!$B$45+I32*Paramètres!$B$47</f>
        <v>68.5875</v>
      </c>
      <c r="M32" s="30" t="n">
        <f aca="false" t="array" ref="M32:M32">IF(E32="Dragon",0,(INDEX(Zones!$N$6:$N$35,MATCH(F32,Zones!$A$6:$A$35,0))*Paramètres!$B$34*(INDEX(Zones!$M$6:$M$35,MATCH(F32,Zones!$A$6:$A$35,0))*(1-Paramètres!$B$46))*Paramètres!$B$39*(Paramètres!$B$39+1)/2))</f>
        <v>0.09790895</v>
      </c>
      <c r="N32" s="30" t="n">
        <f aca="false" t="array" ref="N32:N32">IF(E32="Normal",0,IF(E32="Dragon",INDEX(Zones!$Q$6:$Q$35,MATCH(F32,Zones!$A$6:$A$35,0))*Paramètres!$B$34*INDEX(Zones!$P$6:$P$35,MATCH(F32,Zones!$A$6:$A$35,0)),INDEX(Zones!$Q$6:$Q$35,MATCH(F32,Zones!$A$6:$A$35,0))*Paramètres!$B$34*(INDEX(Zones!$P$6:$P$35,MATCH(F32,Zones!$A$6:$A$35,0))+Paramètres!$B$42*(INDEX(Zones!$M$6:$M$35,MATCH(F32,Zones!$A$6:$A$35,0))*(1-Paramètres!$B$46)))+INDEX(Zones!$N$6:$N$35,MATCH(F32,Zones!$A$6:$A$35,0))*Paramètres!$B$34*(INDEX(Zones!$M$6:$M$35,MATCH(F32,Zones!$A$6:$A$35,0))*(1-Paramètres!$B$46))*(Paramètres!$B$42*(Paramètres!$B$42+1)/2)))</f>
        <v>0</v>
      </c>
      <c r="O32" s="75" t="n">
        <f aca="false">MAX(M32,N32)</f>
        <v>0.09790895</v>
      </c>
      <c r="P32" s="36" t="n">
        <f aca="false">IF(E32="Normal",M32*Paramètres!$B$40,IF(E32="Boss",M32*(Paramètres!$B$41-1)+N32,N32))</f>
        <v>0.29372685</v>
      </c>
      <c r="Q32" s="76" t="str">
        <f aca="false">IF(O32&gt;Paramètres!$B$37,"Trop dur","OK")</f>
        <v>OK</v>
      </c>
      <c r="R32" s="29" t="n">
        <f aca="false" t="array" ref="R32:R32">ROUND(IF(E32="Normal",J32*INDEX(Zones!$O$6:$O$35,MATCH(F32,Zones!$A$6:$A$35,0)),IF(E32="Boss",((Paramètres!$B$41-1)*Paramètres!$B$39+Paramètres!$B$42)*INDEX(Zones!$O$6:$O$35,MATCH(F32,Zones!$A$6:$A$35,0))+INDEX(Zones!$R$6:$R$35,MATCH(F32,Zones!$A$6:$A$35,0)),INDEX(Zones!$R$6:$R$35,MATCH(F32,Zones!$A$6:$A$35,0))))*ROUND(Paramètres!$B$49*B32^Paramètres!$B$50,0),0)</f>
        <v>2989</v>
      </c>
      <c r="S32" s="29" t="n">
        <f aca="false" t="array" ref="S32:S32">ROUND(IF(E32="Normal",J32*INDEX(Zones!$O$6:$O$35,MATCH(F32,Zones!$A$6:$A$35,0)),IF(E32="Boss",((Paramètres!$B$41-1)*Paramètres!$B$39+Paramètres!$B$42)*INDEX(Zones!$O$6:$O$35,MATCH(F32,Zones!$A$6:$A$35,0))+INDEX(Zones!$R$6:$R$35,MATCH(F32,Zones!$A$6:$A$35,0)),INDEX(Zones!$R$6:$R$35,MATCH(F32,Zones!$A$6:$A$35,0))))*ROUND(Paramètres!$B$53*B32^Paramètres!$B$54,0),0)</f>
        <v>2082</v>
      </c>
      <c r="T32" s="22" t="str">
        <f aca="false">IF(E32="Boss",G32,"—")</f>
        <v>—</v>
      </c>
      <c r="U32" s="37" t="n">
        <f aca="false">IF(E32="Dragon",0,(J32-IF(E32="Boss",1,0))*AVERAGEIFS(Monstres!$AL$7:$AL$98,Monstres!$B$7:$B$98,F32,Monstres!$G$7:$G$98,"Non"))</f>
        <v>0.39</v>
      </c>
      <c r="V32" s="74" t="n">
        <f aca="false">IF(E32="Boss",Butin!$E$10,IF(E32="Dragon",Butin!$E$11,0))</f>
        <v>0</v>
      </c>
      <c r="W32" s="37" t="n">
        <f aca="false">U32+V32</f>
        <v>0.39</v>
      </c>
      <c r="X32" s="77" t="n">
        <f aca="false">U32*INDEX(Butin!$E$15:$K$24,MATCH($A32,Éléments!$C$5:$C$14,1),1)+V32*IF(E32="Boss",INDEX(Butin!$E$28:$K$37,MATCH($A32,Éléments!$C$5:$C$14,1),1),IF(E32="Dragon",INDEX(Butin!$E$41:$K$50,MATCH($A32,Éléments!$C$5:$C$14,1),1),0))</f>
        <v>0.2028</v>
      </c>
      <c r="Y32" s="77" t="n">
        <f aca="false">U32*INDEX(Butin!$E$15:$K$24,MATCH($A32,Éléments!$C$5:$C$14,1),2)+V32*IF(E32="Boss",INDEX(Butin!$E$28:$K$37,MATCH($A32,Éléments!$C$5:$C$14,1),2),IF(E32="Dragon",INDEX(Butin!$E$41:$K$50,MATCH($A32,Éléments!$C$5:$C$14,1),2),0))</f>
        <v>0.1248</v>
      </c>
      <c r="Z32" s="77" t="n">
        <f aca="false">U32*INDEX(Butin!$E$15:$K$24,MATCH($A32,Éléments!$C$5:$C$14,1),3)+V32*IF(E32="Boss",INDEX(Butin!$E$28:$K$37,MATCH($A32,Éléments!$C$5:$C$14,1),3),IF(E32="Dragon",INDEX(Butin!$E$41:$K$50,MATCH($A32,Éléments!$C$5:$C$14,1),3),0))</f>
        <v>0.0507</v>
      </c>
      <c r="AA32" s="77" t="n">
        <f aca="false">U32*INDEX(Butin!$E$15:$K$24,MATCH($A32,Éléments!$C$5:$C$14,1),4)+V32*IF(E32="Boss",INDEX(Butin!$E$28:$K$37,MATCH($A32,Éléments!$C$5:$C$14,1),4),IF(E32="Dragon",INDEX(Butin!$E$41:$K$50,MATCH($A32,Éléments!$C$5:$C$14,1),4),0))</f>
        <v>0.0117</v>
      </c>
      <c r="AB32" s="77" t="n">
        <f aca="false">U32*INDEX(Butin!$E$15:$K$24,MATCH($A32,Éléments!$C$5:$C$14,1),5)+V32*IF(E32="Boss",INDEX(Butin!$E$28:$K$37,MATCH($A32,Éléments!$C$5:$C$14,1),5),IF(E32="Dragon",INDEX(Butin!$E$41:$K$50,MATCH($A32,Éléments!$C$5:$C$14,1),5),0))</f>
        <v>0</v>
      </c>
      <c r="AC32" s="77" t="n">
        <f aca="false">U32*INDEX(Butin!$E$15:$K$24,MATCH($A32,Éléments!$C$5:$C$14,1),6)+V32*IF(E32="Boss",INDEX(Butin!$E$28:$K$37,MATCH($A32,Éléments!$C$5:$C$14,1),6),IF(E32="Dragon",INDEX(Butin!$E$41:$K$50,MATCH($A32,Éléments!$C$5:$C$14,1),6),0))</f>
        <v>0</v>
      </c>
      <c r="AD32" s="77" t="n">
        <f aca="false">U32*INDEX(Butin!$E$15:$K$24,MATCH($A32,Éléments!$C$5:$C$14,1),7)+V32*IF(E32="Boss",INDEX(Butin!$E$28:$K$37,MATCH($A32,Éléments!$C$5:$C$14,1),7),IF(E32="Dragon",INDEX(Butin!$E$41:$K$50,MATCH($A32,Éléments!$C$5:$C$14,1),7),0))</f>
        <v>0</v>
      </c>
    </row>
    <row r="33" customFormat="false" ht="15.75" hidden="false" customHeight="true" outlineLevel="0" collapsed="false">
      <c r="A33" s="71" t="n">
        <v>28</v>
      </c>
      <c r="B33" s="23" t="n">
        <f aca="false">A33</f>
        <v>28</v>
      </c>
      <c r="C33" s="23" t="str">
        <f aca="false" t="array" ref="C33:C33">INDEX(Éléments!$B$5:$B$14,MATCH(A33,Éléments!$C$5:$C$14,1))</f>
        <v>Volcan</v>
      </c>
      <c r="D33" s="42" t="str">
        <f aca="false" t="array" ref="D33:D33">INDEX(Éléments!$A$5:$A$14,MATCH(A33,Éléments!$C$5:$C$14,1))</f>
        <v>Feu</v>
      </c>
      <c r="E33" s="23" t="str">
        <f aca="false">IF(MOD(A33,5)=0,"Boss",IF(MOD(A33,10)=9,"Dragon","Normal"))</f>
        <v>Normal</v>
      </c>
      <c r="F33" s="23" t="n">
        <f aca="false">IF(E33="Normal",5*ROUNDUP(A33/5,0),A33)</f>
        <v>30</v>
      </c>
      <c r="G33" s="22" t="str">
        <f aca="false" t="array" ref="G33:G33">INDEX(Zones!$B$6:$B$35,MATCH(F33,Zones!$A$6:$A$35,0))</f>
        <v>Cœur du volcan</v>
      </c>
      <c r="H33" s="22" t="str">
        <f aca="false" t="array" ref="H33:H33">IF(E33="Normal","—",INDEX(Zones!$L$6:$L$35,MATCH(F33,Zones!$A$6:$A$35,0)))</f>
        <v>—</v>
      </c>
      <c r="I33" s="27" t="n">
        <f aca="false">IF(E33="Normal",Paramètres!$B$40,IF(E33="Boss",Paramètres!$B$41,1))</f>
        <v>3</v>
      </c>
      <c r="J33" s="23" t="n">
        <f aca="false">IF(E33="Normal",Paramètres!$B$40*Paramètres!$B$39,IF(E33="Boss",(Paramètres!$B$41-1)*Paramètres!$B$39+Paramètres!$B$42+1,1))</f>
        <v>9</v>
      </c>
      <c r="K33" s="33" t="n">
        <f aca="false" t="array" ref="K33:K33">IF(E33="Normal",Paramètres!$B$40*Paramètres!$B$39*(INDEX(Zones!$M$6:$M$35,MATCH(F33,Zones!$A$6:$A$35,0))*(1-Paramètres!$B$46)),IF(E33="Boss",((Paramètres!$B$41-1)*Paramètres!$B$39+Paramètres!$B$42)*(INDEX(Zones!$M$6:$M$35,MATCH(F33,Zones!$A$6:$A$35,0))*(1-Paramètres!$B$46))+INDEX(Zones!$P$6:$P$35,MATCH(F33,Zones!$A$6:$A$35,0)),INDEX(Zones!$P$6:$P$35,MATCH(F33,Zones!$A$6:$A$35,0))))</f>
        <v>11.3175</v>
      </c>
      <c r="L33" s="27" t="n">
        <f aca="false">K33*Paramètres!$B$45+I33*Paramètres!$B$47</f>
        <v>68.5875</v>
      </c>
      <c r="M33" s="30" t="n">
        <f aca="false" t="array" ref="M33:M33">IF(E33="Dragon",0,(INDEX(Zones!$N$6:$N$35,MATCH(F33,Zones!$A$6:$A$35,0))*Paramètres!$B$34*(INDEX(Zones!$M$6:$M$35,MATCH(F33,Zones!$A$6:$A$35,0))*(1-Paramètres!$B$46))*Paramètres!$B$39*(Paramètres!$B$39+1)/2))</f>
        <v>0.09790895</v>
      </c>
      <c r="N33" s="30" t="n">
        <f aca="false" t="array" ref="N33:N33">IF(E33="Normal",0,IF(E33="Dragon",INDEX(Zones!$Q$6:$Q$35,MATCH(F33,Zones!$A$6:$A$35,0))*Paramètres!$B$34*INDEX(Zones!$P$6:$P$35,MATCH(F33,Zones!$A$6:$A$35,0)),INDEX(Zones!$Q$6:$Q$35,MATCH(F33,Zones!$A$6:$A$35,0))*Paramètres!$B$34*(INDEX(Zones!$P$6:$P$35,MATCH(F33,Zones!$A$6:$A$35,0))+Paramètres!$B$42*(INDEX(Zones!$M$6:$M$35,MATCH(F33,Zones!$A$6:$A$35,0))*(1-Paramètres!$B$46)))+INDEX(Zones!$N$6:$N$35,MATCH(F33,Zones!$A$6:$A$35,0))*Paramètres!$B$34*(INDEX(Zones!$M$6:$M$35,MATCH(F33,Zones!$A$6:$A$35,0))*(1-Paramètres!$B$46))*(Paramètres!$B$42*(Paramètres!$B$42+1)/2)))</f>
        <v>0</v>
      </c>
      <c r="O33" s="75" t="n">
        <f aca="false">MAX(M33,N33)</f>
        <v>0.09790895</v>
      </c>
      <c r="P33" s="36" t="n">
        <f aca="false">IF(E33="Normal",M33*Paramètres!$B$40,IF(E33="Boss",M33*(Paramètres!$B$41-1)+N33,N33))</f>
        <v>0.29372685</v>
      </c>
      <c r="Q33" s="76" t="str">
        <f aca="false">IF(O33&gt;Paramètres!$B$37,"Trop dur","OK")</f>
        <v>OK</v>
      </c>
      <c r="R33" s="29" t="n">
        <f aca="false" t="array" ref="R33:R33">ROUND(IF(E33="Normal",J33*INDEX(Zones!$O$6:$O$35,MATCH(F33,Zones!$A$6:$A$35,0)),IF(E33="Boss",((Paramètres!$B$41-1)*Paramètres!$B$39+Paramètres!$B$42)*INDEX(Zones!$O$6:$O$35,MATCH(F33,Zones!$A$6:$A$35,0))+INDEX(Zones!$R$6:$R$35,MATCH(F33,Zones!$A$6:$A$35,0)),INDEX(Zones!$R$6:$R$35,MATCH(F33,Zones!$A$6:$A$35,0))))*ROUND(Paramètres!$B$49*B33^Paramètres!$B$50,0),0)</f>
        <v>3127</v>
      </c>
      <c r="S33" s="29" t="n">
        <f aca="false" t="array" ref="S33:S33">ROUND(IF(E33="Normal",J33*INDEX(Zones!$O$6:$O$35,MATCH(F33,Zones!$A$6:$A$35,0)),IF(E33="Boss",((Paramètres!$B$41-1)*Paramètres!$B$39+Paramètres!$B$42)*INDEX(Zones!$O$6:$O$35,MATCH(F33,Zones!$A$6:$A$35,0))+INDEX(Zones!$R$6:$R$35,MATCH(F33,Zones!$A$6:$A$35,0)),INDEX(Zones!$R$6:$R$35,MATCH(F33,Zones!$A$6:$A$35,0))))*ROUND(Paramètres!$B$53*B33^Paramètres!$B$54,0),0)</f>
        <v>2187</v>
      </c>
      <c r="T33" s="22" t="str">
        <f aca="false">IF(E33="Boss",G33,"—")</f>
        <v>—</v>
      </c>
      <c r="U33" s="37" t="n">
        <f aca="false">IF(E33="Dragon",0,(J33-IF(E33="Boss",1,0))*AVERAGEIFS(Monstres!$AL$7:$AL$98,Monstres!$B$7:$B$98,F33,Monstres!$G$7:$G$98,"Non"))</f>
        <v>0.39</v>
      </c>
      <c r="V33" s="74" t="n">
        <f aca="false">IF(E33="Boss",Butin!$E$10,IF(E33="Dragon",Butin!$E$11,0))</f>
        <v>0</v>
      </c>
      <c r="W33" s="37" t="n">
        <f aca="false">U33+V33</f>
        <v>0.39</v>
      </c>
      <c r="X33" s="77" t="n">
        <f aca="false">U33*INDEX(Butin!$E$15:$K$24,MATCH($A33,Éléments!$C$5:$C$14,1),1)+V33*IF(E33="Boss",INDEX(Butin!$E$28:$K$37,MATCH($A33,Éléments!$C$5:$C$14,1),1),IF(E33="Dragon",INDEX(Butin!$E$41:$K$50,MATCH($A33,Éléments!$C$5:$C$14,1),1),0))</f>
        <v>0.2028</v>
      </c>
      <c r="Y33" s="77" t="n">
        <f aca="false">U33*INDEX(Butin!$E$15:$K$24,MATCH($A33,Éléments!$C$5:$C$14,1),2)+V33*IF(E33="Boss",INDEX(Butin!$E$28:$K$37,MATCH($A33,Éléments!$C$5:$C$14,1),2),IF(E33="Dragon",INDEX(Butin!$E$41:$K$50,MATCH($A33,Éléments!$C$5:$C$14,1),2),0))</f>
        <v>0.1248</v>
      </c>
      <c r="Z33" s="77" t="n">
        <f aca="false">U33*INDEX(Butin!$E$15:$K$24,MATCH($A33,Éléments!$C$5:$C$14,1),3)+V33*IF(E33="Boss",INDEX(Butin!$E$28:$K$37,MATCH($A33,Éléments!$C$5:$C$14,1),3),IF(E33="Dragon",INDEX(Butin!$E$41:$K$50,MATCH($A33,Éléments!$C$5:$C$14,1),3),0))</f>
        <v>0.0507</v>
      </c>
      <c r="AA33" s="77" t="n">
        <f aca="false">U33*INDEX(Butin!$E$15:$K$24,MATCH($A33,Éléments!$C$5:$C$14,1),4)+V33*IF(E33="Boss",INDEX(Butin!$E$28:$K$37,MATCH($A33,Éléments!$C$5:$C$14,1),4),IF(E33="Dragon",INDEX(Butin!$E$41:$K$50,MATCH($A33,Éléments!$C$5:$C$14,1),4),0))</f>
        <v>0.0117</v>
      </c>
      <c r="AB33" s="77" t="n">
        <f aca="false">U33*INDEX(Butin!$E$15:$K$24,MATCH($A33,Éléments!$C$5:$C$14,1),5)+V33*IF(E33="Boss",INDEX(Butin!$E$28:$K$37,MATCH($A33,Éléments!$C$5:$C$14,1),5),IF(E33="Dragon",INDEX(Butin!$E$41:$K$50,MATCH($A33,Éléments!$C$5:$C$14,1),5),0))</f>
        <v>0</v>
      </c>
      <c r="AC33" s="77" t="n">
        <f aca="false">U33*INDEX(Butin!$E$15:$K$24,MATCH($A33,Éléments!$C$5:$C$14,1),6)+V33*IF(E33="Boss",INDEX(Butin!$E$28:$K$37,MATCH($A33,Éléments!$C$5:$C$14,1),6),IF(E33="Dragon",INDEX(Butin!$E$41:$K$50,MATCH($A33,Éléments!$C$5:$C$14,1),6),0))</f>
        <v>0</v>
      </c>
      <c r="AD33" s="77" t="n">
        <f aca="false">U33*INDEX(Butin!$E$15:$K$24,MATCH($A33,Éléments!$C$5:$C$14,1),7)+V33*IF(E33="Boss",INDEX(Butin!$E$28:$K$37,MATCH($A33,Éléments!$C$5:$C$14,1),7),IF(E33="Dragon",INDEX(Butin!$E$41:$K$50,MATCH($A33,Éléments!$C$5:$C$14,1),7),0))</f>
        <v>0</v>
      </c>
    </row>
    <row r="34" customFormat="false" ht="15.75" hidden="false" customHeight="true" outlineLevel="0" collapsed="false">
      <c r="A34" s="71" t="n">
        <v>29</v>
      </c>
      <c r="B34" s="23" t="n">
        <f aca="false">A34</f>
        <v>29</v>
      </c>
      <c r="C34" s="23" t="str">
        <f aca="false" t="array" ref="C34:C34">INDEX(Éléments!$B$5:$B$14,MATCH(A34,Éléments!$C$5:$C$14,1))</f>
        <v>Volcan</v>
      </c>
      <c r="D34" s="42" t="str">
        <f aca="false" t="array" ref="D34:D34">INDEX(Éléments!$A$5:$A$14,MATCH(A34,Éléments!$C$5:$C$14,1))</f>
        <v>Feu</v>
      </c>
      <c r="E34" s="23" t="str">
        <f aca="false">IF(MOD(A34,5)=0,"Boss",IF(MOD(A34,10)=9,"Dragon","Normal"))</f>
        <v>Dragon</v>
      </c>
      <c r="F34" s="23" t="n">
        <f aca="false">IF(E34="Normal",5*ROUNDUP(A34/5,0),A34)</f>
        <v>29</v>
      </c>
      <c r="G34" s="22" t="str">
        <f aca="false" t="array" ref="G34:G34">INDEX(Zones!$B$6:$B$35,MATCH(F34,Zones!$A$6:$A$35,0))</f>
        <v>Tannière du dragon (29)</v>
      </c>
      <c r="H34" s="22" t="str">
        <f aca="false" t="array" ref="H34:H34">IF(E34="Normal","—",INDEX(Zones!$L$6:$L$35,MATCH(F34,Zones!$A$6:$A$35,0)))</f>
        <v>Dragon (Feu)</v>
      </c>
      <c r="I34" s="23" t="n">
        <f aca="false">IF(E34="Normal",Paramètres!$B$40,IF(E34="Boss",Paramètres!$B$41,1))</f>
        <v>1</v>
      </c>
      <c r="J34" s="23" t="n">
        <f aca="false">IF(E34="Normal",Paramètres!$B$40*Paramètres!$B$39,IF(E34="Boss",(Paramètres!$B$41-1)*Paramètres!$B$39+Paramètres!$B$42+1,1))</f>
        <v>1</v>
      </c>
      <c r="K34" s="33" t="n">
        <f aca="false" t="array" ref="K34:K34">IF(E34="Normal",Paramètres!$B$40*Paramètres!$B$39*(INDEX(Zones!$M$6:$M$35,MATCH(F34,Zones!$A$6:$A$35,0))*(1-Paramètres!$B$46)),IF(E34="Boss",((Paramètres!$B$41-1)*Paramètres!$B$39+Paramètres!$B$42)*(INDEX(Zones!$M$6:$M$35,MATCH(F34,Zones!$A$6:$A$35,0))*(1-Paramètres!$B$46))+INDEX(Zones!$P$6:$P$35,MATCH(F34,Zones!$A$6:$A$35,0)),INDEX(Zones!$P$6:$P$35,MATCH(F34,Zones!$A$6:$A$35,0))))</f>
        <v>20</v>
      </c>
      <c r="L34" s="27" t="n">
        <f aca="false">K34*Paramètres!$B$45+I34*Paramètres!$B$47</f>
        <v>104</v>
      </c>
      <c r="M34" s="30" t="n">
        <f aca="false" t="array" ref="M34:M34">IF(E34="Dragon",0,(INDEX(Zones!$N$6:$N$35,MATCH(F34,Zones!$A$6:$A$35,0))*Paramètres!$B$34*(INDEX(Zones!$M$6:$M$35,MATCH(F34,Zones!$A$6:$A$35,0))*(1-Paramètres!$B$46))*Paramètres!$B$39*(Paramètres!$B$39+1)/2))</f>
        <v>0</v>
      </c>
      <c r="N34" s="30" t="n">
        <f aca="false" t="array" ref="N34:N34">IF(E34="Normal",0,IF(E34="Dragon",INDEX(Zones!$Q$6:$Q$35,MATCH(F34,Zones!$A$6:$A$35,0))*Paramètres!$B$34*INDEX(Zones!$P$6:$P$35,MATCH(F34,Zones!$A$6:$A$35,0)),INDEX(Zones!$Q$6:$Q$35,MATCH(F34,Zones!$A$6:$A$35,0))*Paramètres!$B$34*(INDEX(Zones!$P$6:$P$35,MATCH(F34,Zones!$A$6:$A$35,0))+Paramètres!$B$42*(INDEX(Zones!$M$6:$M$35,MATCH(F34,Zones!$A$6:$A$35,0))*(1-Paramètres!$B$46)))+INDEX(Zones!$N$6:$N$35,MATCH(F34,Zones!$A$6:$A$35,0))*Paramètres!$B$34*(INDEX(Zones!$M$6:$M$35,MATCH(F34,Zones!$A$6:$A$35,0))*(1-Paramètres!$B$46))*(Paramètres!$B$42*(Paramètres!$B$42+1)/2)))</f>
        <v>0.51</v>
      </c>
      <c r="O34" s="75" t="n">
        <f aca="false">MAX(M34,N34)</f>
        <v>0.51</v>
      </c>
      <c r="P34" s="36" t="n">
        <f aca="false">IF(E34="Normal",M34*Paramètres!$B$40,IF(E34="Boss",M34*(Paramètres!$B$41-1)+N34,N34))</f>
        <v>0.51</v>
      </c>
      <c r="Q34" s="76" t="str">
        <f aca="false">IF(O34&gt;Paramètres!$B$37,"Trop dur","OK")</f>
        <v>OK</v>
      </c>
      <c r="R34" s="29" t="n">
        <f aca="false" t="array" ref="R34:R34">ROUND(IF(E34="Normal",J34*INDEX(Zones!$O$6:$O$35,MATCH(F34,Zones!$A$6:$A$35,0)),IF(E34="Boss",((Paramètres!$B$41-1)*Paramètres!$B$39+Paramètres!$B$42)*INDEX(Zones!$O$6:$O$35,MATCH(F34,Zones!$A$6:$A$35,0))+INDEX(Zones!$R$6:$R$35,MATCH(F34,Zones!$A$6:$A$35,0)),INDEX(Zones!$R$6:$R$35,MATCH(F34,Zones!$A$6:$A$35,0))))*ROUND(Paramètres!$B$49*B34^Paramètres!$B$50,0),0)</f>
        <v>4848</v>
      </c>
      <c r="S34" s="29" t="n">
        <f aca="false" t="array" ref="S34:S34">ROUND(IF(E34="Normal",J34*INDEX(Zones!$O$6:$O$35,MATCH(F34,Zones!$A$6:$A$35,0)),IF(E34="Boss",((Paramètres!$B$41-1)*Paramètres!$B$39+Paramètres!$B$42)*INDEX(Zones!$O$6:$O$35,MATCH(F34,Zones!$A$6:$A$35,0))+INDEX(Zones!$R$6:$R$35,MATCH(F34,Zones!$A$6:$A$35,0)),INDEX(Zones!$R$6:$R$35,MATCH(F34,Zones!$A$6:$A$35,0))))*ROUND(Paramètres!$B$53*B34^Paramètres!$B$54,0),0)</f>
        <v>3396</v>
      </c>
      <c r="T34" s="22" t="str">
        <f aca="false">IF(E34="Boss",G34,"—")</f>
        <v>—</v>
      </c>
      <c r="U34" s="37" t="n">
        <f aca="false">IF(E34="Dragon",0,(J34-IF(E34="Boss",1,0))*AVERAGEIFS(Monstres!$AL$7:$AL$98,Monstres!$B$7:$B$98,F34,Monstres!$G$7:$G$98,"Non"))</f>
        <v>0</v>
      </c>
      <c r="V34" s="74" t="n">
        <f aca="false">IF(E34="Boss",Butin!$E$10,IF(E34="Dragon",Butin!$E$11,0))</f>
        <v>2.5</v>
      </c>
      <c r="W34" s="37" t="n">
        <f aca="false">U34+V34</f>
        <v>2.5</v>
      </c>
      <c r="X34" s="77" t="n">
        <f aca="false">U34*INDEX(Butin!$E$15:$K$24,MATCH($A34,Éléments!$C$5:$C$14,1),1)+V34*IF(E34="Boss",INDEX(Butin!$E$28:$K$37,MATCH($A34,Éléments!$C$5:$C$14,1),1),IF(E34="Dragon",INDEX(Butin!$E$41:$K$50,MATCH($A34,Éléments!$C$5:$C$14,1),1),0))</f>
        <v>0.3</v>
      </c>
      <c r="Y34" s="77" t="n">
        <f aca="false">U34*INDEX(Butin!$E$15:$K$24,MATCH($A34,Éléments!$C$5:$C$14,1),2)+V34*IF(E34="Boss",INDEX(Butin!$E$28:$K$37,MATCH($A34,Éléments!$C$5:$C$14,1),2),IF(E34="Dragon",INDEX(Butin!$E$41:$K$50,MATCH($A34,Éléments!$C$5:$C$14,1),2),0))</f>
        <v>0.75</v>
      </c>
      <c r="Z34" s="77" t="n">
        <f aca="false">U34*INDEX(Butin!$E$15:$K$24,MATCH($A34,Éléments!$C$5:$C$14,1),3)+V34*IF(E34="Boss",INDEX(Butin!$E$28:$K$37,MATCH($A34,Éléments!$C$5:$C$14,1),3),IF(E34="Dragon",INDEX(Butin!$E$41:$K$50,MATCH($A34,Éléments!$C$5:$C$14,1),3),0))</f>
        <v>0.775</v>
      </c>
      <c r="AA34" s="77" t="n">
        <f aca="false">U34*INDEX(Butin!$E$15:$K$24,MATCH($A34,Éléments!$C$5:$C$14,1),4)+V34*IF(E34="Boss",INDEX(Butin!$E$28:$K$37,MATCH($A34,Éléments!$C$5:$C$14,1),4),IF(E34="Dragon",INDEX(Butin!$E$41:$K$50,MATCH($A34,Éléments!$C$5:$C$14,1),4),0))</f>
        <v>0.45</v>
      </c>
      <c r="AB34" s="77" t="n">
        <f aca="false">U34*INDEX(Butin!$E$15:$K$24,MATCH($A34,Éléments!$C$5:$C$14,1),5)+V34*IF(E34="Boss",INDEX(Butin!$E$28:$K$37,MATCH($A34,Éléments!$C$5:$C$14,1),5),IF(E34="Dragon",INDEX(Butin!$E$41:$K$50,MATCH($A34,Éléments!$C$5:$C$14,1),5),0))</f>
        <v>0.1</v>
      </c>
      <c r="AC34" s="77" t="n">
        <f aca="false">U34*INDEX(Butin!$E$15:$K$24,MATCH($A34,Éléments!$C$5:$C$14,1),6)+V34*IF(E34="Boss",INDEX(Butin!$E$28:$K$37,MATCH($A34,Éléments!$C$5:$C$14,1),6),IF(E34="Dragon",INDEX(Butin!$E$41:$K$50,MATCH($A34,Éléments!$C$5:$C$14,1),6),0))</f>
        <v>0.0125</v>
      </c>
      <c r="AD34" s="77" t="n">
        <f aca="false">U34*INDEX(Butin!$E$15:$K$24,MATCH($A34,Éléments!$C$5:$C$14,1),7)+V34*IF(E34="Boss",INDEX(Butin!$E$28:$K$37,MATCH($A34,Éléments!$C$5:$C$14,1),7),IF(E34="Dragon",INDEX(Butin!$E$41:$K$50,MATCH($A34,Éléments!$C$5:$C$14,1),7),0))</f>
        <v>0.1125</v>
      </c>
    </row>
    <row r="35" customFormat="false" ht="15.75" hidden="false" customHeight="true" outlineLevel="0" collapsed="false">
      <c r="A35" s="71" t="n">
        <v>30</v>
      </c>
      <c r="B35" s="23" t="n">
        <f aca="false">A35</f>
        <v>30</v>
      </c>
      <c r="C35" s="23" t="str">
        <f aca="false" t="array" ref="C35:C35">INDEX(Éléments!$B$5:$B$14,MATCH(A35,Éléments!$C$5:$C$14,1))</f>
        <v>Volcan</v>
      </c>
      <c r="D35" s="42" t="str">
        <f aca="false" t="array" ref="D35:D35">INDEX(Éléments!$A$5:$A$14,MATCH(A35,Éléments!$C$5:$C$14,1))</f>
        <v>Feu</v>
      </c>
      <c r="E35" s="23" t="str">
        <f aca="false">IF(MOD(A35,5)=0,"Boss",IF(MOD(A35,10)=9,"Dragon","Normal"))</f>
        <v>Boss</v>
      </c>
      <c r="F35" s="23" t="n">
        <f aca="false">IF(E35="Normal",5*ROUNDUP(A35/5,0),A35)</f>
        <v>30</v>
      </c>
      <c r="G35" s="22" t="str">
        <f aca="false" t="array" ref="G35:G35">INDEX(Zones!$B$6:$B$35,MATCH(F35,Zones!$A$6:$A$35,0))</f>
        <v>Cœur du volcan</v>
      </c>
      <c r="H35" s="22" t="str">
        <f aca="false" t="array" ref="H35:H35">IF(E35="Normal","—",INDEX(Zones!$L$6:$L$35,MATCH(F35,Zones!$A$6:$A$35,0)))</f>
        <v>Ifrit</v>
      </c>
      <c r="I35" s="27" t="n">
        <f aca="false">IF(E35="Normal",Paramètres!$B$40,IF(E35="Boss",Paramètres!$B$41,1))</f>
        <v>5</v>
      </c>
      <c r="J35" s="27" t="n">
        <f aca="false">IF(E35="Normal",Paramètres!$B$40*Paramètres!$B$39,IF(E35="Boss",(Paramètres!$B$41-1)*Paramètres!$B$39+Paramètres!$B$42+1,1))</f>
        <v>15</v>
      </c>
      <c r="K35" s="33" t="n">
        <f aca="false" t="array" ref="K35:K35">IF(E35="Normal",Paramètres!$B$40*Paramètres!$B$39*(INDEX(Zones!$M$6:$M$35,MATCH(F35,Zones!$A$6:$A$35,0))*(1-Paramètres!$B$46)),IF(E35="Boss",((Paramètres!$B$41-1)*Paramètres!$B$39+Paramètres!$B$42)*(INDEX(Zones!$M$6:$M$35,MATCH(F35,Zones!$A$6:$A$35,0))*(1-Paramètres!$B$46))+INDEX(Zones!$P$6:$P$35,MATCH(F35,Zones!$A$6:$A$35,0)),INDEX(Zones!$P$6:$P$35,MATCH(F35,Zones!$A$6:$A$35,0))))</f>
        <v>26.005</v>
      </c>
      <c r="L35" s="27" t="n">
        <f aca="false">K35*Paramètres!$B$45+I35*Paramètres!$B$47</f>
        <v>150.025</v>
      </c>
      <c r="M35" s="30" t="n">
        <f aca="false" t="array" ref="M35:M35">IF(E35="Dragon",0,(INDEX(Zones!$N$6:$N$35,MATCH(F35,Zones!$A$6:$A$35,0))*Paramètres!$B$34*(INDEX(Zones!$M$6:$M$35,MATCH(F35,Zones!$A$6:$A$35,0))*(1-Paramètres!$B$46))*Paramètres!$B$39*(Paramètres!$B$39+1)/2))</f>
        <v>0.09790895</v>
      </c>
      <c r="N35" s="30" t="n">
        <f aca="false" t="array" ref="N35:N35">IF(E35="Normal",0,IF(E35="Dragon",INDEX(Zones!$Q$6:$Q$35,MATCH(F35,Zones!$A$6:$A$35,0))*Paramètres!$B$34*INDEX(Zones!$P$6:$P$35,MATCH(F35,Zones!$A$6:$A$35,0)),INDEX(Zones!$Q$6:$Q$35,MATCH(F35,Zones!$A$6:$A$35,0))*Paramètres!$B$34*(INDEX(Zones!$P$6:$P$35,MATCH(F35,Zones!$A$6:$A$35,0))+Paramètres!$B$42*(INDEX(Zones!$M$6:$M$35,MATCH(F35,Zones!$A$6:$A$35,0))*(1-Paramètres!$B$46)))+INDEX(Zones!$N$6:$N$35,MATCH(F35,Zones!$A$6:$A$35,0))*Paramètres!$B$34*(INDEX(Zones!$M$6:$M$35,MATCH(F35,Zones!$A$6:$A$35,0))*(1-Paramètres!$B$46))*(Paramètres!$B$42*(Paramètres!$B$42+1)/2)))</f>
        <v>0.3968701</v>
      </c>
      <c r="O35" s="75" t="n">
        <f aca="false">MAX(M35,N35)</f>
        <v>0.3968701</v>
      </c>
      <c r="P35" s="36" t="n">
        <f aca="false">IF(E35="Normal",M35*Paramètres!$B$40,IF(E35="Boss",M35*(Paramètres!$B$41-1)+N35,N35))</f>
        <v>0.7885059</v>
      </c>
      <c r="Q35" s="76" t="str">
        <f aca="false">IF(O35&gt;Paramètres!$B$37,"Trop dur","OK")</f>
        <v>OK</v>
      </c>
      <c r="R35" s="29" t="n">
        <f aca="false" t="array" ref="R35:R35">ROUND(IF(E35="Normal",J35*INDEX(Zones!$O$6:$O$35,MATCH(F35,Zones!$A$6:$A$35,0)),IF(E35="Boss",((Paramètres!$B$41-1)*Paramètres!$B$39+Paramètres!$B$42)*INDEX(Zones!$O$6:$O$35,MATCH(F35,Zones!$A$6:$A$35,0))+INDEX(Zones!$R$6:$R$35,MATCH(F35,Zones!$A$6:$A$35,0)),INDEX(Zones!$R$6:$R$35,MATCH(F35,Zones!$A$6:$A$35,0))))*ROUND(Paramètres!$B$49*B35^Paramètres!$B$50,0),0)</f>
        <v>8673</v>
      </c>
      <c r="S35" s="29" t="n">
        <f aca="false" t="array" ref="S35:S35">ROUND(IF(E35="Normal",J35*INDEX(Zones!$O$6:$O$35,MATCH(F35,Zones!$A$6:$A$35,0)),IF(E35="Boss",((Paramètres!$B$41-1)*Paramètres!$B$39+Paramètres!$B$42)*INDEX(Zones!$O$6:$O$35,MATCH(F35,Zones!$A$6:$A$35,0))+INDEX(Zones!$R$6:$R$35,MATCH(F35,Zones!$A$6:$A$35,0)),INDEX(Zones!$R$6:$R$35,MATCH(F35,Zones!$A$6:$A$35,0))))*ROUND(Paramètres!$B$53*B35^Paramètres!$B$54,0),0)</f>
        <v>6098</v>
      </c>
      <c r="T35" s="22" t="str">
        <f aca="false">IF(E35="Boss",G35,"—")</f>
        <v>Cœur du volcan</v>
      </c>
      <c r="U35" s="37" t="n">
        <f aca="false">IF(E35="Dragon",0,(J35-IF(E35="Boss",1,0))*AVERAGEIFS(Monstres!$AL$7:$AL$98,Monstres!$B$7:$B$98,F35,Monstres!$G$7:$G$98,"Non"))</f>
        <v>0.606666666666667</v>
      </c>
      <c r="V35" s="74" t="n">
        <f aca="false">IF(E35="Boss",Butin!$E$10,IF(E35="Dragon",Butin!$E$11,0))</f>
        <v>1.4</v>
      </c>
      <c r="W35" s="37" t="n">
        <f aca="false">U35+V35</f>
        <v>2.00666666666667</v>
      </c>
      <c r="X35" s="77" t="n">
        <f aca="false">U35*INDEX(Butin!$E$15:$K$24,MATCH($A35,Éléments!$C$5:$C$14,1),1)+V35*IF(E35="Boss",INDEX(Butin!$E$28:$K$37,MATCH($A35,Éléments!$C$5:$C$14,1),1),IF(E35="Dragon",INDEX(Butin!$E$41:$K$50,MATCH($A35,Éléments!$C$5:$C$14,1),1),0))</f>
        <v>0.567466666666667</v>
      </c>
      <c r="Y35" s="77" t="n">
        <f aca="false">U35*INDEX(Butin!$E$15:$K$24,MATCH($A35,Éléments!$C$5:$C$14,1),2)+V35*IF(E35="Boss",INDEX(Butin!$E$28:$K$37,MATCH($A35,Éléments!$C$5:$C$14,1),2),IF(E35="Dragon",INDEX(Butin!$E$41:$K$50,MATCH($A35,Éléments!$C$5:$C$14,1),2),0))</f>
        <v>0.642133333333333</v>
      </c>
      <c r="Z35" s="77" t="n">
        <f aca="false">U35*INDEX(Butin!$E$15:$K$24,MATCH($A35,Éléments!$C$5:$C$14,1),3)+V35*IF(E35="Boss",INDEX(Butin!$E$28:$K$37,MATCH($A35,Éléments!$C$5:$C$14,1),3),IF(E35="Dragon",INDEX(Butin!$E$41:$K$50,MATCH($A35,Éléments!$C$5:$C$14,1),3),0))</f>
        <v>0.498866666666667</v>
      </c>
      <c r="AA35" s="77" t="n">
        <f aca="false">U35*INDEX(Butin!$E$15:$K$24,MATCH($A35,Éléments!$C$5:$C$14,1),4)+V35*IF(E35="Boss",INDEX(Butin!$E$28:$K$37,MATCH($A35,Éléments!$C$5:$C$14,1),4),IF(E35="Dragon",INDEX(Butin!$E$41:$K$50,MATCH($A35,Éléments!$C$5:$C$14,1),4),0))</f>
        <v>0.2142</v>
      </c>
      <c r="AB35" s="77" t="n">
        <f aca="false">U35*INDEX(Butin!$E$15:$K$24,MATCH($A35,Éléments!$C$5:$C$14,1),5)+V35*IF(E35="Boss",INDEX(Butin!$E$28:$K$37,MATCH($A35,Éléments!$C$5:$C$14,1),5),IF(E35="Dragon",INDEX(Butin!$E$41:$K$50,MATCH($A35,Éléments!$C$5:$C$14,1),5),0))</f>
        <v>0.042</v>
      </c>
      <c r="AC35" s="77" t="n">
        <f aca="false">U35*INDEX(Butin!$E$15:$K$24,MATCH($A35,Éléments!$C$5:$C$14,1),6)+V35*IF(E35="Boss",INDEX(Butin!$E$28:$K$37,MATCH($A35,Éléments!$C$5:$C$14,1),6),IF(E35="Dragon",INDEX(Butin!$E$41:$K$50,MATCH($A35,Éléments!$C$5:$C$14,1),6),0))</f>
        <v>0</v>
      </c>
      <c r="AD35" s="77" t="n">
        <f aca="false">U35*INDEX(Butin!$E$15:$K$24,MATCH($A35,Éléments!$C$5:$C$14,1),7)+V35*IF(E35="Boss",INDEX(Butin!$E$28:$K$37,MATCH($A35,Éléments!$C$5:$C$14,1),7),IF(E35="Dragon",INDEX(Butin!$E$41:$K$50,MATCH($A35,Éléments!$C$5:$C$14,1),7),0))</f>
        <v>0.042</v>
      </c>
    </row>
    <row r="36" customFormat="false" ht="15.75" hidden="false" customHeight="true" outlineLevel="0" collapsed="false">
      <c r="A36" s="71" t="n">
        <v>31</v>
      </c>
      <c r="B36" s="23" t="n">
        <f aca="false">A36</f>
        <v>31</v>
      </c>
      <c r="C36" s="23" t="str">
        <f aca="false" t="array" ref="C36:C36">INDEX(Éléments!$B$5:$B$14,MATCH(A36,Éléments!$C$5:$C$14,1))</f>
        <v>Désert</v>
      </c>
      <c r="D36" s="43" t="str">
        <f aca="false" t="array" ref="D36:D36">INDEX(Éléments!$A$5:$A$14,MATCH(A36,Éléments!$C$5:$C$14,1))</f>
        <v>Vent</v>
      </c>
      <c r="E36" s="23" t="str">
        <f aca="false">IF(MOD(A36,5)=0,"Boss",IF(MOD(A36,10)=9,"Dragon","Normal"))</f>
        <v>Normal</v>
      </c>
      <c r="F36" s="23" t="n">
        <f aca="false">IF(E36="Normal",5*ROUNDUP(A36/5,0),A36)</f>
        <v>35</v>
      </c>
      <c r="G36" s="22" t="str">
        <f aca="false" t="array" ref="G36:G36">INDEX(Zones!$B$6:$B$35,MATCH(F36,Zones!$A$6:$A$35,0))</f>
        <v>Désert d'Arrakis</v>
      </c>
      <c r="H36" s="22" t="str">
        <f aca="false" t="array" ref="H36:H36">IF(E36="Normal","—",INDEX(Zones!$L$6:$L$35,MATCH(F36,Zones!$A$6:$A$35,0)))</f>
        <v>—</v>
      </c>
      <c r="I36" s="27" t="n">
        <f aca="false">IF(E36="Normal",Paramètres!$B$40,IF(E36="Boss",Paramètres!$B$41,1))</f>
        <v>3</v>
      </c>
      <c r="J36" s="23" t="n">
        <f aca="false">IF(E36="Normal",Paramètres!$B$40*Paramètres!$B$39,IF(E36="Boss",(Paramètres!$B$41-1)*Paramètres!$B$39+Paramètres!$B$42+1,1))</f>
        <v>9</v>
      </c>
      <c r="K36" s="33" t="n">
        <f aca="false" t="array" ref="K36:K36">IF(E36="Normal",Paramètres!$B$40*Paramètres!$B$39*(INDEX(Zones!$M$6:$M$35,MATCH(F36,Zones!$A$6:$A$35,0))*(1-Paramètres!$B$46)),IF(E36="Boss",((Paramètres!$B$41-1)*Paramètres!$B$39+Paramètres!$B$42)*(INDEX(Zones!$M$6:$M$35,MATCH(F36,Zones!$A$6:$A$35,0))*(1-Paramètres!$B$46))+INDEX(Zones!$P$6:$P$35,MATCH(F36,Zones!$A$6:$A$35,0)),INDEX(Zones!$P$6:$P$35,MATCH(F36,Zones!$A$6:$A$35,0))))</f>
        <v>9.675</v>
      </c>
      <c r="L36" s="27" t="n">
        <f aca="false">K36*Paramètres!$B$45+I36*Paramètres!$B$47</f>
        <v>60.375</v>
      </c>
      <c r="M36" s="30" t="n">
        <f aca="false" t="array" ref="M36:M36">IF(E36="Dragon",0,(INDEX(Zones!$N$6:$N$35,MATCH(F36,Zones!$A$6:$A$35,0))*Paramètres!$B$34*(INDEX(Zones!$M$6:$M$35,MATCH(F36,Zones!$A$6:$A$35,0))*(1-Paramètres!$B$46))*Paramètres!$B$39*(Paramètres!$B$39+1)/2))</f>
        <v>0.101609</v>
      </c>
      <c r="N36" s="30" t="n">
        <f aca="false" t="array" ref="N36:N36">IF(E36="Normal",0,IF(E36="Dragon",INDEX(Zones!$Q$6:$Q$35,MATCH(F36,Zones!$A$6:$A$35,0))*Paramètres!$B$34*INDEX(Zones!$P$6:$P$35,MATCH(F36,Zones!$A$6:$A$35,0)),INDEX(Zones!$Q$6:$Q$35,MATCH(F36,Zones!$A$6:$A$35,0))*Paramètres!$B$34*(INDEX(Zones!$P$6:$P$35,MATCH(F36,Zones!$A$6:$A$35,0))+Paramètres!$B$42*(INDEX(Zones!$M$6:$M$35,MATCH(F36,Zones!$A$6:$A$35,0))*(1-Paramètres!$B$46)))+INDEX(Zones!$N$6:$N$35,MATCH(F36,Zones!$A$6:$A$35,0))*Paramètres!$B$34*(INDEX(Zones!$M$6:$M$35,MATCH(F36,Zones!$A$6:$A$35,0))*(1-Paramètres!$B$46))*(Paramètres!$B$42*(Paramètres!$B$42+1)/2)))</f>
        <v>0</v>
      </c>
      <c r="O36" s="75" t="n">
        <f aca="false">MAX(M36,N36)</f>
        <v>0.101609</v>
      </c>
      <c r="P36" s="36" t="n">
        <f aca="false">IF(E36="Normal",M36*Paramètres!$B$40,IF(E36="Boss",M36*(Paramètres!$B$41-1)+N36,N36))</f>
        <v>0.304827</v>
      </c>
      <c r="Q36" s="76" t="str">
        <f aca="false">IF(O36&gt;Paramètres!$B$37,"Trop dur","OK")</f>
        <v>OK</v>
      </c>
      <c r="R36" s="29" t="n">
        <f aca="false" t="array" ref="R36:R36">ROUND(IF(E36="Normal",J36*INDEX(Zones!$O$6:$O$35,MATCH(F36,Zones!$A$6:$A$35,0)),IF(E36="Boss",((Paramètres!$B$41-1)*Paramètres!$B$39+Paramètres!$B$42)*INDEX(Zones!$O$6:$O$35,MATCH(F36,Zones!$A$6:$A$35,0))+INDEX(Zones!$R$6:$R$35,MATCH(F36,Zones!$A$6:$A$35,0)),INDEX(Zones!$R$6:$R$35,MATCH(F36,Zones!$A$6:$A$35,0))))*ROUND(Paramètres!$B$49*B36^Paramètres!$B$50,0),0)</f>
        <v>3951</v>
      </c>
      <c r="S36" s="29" t="n">
        <f aca="false" t="array" ref="S36:S36">ROUND(IF(E36="Normal",J36*INDEX(Zones!$O$6:$O$35,MATCH(F36,Zones!$A$6:$A$35,0)),IF(E36="Boss",((Paramètres!$B$41-1)*Paramètres!$B$39+Paramètres!$B$42)*INDEX(Zones!$O$6:$O$35,MATCH(F36,Zones!$A$6:$A$35,0))+INDEX(Zones!$R$6:$R$35,MATCH(F36,Zones!$A$6:$A$35,0)),INDEX(Zones!$R$6:$R$35,MATCH(F36,Zones!$A$6:$A$35,0))))*ROUND(Paramètres!$B$53*B36^Paramètres!$B$54,0),0)</f>
        <v>2781</v>
      </c>
      <c r="T36" s="22" t="str">
        <f aca="false">IF(E36="Boss",G36,"—")</f>
        <v>—</v>
      </c>
      <c r="U36" s="37" t="n">
        <f aca="false">IF(E36="Dragon",0,(J36-IF(E36="Boss",1,0))*AVERAGEIFS(Monstres!$AL$7:$AL$98,Monstres!$B$7:$B$98,F36,Monstres!$G$7:$G$98,"Non"))</f>
        <v>0.45</v>
      </c>
      <c r="V36" s="74" t="n">
        <f aca="false">IF(E36="Boss",Butin!$E$10,IF(E36="Dragon",Butin!$E$11,0))</f>
        <v>0</v>
      </c>
      <c r="W36" s="37" t="n">
        <f aca="false">U36+V36</f>
        <v>0.45</v>
      </c>
      <c r="X36" s="77" t="n">
        <f aca="false">U36*INDEX(Butin!$E$15:$K$24,MATCH($A36,Éléments!$C$5:$C$14,1),1)+V36*IF(E36="Boss",INDEX(Butin!$E$28:$K$37,MATCH($A36,Éléments!$C$5:$C$14,1),1),IF(E36="Dragon",INDEX(Butin!$E$41:$K$50,MATCH($A36,Éléments!$C$5:$C$14,1),1),0))</f>
        <v>0.189</v>
      </c>
      <c r="Y36" s="77" t="n">
        <f aca="false">U36*INDEX(Butin!$E$15:$K$24,MATCH($A36,Éléments!$C$5:$C$14,1),2)+V36*IF(E36="Boss",INDEX(Butin!$E$28:$K$37,MATCH($A36,Éléments!$C$5:$C$14,1),2),IF(E36="Dragon",INDEX(Butin!$E$41:$K$50,MATCH($A36,Éléments!$C$5:$C$14,1),2),0))</f>
        <v>0.1485</v>
      </c>
      <c r="Z36" s="77" t="n">
        <f aca="false">U36*INDEX(Butin!$E$15:$K$24,MATCH($A36,Éléments!$C$5:$C$14,1),3)+V36*IF(E36="Boss",INDEX(Butin!$E$28:$K$37,MATCH($A36,Éléments!$C$5:$C$14,1),3),IF(E36="Dragon",INDEX(Butin!$E$41:$K$50,MATCH($A36,Éléments!$C$5:$C$14,1),3),0))</f>
        <v>0.081</v>
      </c>
      <c r="AA36" s="77" t="n">
        <f aca="false">U36*INDEX(Butin!$E$15:$K$24,MATCH($A36,Éléments!$C$5:$C$14,1),4)+V36*IF(E36="Boss",INDEX(Butin!$E$28:$K$37,MATCH($A36,Éléments!$C$5:$C$14,1),4),IF(E36="Dragon",INDEX(Butin!$E$41:$K$50,MATCH($A36,Éléments!$C$5:$C$14,1),4),0))</f>
        <v>0.027</v>
      </c>
      <c r="AB36" s="77" t="n">
        <f aca="false">U36*INDEX(Butin!$E$15:$K$24,MATCH($A36,Éléments!$C$5:$C$14,1),5)+V36*IF(E36="Boss",INDEX(Butin!$E$28:$K$37,MATCH($A36,Éléments!$C$5:$C$14,1),5),IF(E36="Dragon",INDEX(Butin!$E$41:$K$50,MATCH($A36,Éléments!$C$5:$C$14,1),5),0))</f>
        <v>0.0045</v>
      </c>
      <c r="AC36" s="77" t="n">
        <f aca="false">U36*INDEX(Butin!$E$15:$K$24,MATCH($A36,Éléments!$C$5:$C$14,1),6)+V36*IF(E36="Boss",INDEX(Butin!$E$28:$K$37,MATCH($A36,Éléments!$C$5:$C$14,1),6),IF(E36="Dragon",INDEX(Butin!$E$41:$K$50,MATCH($A36,Éléments!$C$5:$C$14,1),6),0))</f>
        <v>0</v>
      </c>
      <c r="AD36" s="77" t="n">
        <f aca="false">U36*INDEX(Butin!$E$15:$K$24,MATCH($A36,Éléments!$C$5:$C$14,1),7)+V36*IF(E36="Boss",INDEX(Butin!$E$28:$K$37,MATCH($A36,Éléments!$C$5:$C$14,1),7),IF(E36="Dragon",INDEX(Butin!$E$41:$K$50,MATCH($A36,Éléments!$C$5:$C$14,1),7),0))</f>
        <v>0</v>
      </c>
    </row>
    <row r="37" customFormat="false" ht="15.75" hidden="false" customHeight="true" outlineLevel="0" collapsed="false">
      <c r="A37" s="71" t="n">
        <v>32</v>
      </c>
      <c r="B37" s="23" t="n">
        <f aca="false">A37</f>
        <v>32</v>
      </c>
      <c r="C37" s="23" t="str">
        <f aca="false" t="array" ref="C37:C37">INDEX(Éléments!$B$5:$B$14,MATCH(A37,Éléments!$C$5:$C$14,1))</f>
        <v>Désert</v>
      </c>
      <c r="D37" s="43" t="str">
        <f aca="false" t="array" ref="D37:D37">INDEX(Éléments!$A$5:$A$14,MATCH(A37,Éléments!$C$5:$C$14,1))</f>
        <v>Vent</v>
      </c>
      <c r="E37" s="23" t="str">
        <f aca="false">IF(MOD(A37,5)=0,"Boss",IF(MOD(A37,10)=9,"Dragon","Normal"))</f>
        <v>Normal</v>
      </c>
      <c r="F37" s="23" t="n">
        <f aca="false">IF(E37="Normal",5*ROUNDUP(A37/5,0),A37)</f>
        <v>35</v>
      </c>
      <c r="G37" s="22" t="str">
        <f aca="false" t="array" ref="G37:G37">INDEX(Zones!$B$6:$B$35,MATCH(F37,Zones!$A$6:$A$35,0))</f>
        <v>Désert d'Arrakis</v>
      </c>
      <c r="H37" s="22" t="str">
        <f aca="false" t="array" ref="H37:H37">IF(E37="Normal","—",INDEX(Zones!$L$6:$L$35,MATCH(F37,Zones!$A$6:$A$35,0)))</f>
        <v>—</v>
      </c>
      <c r="I37" s="27" t="n">
        <f aca="false">IF(E37="Normal",Paramètres!$B$40,IF(E37="Boss",Paramètres!$B$41,1))</f>
        <v>3</v>
      </c>
      <c r="J37" s="23" t="n">
        <f aca="false">IF(E37="Normal",Paramètres!$B$40*Paramètres!$B$39,IF(E37="Boss",(Paramètres!$B$41-1)*Paramètres!$B$39+Paramètres!$B$42+1,1))</f>
        <v>9</v>
      </c>
      <c r="K37" s="33" t="n">
        <f aca="false" t="array" ref="K37:K37">IF(E37="Normal",Paramètres!$B$40*Paramètres!$B$39*(INDEX(Zones!$M$6:$M$35,MATCH(F37,Zones!$A$6:$A$35,0))*(1-Paramètres!$B$46)),IF(E37="Boss",((Paramètres!$B$41-1)*Paramètres!$B$39+Paramètres!$B$42)*(INDEX(Zones!$M$6:$M$35,MATCH(F37,Zones!$A$6:$A$35,0))*(1-Paramètres!$B$46))+INDEX(Zones!$P$6:$P$35,MATCH(F37,Zones!$A$6:$A$35,0)),INDEX(Zones!$P$6:$P$35,MATCH(F37,Zones!$A$6:$A$35,0))))</f>
        <v>9.675</v>
      </c>
      <c r="L37" s="27" t="n">
        <f aca="false">K37*Paramètres!$B$45+I37*Paramètres!$B$47</f>
        <v>60.375</v>
      </c>
      <c r="M37" s="30" t="n">
        <f aca="false" t="array" ref="M37:M37">IF(E37="Dragon",0,(INDEX(Zones!$N$6:$N$35,MATCH(F37,Zones!$A$6:$A$35,0))*Paramètres!$B$34*(INDEX(Zones!$M$6:$M$35,MATCH(F37,Zones!$A$6:$A$35,0))*(1-Paramètres!$B$46))*Paramètres!$B$39*(Paramètres!$B$39+1)/2))</f>
        <v>0.101609</v>
      </c>
      <c r="N37" s="30" t="n">
        <f aca="false" t="array" ref="N37:N37">IF(E37="Normal",0,IF(E37="Dragon",INDEX(Zones!$Q$6:$Q$35,MATCH(F37,Zones!$A$6:$A$35,0))*Paramètres!$B$34*INDEX(Zones!$P$6:$P$35,MATCH(F37,Zones!$A$6:$A$35,0)),INDEX(Zones!$Q$6:$Q$35,MATCH(F37,Zones!$A$6:$A$35,0))*Paramètres!$B$34*(INDEX(Zones!$P$6:$P$35,MATCH(F37,Zones!$A$6:$A$35,0))+Paramètres!$B$42*(INDEX(Zones!$M$6:$M$35,MATCH(F37,Zones!$A$6:$A$35,0))*(1-Paramètres!$B$46)))+INDEX(Zones!$N$6:$N$35,MATCH(F37,Zones!$A$6:$A$35,0))*Paramètres!$B$34*(INDEX(Zones!$M$6:$M$35,MATCH(F37,Zones!$A$6:$A$35,0))*(1-Paramètres!$B$46))*(Paramètres!$B$42*(Paramètres!$B$42+1)/2)))</f>
        <v>0</v>
      </c>
      <c r="O37" s="75" t="n">
        <f aca="false">MAX(M37,N37)</f>
        <v>0.101609</v>
      </c>
      <c r="P37" s="36" t="n">
        <f aca="false">IF(E37="Normal",M37*Paramètres!$B$40,IF(E37="Boss",M37*(Paramètres!$B$41-1)+N37,N37))</f>
        <v>0.304827</v>
      </c>
      <c r="Q37" s="76" t="str">
        <f aca="false">IF(O37&gt;Paramètres!$B$37,"Trop dur","OK")</f>
        <v>OK</v>
      </c>
      <c r="R37" s="29" t="n">
        <f aca="false" t="array" ref="R37:R37">ROUND(IF(E37="Normal",J37*INDEX(Zones!$O$6:$O$35,MATCH(F37,Zones!$A$6:$A$35,0)),IF(E37="Boss",((Paramètres!$B$41-1)*Paramètres!$B$39+Paramètres!$B$42)*INDEX(Zones!$O$6:$O$35,MATCH(F37,Zones!$A$6:$A$35,0))+INDEX(Zones!$R$6:$R$35,MATCH(F37,Zones!$A$6:$A$35,0)),INDEX(Zones!$R$6:$R$35,MATCH(F37,Zones!$A$6:$A$35,0))))*ROUND(Paramètres!$B$49*B37^Paramètres!$B$50,0),0)</f>
        <v>4113</v>
      </c>
      <c r="S37" s="29" t="n">
        <f aca="false" t="array" ref="S37:S37">ROUND(IF(E37="Normal",J37*INDEX(Zones!$O$6:$O$35,MATCH(F37,Zones!$A$6:$A$35,0)),IF(E37="Boss",((Paramètres!$B$41-1)*Paramètres!$B$39+Paramètres!$B$42)*INDEX(Zones!$O$6:$O$35,MATCH(F37,Zones!$A$6:$A$35,0))+INDEX(Zones!$R$6:$R$35,MATCH(F37,Zones!$A$6:$A$35,0)),INDEX(Zones!$R$6:$R$35,MATCH(F37,Zones!$A$6:$A$35,0))))*ROUND(Paramètres!$B$53*B37^Paramètres!$B$54,0),0)</f>
        <v>2907</v>
      </c>
      <c r="T37" s="22" t="str">
        <f aca="false">IF(E37="Boss",G37,"—")</f>
        <v>—</v>
      </c>
      <c r="U37" s="37" t="n">
        <f aca="false">IF(E37="Dragon",0,(J37-IF(E37="Boss",1,0))*AVERAGEIFS(Monstres!$AL$7:$AL$98,Monstres!$B$7:$B$98,F37,Monstres!$G$7:$G$98,"Non"))</f>
        <v>0.45</v>
      </c>
      <c r="V37" s="74" t="n">
        <f aca="false">IF(E37="Boss",Butin!$E$10,IF(E37="Dragon",Butin!$E$11,0))</f>
        <v>0</v>
      </c>
      <c r="W37" s="37" t="n">
        <f aca="false">U37+V37</f>
        <v>0.45</v>
      </c>
      <c r="X37" s="77" t="n">
        <f aca="false">U37*INDEX(Butin!$E$15:$K$24,MATCH($A37,Éléments!$C$5:$C$14,1),1)+V37*IF(E37="Boss",INDEX(Butin!$E$28:$K$37,MATCH($A37,Éléments!$C$5:$C$14,1),1),IF(E37="Dragon",INDEX(Butin!$E$41:$K$50,MATCH($A37,Éléments!$C$5:$C$14,1),1),0))</f>
        <v>0.189</v>
      </c>
      <c r="Y37" s="77" t="n">
        <f aca="false">U37*INDEX(Butin!$E$15:$K$24,MATCH($A37,Éléments!$C$5:$C$14,1),2)+V37*IF(E37="Boss",INDEX(Butin!$E$28:$K$37,MATCH($A37,Éléments!$C$5:$C$14,1),2),IF(E37="Dragon",INDEX(Butin!$E$41:$K$50,MATCH($A37,Éléments!$C$5:$C$14,1),2),0))</f>
        <v>0.1485</v>
      </c>
      <c r="Z37" s="77" t="n">
        <f aca="false">U37*INDEX(Butin!$E$15:$K$24,MATCH($A37,Éléments!$C$5:$C$14,1),3)+V37*IF(E37="Boss",INDEX(Butin!$E$28:$K$37,MATCH($A37,Éléments!$C$5:$C$14,1),3),IF(E37="Dragon",INDEX(Butin!$E$41:$K$50,MATCH($A37,Éléments!$C$5:$C$14,1),3),0))</f>
        <v>0.081</v>
      </c>
      <c r="AA37" s="77" t="n">
        <f aca="false">U37*INDEX(Butin!$E$15:$K$24,MATCH($A37,Éléments!$C$5:$C$14,1),4)+V37*IF(E37="Boss",INDEX(Butin!$E$28:$K$37,MATCH($A37,Éléments!$C$5:$C$14,1),4),IF(E37="Dragon",INDEX(Butin!$E$41:$K$50,MATCH($A37,Éléments!$C$5:$C$14,1),4),0))</f>
        <v>0.027</v>
      </c>
      <c r="AB37" s="77" t="n">
        <f aca="false">U37*INDEX(Butin!$E$15:$K$24,MATCH($A37,Éléments!$C$5:$C$14,1),5)+V37*IF(E37="Boss",INDEX(Butin!$E$28:$K$37,MATCH($A37,Éléments!$C$5:$C$14,1),5),IF(E37="Dragon",INDEX(Butin!$E$41:$K$50,MATCH($A37,Éléments!$C$5:$C$14,1),5),0))</f>
        <v>0.0045</v>
      </c>
      <c r="AC37" s="77" t="n">
        <f aca="false">U37*INDEX(Butin!$E$15:$K$24,MATCH($A37,Éléments!$C$5:$C$14,1),6)+V37*IF(E37="Boss",INDEX(Butin!$E$28:$K$37,MATCH($A37,Éléments!$C$5:$C$14,1),6),IF(E37="Dragon",INDEX(Butin!$E$41:$K$50,MATCH($A37,Éléments!$C$5:$C$14,1),6),0))</f>
        <v>0</v>
      </c>
      <c r="AD37" s="77" t="n">
        <f aca="false">U37*INDEX(Butin!$E$15:$K$24,MATCH($A37,Éléments!$C$5:$C$14,1),7)+V37*IF(E37="Boss",INDEX(Butin!$E$28:$K$37,MATCH($A37,Éléments!$C$5:$C$14,1),7),IF(E37="Dragon",INDEX(Butin!$E$41:$K$50,MATCH($A37,Éléments!$C$5:$C$14,1),7),0))</f>
        <v>0</v>
      </c>
    </row>
    <row r="38" customFormat="false" ht="15.75" hidden="false" customHeight="true" outlineLevel="0" collapsed="false">
      <c r="A38" s="71" t="n">
        <v>33</v>
      </c>
      <c r="B38" s="23" t="n">
        <f aca="false">A38</f>
        <v>33</v>
      </c>
      <c r="C38" s="23" t="str">
        <f aca="false" t="array" ref="C38:C38">INDEX(Éléments!$B$5:$B$14,MATCH(A38,Éléments!$C$5:$C$14,1))</f>
        <v>Désert</v>
      </c>
      <c r="D38" s="43" t="str">
        <f aca="false" t="array" ref="D38:D38">INDEX(Éléments!$A$5:$A$14,MATCH(A38,Éléments!$C$5:$C$14,1))</f>
        <v>Vent</v>
      </c>
      <c r="E38" s="23" t="str">
        <f aca="false">IF(MOD(A38,5)=0,"Boss",IF(MOD(A38,10)=9,"Dragon","Normal"))</f>
        <v>Normal</v>
      </c>
      <c r="F38" s="23" t="n">
        <f aca="false">IF(E38="Normal",5*ROUNDUP(A38/5,0),A38)</f>
        <v>35</v>
      </c>
      <c r="G38" s="22" t="str">
        <f aca="false" t="array" ref="G38:G38">INDEX(Zones!$B$6:$B$35,MATCH(F38,Zones!$A$6:$A$35,0))</f>
        <v>Désert d'Arrakis</v>
      </c>
      <c r="H38" s="22" t="str">
        <f aca="false" t="array" ref="H38:H38">IF(E38="Normal","—",INDEX(Zones!$L$6:$L$35,MATCH(F38,Zones!$A$6:$A$35,0)))</f>
        <v>—</v>
      </c>
      <c r="I38" s="27" t="n">
        <f aca="false">IF(E38="Normal",Paramètres!$B$40,IF(E38="Boss",Paramètres!$B$41,1))</f>
        <v>3</v>
      </c>
      <c r="J38" s="23" t="n">
        <f aca="false">IF(E38="Normal",Paramètres!$B$40*Paramètres!$B$39,IF(E38="Boss",(Paramètres!$B$41-1)*Paramètres!$B$39+Paramètres!$B$42+1,1))</f>
        <v>9</v>
      </c>
      <c r="K38" s="33" t="n">
        <f aca="false" t="array" ref="K38:K38">IF(E38="Normal",Paramètres!$B$40*Paramètres!$B$39*(INDEX(Zones!$M$6:$M$35,MATCH(F38,Zones!$A$6:$A$35,0))*(1-Paramètres!$B$46)),IF(E38="Boss",((Paramètres!$B$41-1)*Paramètres!$B$39+Paramètres!$B$42)*(INDEX(Zones!$M$6:$M$35,MATCH(F38,Zones!$A$6:$A$35,0))*(1-Paramètres!$B$46))+INDEX(Zones!$P$6:$P$35,MATCH(F38,Zones!$A$6:$A$35,0)),INDEX(Zones!$P$6:$P$35,MATCH(F38,Zones!$A$6:$A$35,0))))</f>
        <v>9.675</v>
      </c>
      <c r="L38" s="27" t="n">
        <f aca="false">K38*Paramètres!$B$45+I38*Paramètres!$B$47</f>
        <v>60.375</v>
      </c>
      <c r="M38" s="30" t="n">
        <f aca="false" t="array" ref="M38:M38">IF(E38="Dragon",0,(INDEX(Zones!$N$6:$N$35,MATCH(F38,Zones!$A$6:$A$35,0))*Paramètres!$B$34*(INDEX(Zones!$M$6:$M$35,MATCH(F38,Zones!$A$6:$A$35,0))*(1-Paramètres!$B$46))*Paramètres!$B$39*(Paramètres!$B$39+1)/2))</f>
        <v>0.101609</v>
      </c>
      <c r="N38" s="30" t="n">
        <f aca="false" t="array" ref="N38:N38">IF(E38="Normal",0,IF(E38="Dragon",INDEX(Zones!$Q$6:$Q$35,MATCH(F38,Zones!$A$6:$A$35,0))*Paramètres!$B$34*INDEX(Zones!$P$6:$P$35,MATCH(F38,Zones!$A$6:$A$35,0)),INDEX(Zones!$Q$6:$Q$35,MATCH(F38,Zones!$A$6:$A$35,0))*Paramètres!$B$34*(INDEX(Zones!$P$6:$P$35,MATCH(F38,Zones!$A$6:$A$35,0))+Paramètres!$B$42*(INDEX(Zones!$M$6:$M$35,MATCH(F38,Zones!$A$6:$A$35,0))*(1-Paramètres!$B$46)))+INDEX(Zones!$N$6:$N$35,MATCH(F38,Zones!$A$6:$A$35,0))*Paramètres!$B$34*(INDEX(Zones!$M$6:$M$35,MATCH(F38,Zones!$A$6:$A$35,0))*(1-Paramètres!$B$46))*(Paramètres!$B$42*(Paramètres!$B$42+1)/2)))</f>
        <v>0</v>
      </c>
      <c r="O38" s="75" t="n">
        <f aca="false">MAX(M38,N38)</f>
        <v>0.101609</v>
      </c>
      <c r="P38" s="36" t="n">
        <f aca="false">IF(E38="Normal",M38*Paramètres!$B$40,IF(E38="Boss",M38*(Paramètres!$B$41-1)+N38,N38))</f>
        <v>0.304827</v>
      </c>
      <c r="Q38" s="76" t="str">
        <f aca="false">IF(O38&gt;Paramètres!$B$37,"Trop dur","OK")</f>
        <v>OK</v>
      </c>
      <c r="R38" s="29" t="n">
        <f aca="false" t="array" ref="R38:R38">ROUND(IF(E38="Normal",J38*INDEX(Zones!$O$6:$O$35,MATCH(F38,Zones!$A$6:$A$35,0)),IF(E38="Boss",((Paramètres!$B$41-1)*Paramètres!$B$39+Paramètres!$B$42)*INDEX(Zones!$O$6:$O$35,MATCH(F38,Zones!$A$6:$A$35,0))+INDEX(Zones!$R$6:$R$35,MATCH(F38,Zones!$A$6:$A$35,0)),INDEX(Zones!$R$6:$R$35,MATCH(F38,Zones!$A$6:$A$35,0))))*ROUND(Paramètres!$B$49*B38^Paramètres!$B$50,0),0)</f>
        <v>4275</v>
      </c>
      <c r="S38" s="29" t="n">
        <f aca="false" t="array" ref="S38:S38">ROUND(IF(E38="Normal",J38*INDEX(Zones!$O$6:$O$35,MATCH(F38,Zones!$A$6:$A$35,0)),IF(E38="Boss",((Paramètres!$B$41-1)*Paramètres!$B$39+Paramètres!$B$42)*INDEX(Zones!$O$6:$O$35,MATCH(F38,Zones!$A$6:$A$35,0))+INDEX(Zones!$R$6:$R$35,MATCH(F38,Zones!$A$6:$A$35,0)),INDEX(Zones!$R$6:$R$35,MATCH(F38,Zones!$A$6:$A$35,0))))*ROUND(Paramètres!$B$53*B38^Paramètres!$B$54,0),0)</f>
        <v>3033</v>
      </c>
      <c r="T38" s="22" t="str">
        <f aca="false">IF(E38="Boss",G38,"—")</f>
        <v>—</v>
      </c>
      <c r="U38" s="37" t="n">
        <f aca="false">IF(E38="Dragon",0,(J38-IF(E38="Boss",1,0))*AVERAGEIFS(Monstres!$AL$7:$AL$98,Monstres!$B$7:$B$98,F38,Monstres!$G$7:$G$98,"Non"))</f>
        <v>0.45</v>
      </c>
      <c r="V38" s="74" t="n">
        <f aca="false">IF(E38="Boss",Butin!$E$10,IF(E38="Dragon",Butin!$E$11,0))</f>
        <v>0</v>
      </c>
      <c r="W38" s="37" t="n">
        <f aca="false">U38+V38</f>
        <v>0.45</v>
      </c>
      <c r="X38" s="77" t="n">
        <f aca="false">U38*INDEX(Butin!$E$15:$K$24,MATCH($A38,Éléments!$C$5:$C$14,1),1)+V38*IF(E38="Boss",INDEX(Butin!$E$28:$K$37,MATCH($A38,Éléments!$C$5:$C$14,1),1),IF(E38="Dragon",INDEX(Butin!$E$41:$K$50,MATCH($A38,Éléments!$C$5:$C$14,1),1),0))</f>
        <v>0.189</v>
      </c>
      <c r="Y38" s="77" t="n">
        <f aca="false">U38*INDEX(Butin!$E$15:$K$24,MATCH($A38,Éléments!$C$5:$C$14,1),2)+V38*IF(E38="Boss",INDEX(Butin!$E$28:$K$37,MATCH($A38,Éléments!$C$5:$C$14,1),2),IF(E38="Dragon",INDEX(Butin!$E$41:$K$50,MATCH($A38,Éléments!$C$5:$C$14,1),2),0))</f>
        <v>0.1485</v>
      </c>
      <c r="Z38" s="77" t="n">
        <f aca="false">U38*INDEX(Butin!$E$15:$K$24,MATCH($A38,Éléments!$C$5:$C$14,1),3)+V38*IF(E38="Boss",INDEX(Butin!$E$28:$K$37,MATCH($A38,Éléments!$C$5:$C$14,1),3),IF(E38="Dragon",INDEX(Butin!$E$41:$K$50,MATCH($A38,Éléments!$C$5:$C$14,1),3),0))</f>
        <v>0.081</v>
      </c>
      <c r="AA38" s="77" t="n">
        <f aca="false">U38*INDEX(Butin!$E$15:$K$24,MATCH($A38,Éléments!$C$5:$C$14,1),4)+V38*IF(E38="Boss",INDEX(Butin!$E$28:$K$37,MATCH($A38,Éléments!$C$5:$C$14,1),4),IF(E38="Dragon",INDEX(Butin!$E$41:$K$50,MATCH($A38,Éléments!$C$5:$C$14,1),4),0))</f>
        <v>0.027</v>
      </c>
      <c r="AB38" s="77" t="n">
        <f aca="false">U38*INDEX(Butin!$E$15:$K$24,MATCH($A38,Éléments!$C$5:$C$14,1),5)+V38*IF(E38="Boss",INDEX(Butin!$E$28:$K$37,MATCH($A38,Éléments!$C$5:$C$14,1),5),IF(E38="Dragon",INDEX(Butin!$E$41:$K$50,MATCH($A38,Éléments!$C$5:$C$14,1),5),0))</f>
        <v>0.0045</v>
      </c>
      <c r="AC38" s="77" t="n">
        <f aca="false">U38*INDEX(Butin!$E$15:$K$24,MATCH($A38,Éléments!$C$5:$C$14,1),6)+V38*IF(E38="Boss",INDEX(Butin!$E$28:$K$37,MATCH($A38,Éléments!$C$5:$C$14,1),6),IF(E38="Dragon",INDEX(Butin!$E$41:$K$50,MATCH($A38,Éléments!$C$5:$C$14,1),6),0))</f>
        <v>0</v>
      </c>
      <c r="AD38" s="77" t="n">
        <f aca="false">U38*INDEX(Butin!$E$15:$K$24,MATCH($A38,Éléments!$C$5:$C$14,1),7)+V38*IF(E38="Boss",INDEX(Butin!$E$28:$K$37,MATCH($A38,Éléments!$C$5:$C$14,1),7),IF(E38="Dragon",INDEX(Butin!$E$41:$K$50,MATCH($A38,Éléments!$C$5:$C$14,1),7),0))</f>
        <v>0</v>
      </c>
    </row>
    <row r="39" customFormat="false" ht="15.75" hidden="false" customHeight="true" outlineLevel="0" collapsed="false">
      <c r="A39" s="71" t="n">
        <v>34</v>
      </c>
      <c r="B39" s="23" t="n">
        <f aca="false">A39</f>
        <v>34</v>
      </c>
      <c r="C39" s="23" t="str">
        <f aca="false" t="array" ref="C39:C39">INDEX(Éléments!$B$5:$B$14,MATCH(A39,Éléments!$C$5:$C$14,1))</f>
        <v>Désert</v>
      </c>
      <c r="D39" s="43" t="str">
        <f aca="false" t="array" ref="D39:D39">INDEX(Éléments!$A$5:$A$14,MATCH(A39,Éléments!$C$5:$C$14,1))</f>
        <v>Vent</v>
      </c>
      <c r="E39" s="23" t="str">
        <f aca="false">IF(MOD(A39,5)=0,"Boss",IF(MOD(A39,10)=9,"Dragon","Normal"))</f>
        <v>Normal</v>
      </c>
      <c r="F39" s="23" t="n">
        <f aca="false">IF(E39="Normal",5*ROUNDUP(A39/5,0),A39)</f>
        <v>35</v>
      </c>
      <c r="G39" s="22" t="str">
        <f aca="false" t="array" ref="G39:G39">INDEX(Zones!$B$6:$B$35,MATCH(F39,Zones!$A$6:$A$35,0))</f>
        <v>Désert d'Arrakis</v>
      </c>
      <c r="H39" s="22" t="str">
        <f aca="false" t="array" ref="H39:H39">IF(E39="Normal","—",INDEX(Zones!$L$6:$L$35,MATCH(F39,Zones!$A$6:$A$35,0)))</f>
        <v>—</v>
      </c>
      <c r="I39" s="27" t="n">
        <f aca="false">IF(E39="Normal",Paramètres!$B$40,IF(E39="Boss",Paramètres!$B$41,1))</f>
        <v>3</v>
      </c>
      <c r="J39" s="23" t="n">
        <f aca="false">IF(E39="Normal",Paramètres!$B$40*Paramètres!$B$39,IF(E39="Boss",(Paramètres!$B$41-1)*Paramètres!$B$39+Paramètres!$B$42+1,1))</f>
        <v>9</v>
      </c>
      <c r="K39" s="33" t="n">
        <f aca="false" t="array" ref="K39:K39">IF(E39="Normal",Paramètres!$B$40*Paramètres!$B$39*(INDEX(Zones!$M$6:$M$35,MATCH(F39,Zones!$A$6:$A$35,0))*(1-Paramètres!$B$46)),IF(E39="Boss",((Paramètres!$B$41-1)*Paramètres!$B$39+Paramètres!$B$42)*(INDEX(Zones!$M$6:$M$35,MATCH(F39,Zones!$A$6:$A$35,0))*(1-Paramètres!$B$46))+INDEX(Zones!$P$6:$P$35,MATCH(F39,Zones!$A$6:$A$35,0)),INDEX(Zones!$P$6:$P$35,MATCH(F39,Zones!$A$6:$A$35,0))))</f>
        <v>9.675</v>
      </c>
      <c r="L39" s="27" t="n">
        <f aca="false">K39*Paramètres!$B$45+I39*Paramètres!$B$47</f>
        <v>60.375</v>
      </c>
      <c r="M39" s="30" t="n">
        <f aca="false" t="array" ref="M39:M39">IF(E39="Dragon",0,(INDEX(Zones!$N$6:$N$35,MATCH(F39,Zones!$A$6:$A$35,0))*Paramètres!$B$34*(INDEX(Zones!$M$6:$M$35,MATCH(F39,Zones!$A$6:$A$35,0))*(1-Paramètres!$B$46))*Paramètres!$B$39*(Paramètres!$B$39+1)/2))</f>
        <v>0.101609</v>
      </c>
      <c r="N39" s="30" t="n">
        <f aca="false" t="array" ref="N39:N39">IF(E39="Normal",0,IF(E39="Dragon",INDEX(Zones!$Q$6:$Q$35,MATCH(F39,Zones!$A$6:$A$35,0))*Paramètres!$B$34*INDEX(Zones!$P$6:$P$35,MATCH(F39,Zones!$A$6:$A$35,0)),INDEX(Zones!$Q$6:$Q$35,MATCH(F39,Zones!$A$6:$A$35,0))*Paramètres!$B$34*(INDEX(Zones!$P$6:$P$35,MATCH(F39,Zones!$A$6:$A$35,0))+Paramètres!$B$42*(INDEX(Zones!$M$6:$M$35,MATCH(F39,Zones!$A$6:$A$35,0))*(1-Paramètres!$B$46)))+INDEX(Zones!$N$6:$N$35,MATCH(F39,Zones!$A$6:$A$35,0))*Paramètres!$B$34*(INDEX(Zones!$M$6:$M$35,MATCH(F39,Zones!$A$6:$A$35,0))*(1-Paramètres!$B$46))*(Paramètres!$B$42*(Paramètres!$B$42+1)/2)))</f>
        <v>0</v>
      </c>
      <c r="O39" s="75" t="n">
        <f aca="false">MAX(M39,N39)</f>
        <v>0.101609</v>
      </c>
      <c r="P39" s="36" t="n">
        <f aca="false">IF(E39="Normal",M39*Paramètres!$B$40,IF(E39="Boss",M39*(Paramètres!$B$41-1)+N39,N39))</f>
        <v>0.304827</v>
      </c>
      <c r="Q39" s="76" t="str">
        <f aca="false">IF(O39&gt;Paramètres!$B$37,"Trop dur","OK")</f>
        <v>OK</v>
      </c>
      <c r="R39" s="29" t="n">
        <f aca="false" t="array" ref="R39:R39">ROUND(IF(E39="Normal",J39*INDEX(Zones!$O$6:$O$35,MATCH(F39,Zones!$A$6:$A$35,0)),IF(E39="Boss",((Paramètres!$B$41-1)*Paramètres!$B$39+Paramètres!$B$42)*INDEX(Zones!$O$6:$O$35,MATCH(F39,Zones!$A$6:$A$35,0))+INDEX(Zones!$R$6:$R$35,MATCH(F39,Zones!$A$6:$A$35,0)),INDEX(Zones!$R$6:$R$35,MATCH(F39,Zones!$A$6:$A$35,0))))*ROUND(Paramètres!$B$49*B39^Paramètres!$B$50,0),0)</f>
        <v>4437</v>
      </c>
      <c r="S39" s="29" t="n">
        <f aca="false" t="array" ref="S39:S39">ROUND(IF(E39="Normal",J39*INDEX(Zones!$O$6:$O$35,MATCH(F39,Zones!$A$6:$A$35,0)),IF(E39="Boss",((Paramètres!$B$41-1)*Paramètres!$B$39+Paramètres!$B$42)*INDEX(Zones!$O$6:$O$35,MATCH(F39,Zones!$A$6:$A$35,0))+INDEX(Zones!$R$6:$R$35,MATCH(F39,Zones!$A$6:$A$35,0)),INDEX(Zones!$R$6:$R$35,MATCH(F39,Zones!$A$6:$A$35,0))))*ROUND(Paramètres!$B$53*B39^Paramètres!$B$54,0),0)</f>
        <v>3150</v>
      </c>
      <c r="T39" s="22" t="str">
        <f aca="false">IF(E39="Boss",G39,"—")</f>
        <v>—</v>
      </c>
      <c r="U39" s="37" t="n">
        <f aca="false">IF(E39="Dragon",0,(J39-IF(E39="Boss",1,0))*AVERAGEIFS(Monstres!$AL$7:$AL$98,Monstres!$B$7:$B$98,F39,Monstres!$G$7:$G$98,"Non"))</f>
        <v>0.45</v>
      </c>
      <c r="V39" s="74" t="n">
        <f aca="false">IF(E39="Boss",Butin!$E$10,IF(E39="Dragon",Butin!$E$11,0))</f>
        <v>0</v>
      </c>
      <c r="W39" s="37" t="n">
        <f aca="false">U39+V39</f>
        <v>0.45</v>
      </c>
      <c r="X39" s="77" t="n">
        <f aca="false">U39*INDEX(Butin!$E$15:$K$24,MATCH($A39,Éléments!$C$5:$C$14,1),1)+V39*IF(E39="Boss",INDEX(Butin!$E$28:$K$37,MATCH($A39,Éléments!$C$5:$C$14,1),1),IF(E39="Dragon",INDEX(Butin!$E$41:$K$50,MATCH($A39,Éléments!$C$5:$C$14,1),1),0))</f>
        <v>0.189</v>
      </c>
      <c r="Y39" s="77" t="n">
        <f aca="false">U39*INDEX(Butin!$E$15:$K$24,MATCH($A39,Éléments!$C$5:$C$14,1),2)+V39*IF(E39="Boss",INDEX(Butin!$E$28:$K$37,MATCH($A39,Éléments!$C$5:$C$14,1),2),IF(E39="Dragon",INDEX(Butin!$E$41:$K$50,MATCH($A39,Éléments!$C$5:$C$14,1),2),0))</f>
        <v>0.1485</v>
      </c>
      <c r="Z39" s="77" t="n">
        <f aca="false">U39*INDEX(Butin!$E$15:$K$24,MATCH($A39,Éléments!$C$5:$C$14,1),3)+V39*IF(E39="Boss",INDEX(Butin!$E$28:$K$37,MATCH($A39,Éléments!$C$5:$C$14,1),3),IF(E39="Dragon",INDEX(Butin!$E$41:$K$50,MATCH($A39,Éléments!$C$5:$C$14,1),3),0))</f>
        <v>0.081</v>
      </c>
      <c r="AA39" s="77" t="n">
        <f aca="false">U39*INDEX(Butin!$E$15:$K$24,MATCH($A39,Éléments!$C$5:$C$14,1),4)+V39*IF(E39="Boss",INDEX(Butin!$E$28:$K$37,MATCH($A39,Éléments!$C$5:$C$14,1),4),IF(E39="Dragon",INDEX(Butin!$E$41:$K$50,MATCH($A39,Éléments!$C$5:$C$14,1),4),0))</f>
        <v>0.027</v>
      </c>
      <c r="AB39" s="77" t="n">
        <f aca="false">U39*INDEX(Butin!$E$15:$K$24,MATCH($A39,Éléments!$C$5:$C$14,1),5)+V39*IF(E39="Boss",INDEX(Butin!$E$28:$K$37,MATCH($A39,Éléments!$C$5:$C$14,1),5),IF(E39="Dragon",INDEX(Butin!$E$41:$K$50,MATCH($A39,Éléments!$C$5:$C$14,1),5),0))</f>
        <v>0.0045</v>
      </c>
      <c r="AC39" s="77" t="n">
        <f aca="false">U39*INDEX(Butin!$E$15:$K$24,MATCH($A39,Éléments!$C$5:$C$14,1),6)+V39*IF(E39="Boss",INDEX(Butin!$E$28:$K$37,MATCH($A39,Éléments!$C$5:$C$14,1),6),IF(E39="Dragon",INDEX(Butin!$E$41:$K$50,MATCH($A39,Éléments!$C$5:$C$14,1),6),0))</f>
        <v>0</v>
      </c>
      <c r="AD39" s="77" t="n">
        <f aca="false">U39*INDEX(Butin!$E$15:$K$24,MATCH($A39,Éléments!$C$5:$C$14,1),7)+V39*IF(E39="Boss",INDEX(Butin!$E$28:$K$37,MATCH($A39,Éléments!$C$5:$C$14,1),7),IF(E39="Dragon",INDEX(Butin!$E$41:$K$50,MATCH($A39,Éléments!$C$5:$C$14,1),7),0))</f>
        <v>0</v>
      </c>
    </row>
    <row r="40" customFormat="false" ht="15.75" hidden="false" customHeight="true" outlineLevel="0" collapsed="false">
      <c r="A40" s="71" t="n">
        <v>35</v>
      </c>
      <c r="B40" s="23" t="n">
        <f aca="false">A40</f>
        <v>35</v>
      </c>
      <c r="C40" s="23" t="str">
        <f aca="false" t="array" ref="C40:C40">INDEX(Éléments!$B$5:$B$14,MATCH(A40,Éléments!$C$5:$C$14,1))</f>
        <v>Désert</v>
      </c>
      <c r="D40" s="43" t="str">
        <f aca="false" t="array" ref="D40:D40">INDEX(Éléments!$A$5:$A$14,MATCH(A40,Éléments!$C$5:$C$14,1))</f>
        <v>Vent</v>
      </c>
      <c r="E40" s="23" t="str">
        <f aca="false">IF(MOD(A40,5)=0,"Boss",IF(MOD(A40,10)=9,"Dragon","Normal"))</f>
        <v>Boss</v>
      </c>
      <c r="F40" s="23" t="n">
        <f aca="false">IF(E40="Normal",5*ROUNDUP(A40/5,0),A40)</f>
        <v>35</v>
      </c>
      <c r="G40" s="22" t="str">
        <f aca="false" t="array" ref="G40:G40">INDEX(Zones!$B$6:$B$35,MATCH(F40,Zones!$A$6:$A$35,0))</f>
        <v>Désert d'Arrakis</v>
      </c>
      <c r="H40" s="22" t="str">
        <f aca="false" t="array" ref="H40:H40">IF(E40="Normal","—",INDEX(Zones!$L$6:$L$35,MATCH(F40,Zones!$A$6:$A$35,0)))</f>
        <v>Ver des sables</v>
      </c>
      <c r="I40" s="27" t="n">
        <f aca="false">IF(E40="Normal",Paramètres!$B$40,IF(E40="Boss",Paramètres!$B$41,1))</f>
        <v>5</v>
      </c>
      <c r="J40" s="27" t="n">
        <f aca="false">IF(E40="Normal",Paramètres!$B$40*Paramètres!$B$39,IF(E40="Boss",(Paramètres!$B$41-1)*Paramètres!$B$39+Paramètres!$B$42+1,1))</f>
        <v>15</v>
      </c>
      <c r="K40" s="33" t="n">
        <f aca="false" t="array" ref="K40:K40">IF(E40="Normal",Paramètres!$B$40*Paramètres!$B$39*(INDEX(Zones!$M$6:$M$35,MATCH(F40,Zones!$A$6:$A$35,0))*(1-Paramètres!$B$46)),IF(E40="Boss",((Paramètres!$B$41-1)*Paramètres!$B$39+Paramètres!$B$42)*(INDEX(Zones!$M$6:$M$35,MATCH(F40,Zones!$A$6:$A$35,0))*(1-Paramètres!$B$46))+INDEX(Zones!$P$6:$P$35,MATCH(F40,Zones!$A$6:$A$35,0)),INDEX(Zones!$P$6:$P$35,MATCH(F40,Zones!$A$6:$A$35,0))))</f>
        <v>33.05</v>
      </c>
      <c r="L40" s="27" t="n">
        <f aca="false">K40*Paramètres!$B$45+I40*Paramètres!$B$47</f>
        <v>185.25</v>
      </c>
      <c r="M40" s="30" t="n">
        <f aca="false" t="array" ref="M40:M40">IF(E40="Dragon",0,(INDEX(Zones!$N$6:$N$35,MATCH(F40,Zones!$A$6:$A$35,0))*Paramètres!$B$34*(INDEX(Zones!$M$6:$M$35,MATCH(F40,Zones!$A$6:$A$35,0))*(1-Paramètres!$B$46))*Paramètres!$B$39*(Paramètres!$B$39+1)/2))</f>
        <v>0.101609</v>
      </c>
      <c r="N40" s="30" t="n">
        <f aca="false" t="array" ref="N40:N40">IF(E40="Normal",0,IF(E40="Dragon",INDEX(Zones!$Q$6:$Q$35,MATCH(F40,Zones!$A$6:$A$35,0))*Paramètres!$B$34*INDEX(Zones!$P$6:$P$35,MATCH(F40,Zones!$A$6:$A$35,0)),INDEX(Zones!$Q$6:$Q$35,MATCH(F40,Zones!$A$6:$A$35,0))*Paramètres!$B$34*(INDEX(Zones!$P$6:$P$35,MATCH(F40,Zones!$A$6:$A$35,0))+Paramètres!$B$42*(INDEX(Zones!$M$6:$M$35,MATCH(F40,Zones!$A$6:$A$35,0))*(1-Paramètres!$B$46)))+INDEX(Zones!$N$6:$N$35,MATCH(F40,Zones!$A$6:$A$35,0))*Paramètres!$B$34*(INDEX(Zones!$M$6:$M$35,MATCH(F40,Zones!$A$6:$A$35,0))*(1-Paramètres!$B$46))*(Paramètres!$B$42*(Paramètres!$B$42+1)/2)))</f>
        <v>0.53893825</v>
      </c>
      <c r="O40" s="75" t="n">
        <f aca="false">MAX(M40,N40)</f>
        <v>0.53893825</v>
      </c>
      <c r="P40" s="36" t="n">
        <f aca="false">IF(E40="Normal",M40*Paramètres!$B$40,IF(E40="Boss",M40*(Paramètres!$B$41-1)+N40,N40))</f>
        <v>0.94537425</v>
      </c>
      <c r="Q40" s="76" t="str">
        <f aca="false">IF(O40&gt;Paramètres!$B$37,"Trop dur","OK")</f>
        <v>OK</v>
      </c>
      <c r="R40" s="29" t="n">
        <f aca="false" t="array" ref="R40:R40">ROUND(IF(E40="Normal",J40*INDEX(Zones!$O$6:$O$35,MATCH(F40,Zones!$A$6:$A$35,0)),IF(E40="Boss",((Paramètres!$B$41-1)*Paramètres!$B$39+Paramètres!$B$42)*INDEX(Zones!$O$6:$O$35,MATCH(F40,Zones!$A$6:$A$35,0))+INDEX(Zones!$R$6:$R$35,MATCH(F40,Zones!$A$6:$A$35,0)),INDEX(Zones!$R$6:$R$35,MATCH(F40,Zones!$A$6:$A$35,0))))*ROUND(Paramètres!$B$49*B40^Paramètres!$B$50,0),0)</f>
        <v>11242</v>
      </c>
      <c r="S40" s="29" t="n">
        <f aca="false" t="array" ref="S40:S40">ROUND(IF(E40="Normal",J40*INDEX(Zones!$O$6:$O$35,MATCH(F40,Zones!$A$6:$A$35,0)),IF(E40="Boss",((Paramètres!$B$41-1)*Paramètres!$B$39+Paramètres!$B$42)*INDEX(Zones!$O$6:$O$35,MATCH(F40,Zones!$A$6:$A$35,0))+INDEX(Zones!$R$6:$R$35,MATCH(F40,Zones!$A$6:$A$35,0)),INDEX(Zones!$R$6:$R$35,MATCH(F40,Zones!$A$6:$A$35,0))))*ROUND(Paramètres!$B$53*B40^Paramètres!$B$54,0),0)</f>
        <v>8008</v>
      </c>
      <c r="T40" s="22" t="str">
        <f aca="false">IF(E40="Boss",G40,"—")</f>
        <v>Désert d'Arrakis</v>
      </c>
      <c r="U40" s="37" t="n">
        <f aca="false">IF(E40="Dragon",0,(J40-IF(E40="Boss",1,0))*AVERAGEIFS(Monstres!$AL$7:$AL$98,Monstres!$B$7:$B$98,F40,Monstres!$G$7:$G$98,"Non"))</f>
        <v>0.7</v>
      </c>
      <c r="V40" s="74" t="n">
        <f aca="false">IF(E40="Boss",Butin!$E$10,IF(E40="Dragon",Butin!$E$11,0))</f>
        <v>1.4</v>
      </c>
      <c r="W40" s="37" t="n">
        <f aca="false">U40+V40</f>
        <v>2.1</v>
      </c>
      <c r="X40" s="77" t="n">
        <f aca="false">U40*INDEX(Butin!$E$15:$K$24,MATCH($A40,Éléments!$C$5:$C$14,1),1)+V40*IF(E40="Boss",INDEX(Butin!$E$28:$K$37,MATCH($A40,Éléments!$C$5:$C$14,1),1),IF(E40="Dragon",INDEX(Butin!$E$41:$K$50,MATCH($A40,Éléments!$C$5:$C$14,1),1),0))</f>
        <v>0.462</v>
      </c>
      <c r="Y40" s="77" t="n">
        <f aca="false">U40*INDEX(Butin!$E$15:$K$24,MATCH($A40,Éléments!$C$5:$C$14,1),2)+V40*IF(E40="Boss",INDEX(Butin!$E$28:$K$37,MATCH($A40,Éléments!$C$5:$C$14,1),2),IF(E40="Dragon",INDEX(Butin!$E$41:$K$50,MATCH($A40,Éléments!$C$5:$C$14,1),2),0))</f>
        <v>0.595</v>
      </c>
      <c r="Z40" s="77" t="n">
        <f aca="false">U40*INDEX(Butin!$E$15:$K$24,MATCH($A40,Éléments!$C$5:$C$14,1),3)+V40*IF(E40="Boss",INDEX(Butin!$E$28:$K$37,MATCH($A40,Éléments!$C$5:$C$14,1),3),IF(E40="Dragon",INDEX(Butin!$E$41:$K$50,MATCH($A40,Éléments!$C$5:$C$14,1),3),0))</f>
        <v>0.574</v>
      </c>
      <c r="AA40" s="77" t="n">
        <f aca="false">U40*INDEX(Butin!$E$15:$K$24,MATCH($A40,Éléments!$C$5:$C$14,1),4)+V40*IF(E40="Boss",INDEX(Butin!$E$28:$K$37,MATCH($A40,Éléments!$C$5:$C$14,1),4),IF(E40="Dragon",INDEX(Butin!$E$41:$K$50,MATCH($A40,Éléments!$C$5:$C$14,1),4),0))</f>
        <v>0.308</v>
      </c>
      <c r="AB40" s="77" t="n">
        <f aca="false">U40*INDEX(Butin!$E$15:$K$24,MATCH($A40,Éléments!$C$5:$C$14,1),5)+V40*IF(E40="Boss",INDEX(Butin!$E$28:$K$37,MATCH($A40,Éléments!$C$5:$C$14,1),5),IF(E40="Dragon",INDEX(Butin!$E$41:$K$50,MATCH($A40,Éléments!$C$5:$C$14,1),5),0))</f>
        <v>0.091</v>
      </c>
      <c r="AC40" s="77" t="n">
        <f aca="false">U40*INDEX(Butin!$E$15:$K$24,MATCH($A40,Éléments!$C$5:$C$14,1),6)+V40*IF(E40="Boss",INDEX(Butin!$E$28:$K$37,MATCH($A40,Éléments!$C$5:$C$14,1),6),IF(E40="Dragon",INDEX(Butin!$E$41:$K$50,MATCH($A40,Éléments!$C$5:$C$14,1),6),0))</f>
        <v>0.014</v>
      </c>
      <c r="AD40" s="77" t="n">
        <f aca="false">U40*INDEX(Butin!$E$15:$K$24,MATCH($A40,Éléments!$C$5:$C$14,1),7)+V40*IF(E40="Boss",INDEX(Butin!$E$28:$K$37,MATCH($A40,Éléments!$C$5:$C$14,1),7),IF(E40="Dragon",INDEX(Butin!$E$41:$K$50,MATCH($A40,Éléments!$C$5:$C$14,1),7),0))</f>
        <v>0.056</v>
      </c>
    </row>
    <row r="41" customFormat="false" ht="15.75" hidden="false" customHeight="true" outlineLevel="0" collapsed="false">
      <c r="A41" s="71" t="n">
        <v>36</v>
      </c>
      <c r="B41" s="23" t="n">
        <f aca="false">A41</f>
        <v>36</v>
      </c>
      <c r="C41" s="23" t="str">
        <f aca="false" t="array" ref="C41:C41">INDEX(Éléments!$B$5:$B$14,MATCH(A41,Éléments!$C$5:$C$14,1))</f>
        <v>Désert</v>
      </c>
      <c r="D41" s="43" t="str">
        <f aca="false" t="array" ref="D41:D41">INDEX(Éléments!$A$5:$A$14,MATCH(A41,Éléments!$C$5:$C$14,1))</f>
        <v>Vent</v>
      </c>
      <c r="E41" s="23" t="str">
        <f aca="false">IF(MOD(A41,5)=0,"Boss",IF(MOD(A41,10)=9,"Dragon","Normal"))</f>
        <v>Normal</v>
      </c>
      <c r="F41" s="23" t="n">
        <f aca="false">IF(E41="Normal",5*ROUNDUP(A41/5,0),A41)</f>
        <v>40</v>
      </c>
      <c r="G41" s="22" t="str">
        <f aca="false" t="array" ref="G41:G41">INDEX(Zones!$B$6:$B$35,MATCH(F41,Zones!$A$6:$A$35,0))</f>
        <v>Pyramide</v>
      </c>
      <c r="H41" s="22" t="str">
        <f aca="false" t="array" ref="H41:H41">IF(E41="Normal","—",INDEX(Zones!$L$6:$L$35,MATCH(F41,Zones!$A$6:$A$35,0)))</f>
        <v>—</v>
      </c>
      <c r="I41" s="27" t="n">
        <f aca="false">IF(E41="Normal",Paramètres!$B$40,IF(E41="Boss",Paramètres!$B$41,1))</f>
        <v>3</v>
      </c>
      <c r="J41" s="23" t="n">
        <f aca="false">IF(E41="Normal",Paramètres!$B$40*Paramètres!$B$39,IF(E41="Boss",(Paramètres!$B$41-1)*Paramètres!$B$39+Paramètres!$B$42+1,1))</f>
        <v>9</v>
      </c>
      <c r="K41" s="33" t="n">
        <f aca="false" t="array" ref="K41:K41">IF(E41="Normal",Paramètres!$B$40*Paramètres!$B$39*(INDEX(Zones!$M$6:$M$35,MATCH(F41,Zones!$A$6:$A$35,0))*(1-Paramètres!$B$46)),IF(E41="Boss",((Paramètres!$B$41-1)*Paramètres!$B$39+Paramètres!$B$42)*(INDEX(Zones!$M$6:$M$35,MATCH(F41,Zones!$A$6:$A$35,0))*(1-Paramètres!$B$46))+INDEX(Zones!$P$6:$P$35,MATCH(F41,Zones!$A$6:$A$35,0)),INDEX(Zones!$P$6:$P$35,MATCH(F41,Zones!$A$6:$A$35,0))))</f>
        <v>18</v>
      </c>
      <c r="L41" s="27" t="n">
        <f aca="false">K41*Paramètres!$B$45+I41*Paramètres!$B$47</f>
        <v>102</v>
      </c>
      <c r="M41" s="30" t="n">
        <f aca="false" t="array" ref="M41:M41">IF(E41="Dragon",0,(INDEX(Zones!$N$6:$N$35,MATCH(F41,Zones!$A$6:$A$35,0))*Paramètres!$B$34*(INDEX(Zones!$M$6:$M$35,MATCH(F41,Zones!$A$6:$A$35,0))*(1-Paramètres!$B$46))*Paramètres!$B$39*(Paramètres!$B$39+1)/2))</f>
        <v>0.17374</v>
      </c>
      <c r="N41" s="30" t="n">
        <f aca="false" t="array" ref="N41:N41">IF(E41="Normal",0,IF(E41="Dragon",INDEX(Zones!$Q$6:$Q$35,MATCH(F41,Zones!$A$6:$A$35,0))*Paramètres!$B$34*INDEX(Zones!$P$6:$P$35,MATCH(F41,Zones!$A$6:$A$35,0)),INDEX(Zones!$Q$6:$Q$35,MATCH(F41,Zones!$A$6:$A$35,0))*Paramètres!$B$34*(INDEX(Zones!$P$6:$P$35,MATCH(F41,Zones!$A$6:$A$35,0))+Paramètres!$B$42*(INDEX(Zones!$M$6:$M$35,MATCH(F41,Zones!$A$6:$A$35,0))*(1-Paramètres!$B$46)))+INDEX(Zones!$N$6:$N$35,MATCH(F41,Zones!$A$6:$A$35,0))*Paramètres!$B$34*(INDEX(Zones!$M$6:$M$35,MATCH(F41,Zones!$A$6:$A$35,0))*(1-Paramètres!$B$46))*(Paramètres!$B$42*(Paramètres!$B$42+1)/2)))</f>
        <v>0</v>
      </c>
      <c r="O41" s="75" t="n">
        <f aca="false">MAX(M41,N41)</f>
        <v>0.17374</v>
      </c>
      <c r="P41" s="36" t="n">
        <f aca="false">IF(E41="Normal",M41*Paramètres!$B$40,IF(E41="Boss",M41*(Paramètres!$B$41-1)+N41,N41))</f>
        <v>0.52122</v>
      </c>
      <c r="Q41" s="76" t="str">
        <f aca="false">IF(O41&gt;Paramètres!$B$37,"Trop dur","OK")</f>
        <v>OK</v>
      </c>
      <c r="R41" s="29" t="n">
        <f aca="false" t="array" ref="R41:R41">ROUND(IF(E41="Normal",J41*INDEX(Zones!$O$6:$O$35,MATCH(F41,Zones!$A$6:$A$35,0)),IF(E41="Boss",((Paramètres!$B$41-1)*Paramètres!$B$39+Paramètres!$B$42)*INDEX(Zones!$O$6:$O$35,MATCH(F41,Zones!$A$6:$A$35,0))+INDEX(Zones!$R$6:$R$35,MATCH(F41,Zones!$A$6:$A$35,0)),INDEX(Zones!$R$6:$R$35,MATCH(F41,Zones!$A$6:$A$35,0))))*ROUND(Paramètres!$B$49*B41^Paramètres!$B$50,0),0)</f>
        <v>5396</v>
      </c>
      <c r="S41" s="29" t="n">
        <f aca="false" t="array" ref="S41:S41">ROUND(IF(E41="Normal",J41*INDEX(Zones!$O$6:$O$35,MATCH(F41,Zones!$A$6:$A$35,0)),IF(E41="Boss",((Paramètres!$B$41-1)*Paramètres!$B$39+Paramètres!$B$42)*INDEX(Zones!$O$6:$O$35,MATCH(F41,Zones!$A$6:$A$35,0))+INDEX(Zones!$R$6:$R$35,MATCH(F41,Zones!$A$6:$A$35,0)),INDEX(Zones!$R$6:$R$35,MATCH(F41,Zones!$A$6:$A$35,0))))*ROUND(Paramètres!$B$53*B41^Paramètres!$B$54,0),0)</f>
        <v>3866</v>
      </c>
      <c r="T41" s="22" t="str">
        <f aca="false">IF(E41="Boss",G41,"—")</f>
        <v>—</v>
      </c>
      <c r="U41" s="37" t="n">
        <f aca="false">IF(E41="Dragon",0,(J41-IF(E41="Boss",1,0))*AVERAGEIFS(Monstres!$AL$7:$AL$98,Monstres!$B$7:$B$98,F41,Monstres!$G$7:$G$98,"Non"))</f>
        <v>0.54</v>
      </c>
      <c r="V41" s="74" t="n">
        <f aca="false">IF(E41="Boss",Butin!$E$10,IF(E41="Dragon",Butin!$E$11,0))</f>
        <v>0</v>
      </c>
      <c r="W41" s="37" t="n">
        <f aca="false">U41+V41</f>
        <v>0.54</v>
      </c>
      <c r="X41" s="77" t="n">
        <f aca="false">U41*INDEX(Butin!$E$15:$K$24,MATCH($A41,Éléments!$C$5:$C$14,1),1)+V41*IF(E41="Boss",INDEX(Butin!$E$28:$K$37,MATCH($A41,Éléments!$C$5:$C$14,1),1),IF(E41="Dragon",INDEX(Butin!$E$41:$K$50,MATCH($A41,Éléments!$C$5:$C$14,1),1),0))</f>
        <v>0.2268</v>
      </c>
      <c r="Y41" s="77" t="n">
        <f aca="false">U41*INDEX(Butin!$E$15:$K$24,MATCH($A41,Éléments!$C$5:$C$14,1),2)+V41*IF(E41="Boss",INDEX(Butin!$E$28:$K$37,MATCH($A41,Éléments!$C$5:$C$14,1),2),IF(E41="Dragon",INDEX(Butin!$E$41:$K$50,MATCH($A41,Éléments!$C$5:$C$14,1),2),0))</f>
        <v>0.1782</v>
      </c>
      <c r="Z41" s="77" t="n">
        <f aca="false">U41*INDEX(Butin!$E$15:$K$24,MATCH($A41,Éléments!$C$5:$C$14,1),3)+V41*IF(E41="Boss",INDEX(Butin!$E$28:$K$37,MATCH($A41,Éléments!$C$5:$C$14,1),3),IF(E41="Dragon",INDEX(Butin!$E$41:$K$50,MATCH($A41,Éléments!$C$5:$C$14,1),3),0))</f>
        <v>0.0972</v>
      </c>
      <c r="AA41" s="77" t="n">
        <f aca="false">U41*INDEX(Butin!$E$15:$K$24,MATCH($A41,Éléments!$C$5:$C$14,1),4)+V41*IF(E41="Boss",INDEX(Butin!$E$28:$K$37,MATCH($A41,Éléments!$C$5:$C$14,1),4),IF(E41="Dragon",INDEX(Butin!$E$41:$K$50,MATCH($A41,Éléments!$C$5:$C$14,1),4),0))</f>
        <v>0.0324</v>
      </c>
      <c r="AB41" s="77" t="n">
        <f aca="false">U41*INDEX(Butin!$E$15:$K$24,MATCH($A41,Éléments!$C$5:$C$14,1),5)+V41*IF(E41="Boss",INDEX(Butin!$E$28:$K$37,MATCH($A41,Éléments!$C$5:$C$14,1),5),IF(E41="Dragon",INDEX(Butin!$E$41:$K$50,MATCH($A41,Éléments!$C$5:$C$14,1),5),0))</f>
        <v>0.0054</v>
      </c>
      <c r="AC41" s="77" t="n">
        <f aca="false">U41*INDEX(Butin!$E$15:$K$24,MATCH($A41,Éléments!$C$5:$C$14,1),6)+V41*IF(E41="Boss",INDEX(Butin!$E$28:$K$37,MATCH($A41,Éléments!$C$5:$C$14,1),6),IF(E41="Dragon",INDEX(Butin!$E$41:$K$50,MATCH($A41,Éléments!$C$5:$C$14,1),6),0))</f>
        <v>0</v>
      </c>
      <c r="AD41" s="77" t="n">
        <f aca="false">U41*INDEX(Butin!$E$15:$K$24,MATCH($A41,Éléments!$C$5:$C$14,1),7)+V41*IF(E41="Boss",INDEX(Butin!$E$28:$K$37,MATCH($A41,Éléments!$C$5:$C$14,1),7),IF(E41="Dragon",INDEX(Butin!$E$41:$K$50,MATCH($A41,Éléments!$C$5:$C$14,1),7),0))</f>
        <v>0</v>
      </c>
    </row>
    <row r="42" customFormat="false" ht="15.75" hidden="false" customHeight="true" outlineLevel="0" collapsed="false">
      <c r="A42" s="71" t="n">
        <v>37</v>
      </c>
      <c r="B42" s="23" t="n">
        <f aca="false">A42</f>
        <v>37</v>
      </c>
      <c r="C42" s="23" t="str">
        <f aca="false" t="array" ref="C42:C42">INDEX(Éléments!$B$5:$B$14,MATCH(A42,Éléments!$C$5:$C$14,1))</f>
        <v>Désert</v>
      </c>
      <c r="D42" s="43" t="str">
        <f aca="false" t="array" ref="D42:D42">INDEX(Éléments!$A$5:$A$14,MATCH(A42,Éléments!$C$5:$C$14,1))</f>
        <v>Vent</v>
      </c>
      <c r="E42" s="23" t="str">
        <f aca="false">IF(MOD(A42,5)=0,"Boss",IF(MOD(A42,10)=9,"Dragon","Normal"))</f>
        <v>Normal</v>
      </c>
      <c r="F42" s="23" t="n">
        <f aca="false">IF(E42="Normal",5*ROUNDUP(A42/5,0),A42)</f>
        <v>40</v>
      </c>
      <c r="G42" s="22" t="str">
        <f aca="false" t="array" ref="G42:G42">INDEX(Zones!$B$6:$B$35,MATCH(F42,Zones!$A$6:$A$35,0))</f>
        <v>Pyramide</v>
      </c>
      <c r="H42" s="22" t="str">
        <f aca="false" t="array" ref="H42:H42">IF(E42="Normal","—",INDEX(Zones!$L$6:$L$35,MATCH(F42,Zones!$A$6:$A$35,0)))</f>
        <v>—</v>
      </c>
      <c r="I42" s="27" t="n">
        <f aca="false">IF(E42="Normal",Paramètres!$B$40,IF(E42="Boss",Paramètres!$B$41,1))</f>
        <v>3</v>
      </c>
      <c r="J42" s="23" t="n">
        <f aca="false">IF(E42="Normal",Paramètres!$B$40*Paramètres!$B$39,IF(E42="Boss",(Paramètres!$B$41-1)*Paramètres!$B$39+Paramètres!$B$42+1,1))</f>
        <v>9</v>
      </c>
      <c r="K42" s="33" t="n">
        <f aca="false" t="array" ref="K42:K42">IF(E42="Normal",Paramètres!$B$40*Paramètres!$B$39*(INDEX(Zones!$M$6:$M$35,MATCH(F42,Zones!$A$6:$A$35,0))*(1-Paramètres!$B$46)),IF(E42="Boss",((Paramètres!$B$41-1)*Paramètres!$B$39+Paramètres!$B$42)*(INDEX(Zones!$M$6:$M$35,MATCH(F42,Zones!$A$6:$A$35,0))*(1-Paramètres!$B$46))+INDEX(Zones!$P$6:$P$35,MATCH(F42,Zones!$A$6:$A$35,0)),INDEX(Zones!$P$6:$P$35,MATCH(F42,Zones!$A$6:$A$35,0))))</f>
        <v>18</v>
      </c>
      <c r="L42" s="27" t="n">
        <f aca="false">K42*Paramètres!$B$45+I42*Paramètres!$B$47</f>
        <v>102</v>
      </c>
      <c r="M42" s="30" t="n">
        <f aca="false" t="array" ref="M42:M42">IF(E42="Dragon",0,(INDEX(Zones!$N$6:$N$35,MATCH(F42,Zones!$A$6:$A$35,0))*Paramètres!$B$34*(INDEX(Zones!$M$6:$M$35,MATCH(F42,Zones!$A$6:$A$35,0))*(1-Paramètres!$B$46))*Paramètres!$B$39*(Paramètres!$B$39+1)/2))</f>
        <v>0.17374</v>
      </c>
      <c r="N42" s="30" t="n">
        <f aca="false" t="array" ref="N42:N42">IF(E42="Normal",0,IF(E42="Dragon",INDEX(Zones!$Q$6:$Q$35,MATCH(F42,Zones!$A$6:$A$35,0))*Paramètres!$B$34*INDEX(Zones!$P$6:$P$35,MATCH(F42,Zones!$A$6:$A$35,0)),INDEX(Zones!$Q$6:$Q$35,MATCH(F42,Zones!$A$6:$A$35,0))*Paramètres!$B$34*(INDEX(Zones!$P$6:$P$35,MATCH(F42,Zones!$A$6:$A$35,0))+Paramètres!$B$42*(INDEX(Zones!$M$6:$M$35,MATCH(F42,Zones!$A$6:$A$35,0))*(1-Paramètres!$B$46)))+INDEX(Zones!$N$6:$N$35,MATCH(F42,Zones!$A$6:$A$35,0))*Paramètres!$B$34*(INDEX(Zones!$M$6:$M$35,MATCH(F42,Zones!$A$6:$A$35,0))*(1-Paramètres!$B$46))*(Paramètres!$B$42*(Paramètres!$B$42+1)/2)))</f>
        <v>0</v>
      </c>
      <c r="O42" s="75" t="n">
        <f aca="false">MAX(M42,N42)</f>
        <v>0.17374</v>
      </c>
      <c r="P42" s="36" t="n">
        <f aca="false">IF(E42="Normal",M42*Paramètres!$B$40,IF(E42="Boss",M42*(Paramètres!$B$41-1)+N42,N42))</f>
        <v>0.52122</v>
      </c>
      <c r="Q42" s="76" t="str">
        <f aca="false">IF(O42&gt;Paramètres!$B$37,"Trop dur","OK")</f>
        <v>OK</v>
      </c>
      <c r="R42" s="29" t="n">
        <f aca="false" t="array" ref="R42:R42">ROUND(IF(E42="Normal",J42*INDEX(Zones!$O$6:$O$35,MATCH(F42,Zones!$A$6:$A$35,0)),IF(E42="Boss",((Paramètres!$B$41-1)*Paramètres!$B$39+Paramètres!$B$42)*INDEX(Zones!$O$6:$O$35,MATCH(F42,Zones!$A$6:$A$35,0))+INDEX(Zones!$R$6:$R$35,MATCH(F42,Zones!$A$6:$A$35,0)),INDEX(Zones!$R$6:$R$35,MATCH(F42,Zones!$A$6:$A$35,0))))*ROUND(Paramètres!$B$49*B42^Paramètres!$B$50,0),0)</f>
        <v>5590</v>
      </c>
      <c r="S42" s="29" t="n">
        <f aca="false" t="array" ref="S42:S42">ROUND(IF(E42="Normal",J42*INDEX(Zones!$O$6:$O$35,MATCH(F42,Zones!$A$6:$A$35,0)),IF(E42="Boss",((Paramètres!$B$41-1)*Paramètres!$B$39+Paramètres!$B$42)*INDEX(Zones!$O$6:$O$35,MATCH(F42,Zones!$A$6:$A$35,0))+INDEX(Zones!$R$6:$R$35,MATCH(F42,Zones!$A$6:$A$35,0)),INDEX(Zones!$R$6:$R$35,MATCH(F42,Zones!$A$6:$A$35,0))))*ROUND(Paramètres!$B$53*B42^Paramètres!$B$54,0),0)</f>
        <v>4009</v>
      </c>
      <c r="T42" s="22" t="str">
        <f aca="false">IF(E42="Boss",G42,"—")</f>
        <v>—</v>
      </c>
      <c r="U42" s="37" t="n">
        <f aca="false">IF(E42="Dragon",0,(J42-IF(E42="Boss",1,0))*AVERAGEIFS(Monstres!$AL$7:$AL$98,Monstres!$B$7:$B$98,F42,Monstres!$G$7:$G$98,"Non"))</f>
        <v>0.54</v>
      </c>
      <c r="V42" s="74" t="n">
        <f aca="false">IF(E42="Boss",Butin!$E$10,IF(E42="Dragon",Butin!$E$11,0))</f>
        <v>0</v>
      </c>
      <c r="W42" s="37" t="n">
        <f aca="false">U42+V42</f>
        <v>0.54</v>
      </c>
      <c r="X42" s="77" t="n">
        <f aca="false">U42*INDEX(Butin!$E$15:$K$24,MATCH($A42,Éléments!$C$5:$C$14,1),1)+V42*IF(E42="Boss",INDEX(Butin!$E$28:$K$37,MATCH($A42,Éléments!$C$5:$C$14,1),1),IF(E42="Dragon",INDEX(Butin!$E$41:$K$50,MATCH($A42,Éléments!$C$5:$C$14,1),1),0))</f>
        <v>0.2268</v>
      </c>
      <c r="Y42" s="77" t="n">
        <f aca="false">U42*INDEX(Butin!$E$15:$K$24,MATCH($A42,Éléments!$C$5:$C$14,1),2)+V42*IF(E42="Boss",INDEX(Butin!$E$28:$K$37,MATCH($A42,Éléments!$C$5:$C$14,1),2),IF(E42="Dragon",INDEX(Butin!$E$41:$K$50,MATCH($A42,Éléments!$C$5:$C$14,1),2),0))</f>
        <v>0.1782</v>
      </c>
      <c r="Z42" s="77" t="n">
        <f aca="false">U42*INDEX(Butin!$E$15:$K$24,MATCH($A42,Éléments!$C$5:$C$14,1),3)+V42*IF(E42="Boss",INDEX(Butin!$E$28:$K$37,MATCH($A42,Éléments!$C$5:$C$14,1),3),IF(E42="Dragon",INDEX(Butin!$E$41:$K$50,MATCH($A42,Éléments!$C$5:$C$14,1),3),0))</f>
        <v>0.0972</v>
      </c>
      <c r="AA42" s="77" t="n">
        <f aca="false">U42*INDEX(Butin!$E$15:$K$24,MATCH($A42,Éléments!$C$5:$C$14,1),4)+V42*IF(E42="Boss",INDEX(Butin!$E$28:$K$37,MATCH($A42,Éléments!$C$5:$C$14,1),4),IF(E42="Dragon",INDEX(Butin!$E$41:$K$50,MATCH($A42,Éléments!$C$5:$C$14,1),4),0))</f>
        <v>0.0324</v>
      </c>
      <c r="AB42" s="77" t="n">
        <f aca="false">U42*INDEX(Butin!$E$15:$K$24,MATCH($A42,Éléments!$C$5:$C$14,1),5)+V42*IF(E42="Boss",INDEX(Butin!$E$28:$K$37,MATCH($A42,Éléments!$C$5:$C$14,1),5),IF(E42="Dragon",INDEX(Butin!$E$41:$K$50,MATCH($A42,Éléments!$C$5:$C$14,1),5),0))</f>
        <v>0.0054</v>
      </c>
      <c r="AC42" s="77" t="n">
        <f aca="false">U42*INDEX(Butin!$E$15:$K$24,MATCH($A42,Éléments!$C$5:$C$14,1),6)+V42*IF(E42="Boss",INDEX(Butin!$E$28:$K$37,MATCH($A42,Éléments!$C$5:$C$14,1),6),IF(E42="Dragon",INDEX(Butin!$E$41:$K$50,MATCH($A42,Éléments!$C$5:$C$14,1),6),0))</f>
        <v>0</v>
      </c>
      <c r="AD42" s="77" t="n">
        <f aca="false">U42*INDEX(Butin!$E$15:$K$24,MATCH($A42,Éléments!$C$5:$C$14,1),7)+V42*IF(E42="Boss",INDEX(Butin!$E$28:$K$37,MATCH($A42,Éléments!$C$5:$C$14,1),7),IF(E42="Dragon",INDEX(Butin!$E$41:$K$50,MATCH($A42,Éléments!$C$5:$C$14,1),7),0))</f>
        <v>0</v>
      </c>
    </row>
    <row r="43" customFormat="false" ht="15.75" hidden="false" customHeight="true" outlineLevel="0" collapsed="false">
      <c r="A43" s="71" t="n">
        <v>38</v>
      </c>
      <c r="B43" s="23" t="n">
        <f aca="false">A43</f>
        <v>38</v>
      </c>
      <c r="C43" s="23" t="str">
        <f aca="false" t="array" ref="C43:C43">INDEX(Éléments!$B$5:$B$14,MATCH(A43,Éléments!$C$5:$C$14,1))</f>
        <v>Désert</v>
      </c>
      <c r="D43" s="43" t="str">
        <f aca="false" t="array" ref="D43:D43">INDEX(Éléments!$A$5:$A$14,MATCH(A43,Éléments!$C$5:$C$14,1))</f>
        <v>Vent</v>
      </c>
      <c r="E43" s="23" t="str">
        <f aca="false">IF(MOD(A43,5)=0,"Boss",IF(MOD(A43,10)=9,"Dragon","Normal"))</f>
        <v>Normal</v>
      </c>
      <c r="F43" s="23" t="n">
        <f aca="false">IF(E43="Normal",5*ROUNDUP(A43/5,0),A43)</f>
        <v>40</v>
      </c>
      <c r="G43" s="22" t="str">
        <f aca="false" t="array" ref="G43:G43">INDEX(Zones!$B$6:$B$35,MATCH(F43,Zones!$A$6:$A$35,0))</f>
        <v>Pyramide</v>
      </c>
      <c r="H43" s="22" t="str">
        <f aca="false" t="array" ref="H43:H43">IF(E43="Normal","—",INDEX(Zones!$L$6:$L$35,MATCH(F43,Zones!$A$6:$A$35,0)))</f>
        <v>—</v>
      </c>
      <c r="I43" s="27" t="n">
        <f aca="false">IF(E43="Normal",Paramètres!$B$40,IF(E43="Boss",Paramètres!$B$41,1))</f>
        <v>3</v>
      </c>
      <c r="J43" s="23" t="n">
        <f aca="false">IF(E43="Normal",Paramètres!$B$40*Paramètres!$B$39,IF(E43="Boss",(Paramètres!$B$41-1)*Paramètres!$B$39+Paramètres!$B$42+1,1))</f>
        <v>9</v>
      </c>
      <c r="K43" s="33" t="n">
        <f aca="false" t="array" ref="K43:K43">IF(E43="Normal",Paramètres!$B$40*Paramètres!$B$39*(INDEX(Zones!$M$6:$M$35,MATCH(F43,Zones!$A$6:$A$35,0))*(1-Paramètres!$B$46)),IF(E43="Boss",((Paramètres!$B$41-1)*Paramètres!$B$39+Paramètres!$B$42)*(INDEX(Zones!$M$6:$M$35,MATCH(F43,Zones!$A$6:$A$35,0))*(1-Paramètres!$B$46))+INDEX(Zones!$P$6:$P$35,MATCH(F43,Zones!$A$6:$A$35,0)),INDEX(Zones!$P$6:$P$35,MATCH(F43,Zones!$A$6:$A$35,0))))</f>
        <v>18</v>
      </c>
      <c r="L43" s="27" t="n">
        <f aca="false">K43*Paramètres!$B$45+I43*Paramètres!$B$47</f>
        <v>102</v>
      </c>
      <c r="M43" s="30" t="n">
        <f aca="false" t="array" ref="M43:M43">IF(E43="Dragon",0,(INDEX(Zones!$N$6:$N$35,MATCH(F43,Zones!$A$6:$A$35,0))*Paramètres!$B$34*(INDEX(Zones!$M$6:$M$35,MATCH(F43,Zones!$A$6:$A$35,0))*(1-Paramètres!$B$46))*Paramètres!$B$39*(Paramètres!$B$39+1)/2))</f>
        <v>0.17374</v>
      </c>
      <c r="N43" s="30" t="n">
        <f aca="false" t="array" ref="N43:N43">IF(E43="Normal",0,IF(E43="Dragon",INDEX(Zones!$Q$6:$Q$35,MATCH(F43,Zones!$A$6:$A$35,0))*Paramètres!$B$34*INDEX(Zones!$P$6:$P$35,MATCH(F43,Zones!$A$6:$A$35,0)),INDEX(Zones!$Q$6:$Q$35,MATCH(F43,Zones!$A$6:$A$35,0))*Paramètres!$B$34*(INDEX(Zones!$P$6:$P$35,MATCH(F43,Zones!$A$6:$A$35,0))+Paramètres!$B$42*(INDEX(Zones!$M$6:$M$35,MATCH(F43,Zones!$A$6:$A$35,0))*(1-Paramètres!$B$46)))+INDEX(Zones!$N$6:$N$35,MATCH(F43,Zones!$A$6:$A$35,0))*Paramètres!$B$34*(INDEX(Zones!$M$6:$M$35,MATCH(F43,Zones!$A$6:$A$35,0))*(1-Paramètres!$B$46))*(Paramètres!$B$42*(Paramètres!$B$42+1)/2)))</f>
        <v>0</v>
      </c>
      <c r="O43" s="75" t="n">
        <f aca="false">MAX(M43,N43)</f>
        <v>0.17374</v>
      </c>
      <c r="P43" s="36" t="n">
        <f aca="false">IF(E43="Normal",M43*Paramètres!$B$40,IF(E43="Boss",M43*(Paramètres!$B$41-1)+N43,N43))</f>
        <v>0.52122</v>
      </c>
      <c r="Q43" s="76" t="str">
        <f aca="false">IF(O43&gt;Paramètres!$B$37,"Trop dur","OK")</f>
        <v>OK</v>
      </c>
      <c r="R43" s="29" t="n">
        <f aca="false" t="array" ref="R43:R43">ROUND(IF(E43="Normal",J43*INDEX(Zones!$O$6:$O$35,MATCH(F43,Zones!$A$6:$A$35,0)),IF(E43="Boss",((Paramètres!$B$41-1)*Paramètres!$B$39+Paramètres!$B$42)*INDEX(Zones!$O$6:$O$35,MATCH(F43,Zones!$A$6:$A$35,0))+INDEX(Zones!$R$6:$R$35,MATCH(F43,Zones!$A$6:$A$35,0)),INDEX(Zones!$R$6:$R$35,MATCH(F43,Zones!$A$6:$A$35,0))))*ROUND(Paramètres!$B$49*B43^Paramètres!$B$50,0),0)</f>
        <v>5773</v>
      </c>
      <c r="S43" s="29" t="n">
        <f aca="false" t="array" ref="S43:S43">ROUND(IF(E43="Normal",J43*INDEX(Zones!$O$6:$O$35,MATCH(F43,Zones!$A$6:$A$35,0)),IF(E43="Boss",((Paramètres!$B$41-1)*Paramètres!$B$39+Paramètres!$B$42)*INDEX(Zones!$O$6:$O$35,MATCH(F43,Zones!$A$6:$A$35,0))+INDEX(Zones!$R$6:$R$35,MATCH(F43,Zones!$A$6:$A$35,0)),INDEX(Zones!$R$6:$R$35,MATCH(F43,Zones!$A$6:$A$35,0))))*ROUND(Paramètres!$B$53*B43^Paramètres!$B$54,0),0)</f>
        <v>4151</v>
      </c>
      <c r="T43" s="22" t="str">
        <f aca="false">IF(E43="Boss",G43,"—")</f>
        <v>—</v>
      </c>
      <c r="U43" s="37" t="n">
        <f aca="false">IF(E43="Dragon",0,(J43-IF(E43="Boss",1,0))*AVERAGEIFS(Monstres!$AL$7:$AL$98,Monstres!$B$7:$B$98,F43,Monstres!$G$7:$G$98,"Non"))</f>
        <v>0.54</v>
      </c>
      <c r="V43" s="74" t="n">
        <f aca="false">IF(E43="Boss",Butin!$E$10,IF(E43="Dragon",Butin!$E$11,0))</f>
        <v>0</v>
      </c>
      <c r="W43" s="37" t="n">
        <f aca="false">U43+V43</f>
        <v>0.54</v>
      </c>
      <c r="X43" s="77" t="n">
        <f aca="false">U43*INDEX(Butin!$E$15:$K$24,MATCH($A43,Éléments!$C$5:$C$14,1),1)+V43*IF(E43="Boss",INDEX(Butin!$E$28:$K$37,MATCH($A43,Éléments!$C$5:$C$14,1),1),IF(E43="Dragon",INDEX(Butin!$E$41:$K$50,MATCH($A43,Éléments!$C$5:$C$14,1),1),0))</f>
        <v>0.2268</v>
      </c>
      <c r="Y43" s="77" t="n">
        <f aca="false">U43*INDEX(Butin!$E$15:$K$24,MATCH($A43,Éléments!$C$5:$C$14,1),2)+V43*IF(E43="Boss",INDEX(Butin!$E$28:$K$37,MATCH($A43,Éléments!$C$5:$C$14,1),2),IF(E43="Dragon",INDEX(Butin!$E$41:$K$50,MATCH($A43,Éléments!$C$5:$C$14,1),2),0))</f>
        <v>0.1782</v>
      </c>
      <c r="Z43" s="77" t="n">
        <f aca="false">U43*INDEX(Butin!$E$15:$K$24,MATCH($A43,Éléments!$C$5:$C$14,1),3)+V43*IF(E43="Boss",INDEX(Butin!$E$28:$K$37,MATCH($A43,Éléments!$C$5:$C$14,1),3),IF(E43="Dragon",INDEX(Butin!$E$41:$K$50,MATCH($A43,Éléments!$C$5:$C$14,1),3),0))</f>
        <v>0.0972</v>
      </c>
      <c r="AA43" s="77" t="n">
        <f aca="false">U43*INDEX(Butin!$E$15:$K$24,MATCH($A43,Éléments!$C$5:$C$14,1),4)+V43*IF(E43="Boss",INDEX(Butin!$E$28:$K$37,MATCH($A43,Éléments!$C$5:$C$14,1),4),IF(E43="Dragon",INDEX(Butin!$E$41:$K$50,MATCH($A43,Éléments!$C$5:$C$14,1),4),0))</f>
        <v>0.0324</v>
      </c>
      <c r="AB43" s="77" t="n">
        <f aca="false">U43*INDEX(Butin!$E$15:$K$24,MATCH($A43,Éléments!$C$5:$C$14,1),5)+V43*IF(E43="Boss",INDEX(Butin!$E$28:$K$37,MATCH($A43,Éléments!$C$5:$C$14,1),5),IF(E43="Dragon",INDEX(Butin!$E$41:$K$50,MATCH($A43,Éléments!$C$5:$C$14,1),5),0))</f>
        <v>0.0054</v>
      </c>
      <c r="AC43" s="77" t="n">
        <f aca="false">U43*INDEX(Butin!$E$15:$K$24,MATCH($A43,Éléments!$C$5:$C$14,1),6)+V43*IF(E43="Boss",INDEX(Butin!$E$28:$K$37,MATCH($A43,Éléments!$C$5:$C$14,1),6),IF(E43="Dragon",INDEX(Butin!$E$41:$K$50,MATCH($A43,Éléments!$C$5:$C$14,1),6),0))</f>
        <v>0</v>
      </c>
      <c r="AD43" s="77" t="n">
        <f aca="false">U43*INDEX(Butin!$E$15:$K$24,MATCH($A43,Éléments!$C$5:$C$14,1),7)+V43*IF(E43="Boss",INDEX(Butin!$E$28:$K$37,MATCH($A43,Éléments!$C$5:$C$14,1),7),IF(E43="Dragon",INDEX(Butin!$E$41:$K$50,MATCH($A43,Éléments!$C$5:$C$14,1),7),0))</f>
        <v>0</v>
      </c>
    </row>
    <row r="44" customFormat="false" ht="15.75" hidden="false" customHeight="true" outlineLevel="0" collapsed="false">
      <c r="A44" s="71" t="n">
        <v>39</v>
      </c>
      <c r="B44" s="23" t="n">
        <f aca="false">A44</f>
        <v>39</v>
      </c>
      <c r="C44" s="23" t="str">
        <f aca="false" t="array" ref="C44:C44">INDEX(Éléments!$B$5:$B$14,MATCH(A44,Éléments!$C$5:$C$14,1))</f>
        <v>Désert</v>
      </c>
      <c r="D44" s="43" t="str">
        <f aca="false" t="array" ref="D44:D44">INDEX(Éléments!$A$5:$A$14,MATCH(A44,Éléments!$C$5:$C$14,1))</f>
        <v>Vent</v>
      </c>
      <c r="E44" s="23" t="str">
        <f aca="false">IF(MOD(A44,5)=0,"Boss",IF(MOD(A44,10)=9,"Dragon","Normal"))</f>
        <v>Dragon</v>
      </c>
      <c r="F44" s="23" t="n">
        <f aca="false">IF(E44="Normal",5*ROUNDUP(A44/5,0),A44)</f>
        <v>39</v>
      </c>
      <c r="G44" s="22" t="str">
        <f aca="false" t="array" ref="G44:G44">INDEX(Zones!$B$6:$B$35,MATCH(F44,Zones!$A$6:$A$35,0))</f>
        <v>Tannière du dragon (39)</v>
      </c>
      <c r="H44" s="22" t="str">
        <f aca="false" t="array" ref="H44:H44">IF(E44="Normal","—",INDEX(Zones!$L$6:$L$35,MATCH(F44,Zones!$A$6:$A$35,0)))</f>
        <v>Dragon (Vent)</v>
      </c>
      <c r="I44" s="23" t="n">
        <f aca="false">IF(E44="Normal",Paramètres!$B$40,IF(E44="Boss",Paramètres!$B$41,1))</f>
        <v>1</v>
      </c>
      <c r="J44" s="23" t="n">
        <f aca="false">IF(E44="Normal",Paramètres!$B$40*Paramètres!$B$39,IF(E44="Boss",(Paramètres!$B$41-1)*Paramètres!$B$39+Paramètres!$B$42+1,1))</f>
        <v>1</v>
      </c>
      <c r="K44" s="33" t="n">
        <f aca="false" t="array" ref="K44:K44">IF(E44="Normal",Paramètres!$B$40*Paramètres!$B$39*(INDEX(Zones!$M$6:$M$35,MATCH(F44,Zones!$A$6:$A$35,0))*(1-Paramètres!$B$46)),IF(E44="Boss",((Paramètres!$B$41-1)*Paramètres!$B$39+Paramètres!$B$42)*(INDEX(Zones!$M$6:$M$35,MATCH(F44,Zones!$A$6:$A$35,0))*(1-Paramètres!$B$46))+INDEX(Zones!$P$6:$P$35,MATCH(F44,Zones!$A$6:$A$35,0)),INDEX(Zones!$P$6:$P$35,MATCH(F44,Zones!$A$6:$A$35,0))))</f>
        <v>20</v>
      </c>
      <c r="L44" s="27" t="n">
        <f aca="false">K44*Paramètres!$B$45+I44*Paramètres!$B$47</f>
        <v>104</v>
      </c>
      <c r="M44" s="30" t="n">
        <f aca="false" t="array" ref="M44:M44">IF(E44="Dragon",0,(INDEX(Zones!$N$6:$N$35,MATCH(F44,Zones!$A$6:$A$35,0))*Paramètres!$B$34*(INDEX(Zones!$M$6:$M$35,MATCH(F44,Zones!$A$6:$A$35,0))*(1-Paramètres!$B$46))*Paramètres!$B$39*(Paramètres!$B$39+1)/2))</f>
        <v>0</v>
      </c>
      <c r="N44" s="30" t="n">
        <f aca="false" t="array" ref="N44:N44">IF(E44="Normal",0,IF(E44="Dragon",INDEX(Zones!$Q$6:$Q$35,MATCH(F44,Zones!$A$6:$A$35,0))*Paramètres!$B$34*INDEX(Zones!$P$6:$P$35,MATCH(F44,Zones!$A$6:$A$35,0)),INDEX(Zones!$Q$6:$Q$35,MATCH(F44,Zones!$A$6:$A$35,0))*Paramètres!$B$34*(INDEX(Zones!$P$6:$P$35,MATCH(F44,Zones!$A$6:$A$35,0))+Paramètres!$B$42*(INDEX(Zones!$M$6:$M$35,MATCH(F44,Zones!$A$6:$A$35,0))*(1-Paramètres!$B$46)))+INDEX(Zones!$N$6:$N$35,MATCH(F44,Zones!$A$6:$A$35,0))*Paramètres!$B$34*(INDEX(Zones!$M$6:$M$35,MATCH(F44,Zones!$A$6:$A$35,0))*(1-Paramètres!$B$46))*(Paramètres!$B$42*(Paramètres!$B$42+1)/2)))</f>
        <v>0.51</v>
      </c>
      <c r="O44" s="75" t="n">
        <f aca="false">MAX(M44,N44)</f>
        <v>0.51</v>
      </c>
      <c r="P44" s="36" t="n">
        <f aca="false">IF(E44="Normal",M44*Paramètres!$B$40,IF(E44="Boss",M44*(Paramètres!$B$41-1)+N44,N44))</f>
        <v>0.51</v>
      </c>
      <c r="Q44" s="76" t="str">
        <f aca="false">IF(O44&gt;Paramètres!$B$37,"Trop dur","OK")</f>
        <v>OK</v>
      </c>
      <c r="R44" s="29" t="n">
        <f aca="false" t="array" ref="R44:R44">ROUND(IF(E44="Normal",J44*INDEX(Zones!$O$6:$O$35,MATCH(F44,Zones!$A$6:$A$35,0)),IF(E44="Boss",((Paramètres!$B$41-1)*Paramètres!$B$39+Paramètres!$B$42)*INDEX(Zones!$O$6:$O$35,MATCH(F44,Zones!$A$6:$A$35,0))+INDEX(Zones!$R$6:$R$35,MATCH(F44,Zones!$A$6:$A$35,0)),INDEX(Zones!$R$6:$R$35,MATCH(F44,Zones!$A$6:$A$35,0))))*ROUND(Paramètres!$B$49*B44^Paramètres!$B$50,0),0)</f>
        <v>7020</v>
      </c>
      <c r="S44" s="29" t="n">
        <f aca="false" t="array" ref="S44:S44">ROUND(IF(E44="Normal",J44*INDEX(Zones!$O$6:$O$35,MATCH(F44,Zones!$A$6:$A$35,0)),IF(E44="Boss",((Paramètres!$B$41-1)*Paramètres!$B$39+Paramètres!$B$42)*INDEX(Zones!$O$6:$O$35,MATCH(F44,Zones!$A$6:$A$35,0))+INDEX(Zones!$R$6:$R$35,MATCH(F44,Zones!$A$6:$A$35,0)),INDEX(Zones!$R$6:$R$35,MATCH(F44,Zones!$A$6:$A$35,0))))*ROUND(Paramètres!$B$53*B44^Paramètres!$B$54,0),0)</f>
        <v>5064</v>
      </c>
      <c r="T44" s="22" t="str">
        <f aca="false">IF(E44="Boss",G44,"—")</f>
        <v>—</v>
      </c>
      <c r="U44" s="37" t="n">
        <f aca="false">IF(E44="Dragon",0,(J44-IF(E44="Boss",1,0))*AVERAGEIFS(Monstres!$AL$7:$AL$98,Monstres!$B$7:$B$98,F44,Monstres!$G$7:$G$98,"Non"))</f>
        <v>0</v>
      </c>
      <c r="V44" s="74" t="n">
        <f aca="false">IF(E44="Boss",Butin!$E$10,IF(E44="Dragon",Butin!$E$11,0))</f>
        <v>2.5</v>
      </c>
      <c r="W44" s="37" t="n">
        <f aca="false">U44+V44</f>
        <v>2.5</v>
      </c>
      <c r="X44" s="77" t="n">
        <f aca="false">U44*INDEX(Butin!$E$15:$K$24,MATCH($A44,Éléments!$C$5:$C$14,1),1)+V44*IF(E44="Boss",INDEX(Butin!$E$28:$K$37,MATCH($A44,Éléments!$C$5:$C$14,1),1),IF(E44="Dragon",INDEX(Butin!$E$41:$K$50,MATCH($A44,Éléments!$C$5:$C$14,1),1),0))</f>
        <v>0.175</v>
      </c>
      <c r="Y44" s="77" t="n">
        <f aca="false">U44*INDEX(Butin!$E$15:$K$24,MATCH($A44,Éléments!$C$5:$C$14,1),2)+V44*IF(E44="Boss",INDEX(Butin!$E$28:$K$37,MATCH($A44,Éléments!$C$5:$C$14,1),2),IF(E44="Dragon",INDEX(Butin!$E$41:$K$50,MATCH($A44,Éléments!$C$5:$C$14,1),2),0))</f>
        <v>0.6</v>
      </c>
      <c r="Z44" s="77" t="n">
        <f aca="false">U44*INDEX(Butin!$E$15:$K$24,MATCH($A44,Éléments!$C$5:$C$14,1),3)+V44*IF(E44="Boss",INDEX(Butin!$E$28:$K$37,MATCH($A44,Éléments!$C$5:$C$14,1),3),IF(E44="Dragon",INDEX(Butin!$E$41:$K$50,MATCH($A44,Éléments!$C$5:$C$14,1),3),0))</f>
        <v>0.775</v>
      </c>
      <c r="AA44" s="77" t="n">
        <f aca="false">U44*INDEX(Butin!$E$15:$K$24,MATCH($A44,Éléments!$C$5:$C$14,1),4)+V44*IF(E44="Boss",INDEX(Butin!$E$28:$K$37,MATCH($A44,Éléments!$C$5:$C$14,1),4),IF(E44="Dragon",INDEX(Butin!$E$41:$K$50,MATCH($A44,Éléments!$C$5:$C$14,1),4),0))</f>
        <v>0.575</v>
      </c>
      <c r="AB44" s="77" t="n">
        <f aca="false">U44*INDEX(Butin!$E$15:$K$24,MATCH($A44,Éléments!$C$5:$C$14,1),5)+V44*IF(E44="Boss",INDEX(Butin!$E$28:$K$37,MATCH($A44,Éléments!$C$5:$C$14,1),5),IF(E44="Dragon",INDEX(Butin!$E$41:$K$50,MATCH($A44,Éléments!$C$5:$C$14,1),5),0))</f>
        <v>0.2</v>
      </c>
      <c r="AC44" s="77" t="n">
        <f aca="false">U44*INDEX(Butin!$E$15:$K$24,MATCH($A44,Éléments!$C$5:$C$14,1),6)+V44*IF(E44="Boss",INDEX(Butin!$E$28:$K$37,MATCH($A44,Éléments!$C$5:$C$14,1),6),IF(E44="Dragon",INDEX(Butin!$E$41:$K$50,MATCH($A44,Éléments!$C$5:$C$14,1),6),0))</f>
        <v>0.0375</v>
      </c>
      <c r="AD44" s="77" t="n">
        <f aca="false">U44*INDEX(Butin!$E$15:$K$24,MATCH($A44,Éléments!$C$5:$C$14,1),7)+V44*IF(E44="Boss",INDEX(Butin!$E$28:$K$37,MATCH($A44,Éléments!$C$5:$C$14,1),7),IF(E44="Dragon",INDEX(Butin!$E$41:$K$50,MATCH($A44,Éléments!$C$5:$C$14,1),7),0))</f>
        <v>0.1375</v>
      </c>
    </row>
    <row r="45" customFormat="false" ht="15.75" hidden="false" customHeight="true" outlineLevel="0" collapsed="false">
      <c r="A45" s="71" t="n">
        <v>40</v>
      </c>
      <c r="B45" s="23" t="n">
        <f aca="false">A45</f>
        <v>40</v>
      </c>
      <c r="C45" s="23" t="str">
        <f aca="false" t="array" ref="C45:C45">INDEX(Éléments!$B$5:$B$14,MATCH(A45,Éléments!$C$5:$C$14,1))</f>
        <v>Désert</v>
      </c>
      <c r="D45" s="43" t="str">
        <f aca="false" t="array" ref="D45:D45">INDEX(Éléments!$A$5:$A$14,MATCH(A45,Éléments!$C$5:$C$14,1))</f>
        <v>Vent</v>
      </c>
      <c r="E45" s="23" t="str">
        <f aca="false">IF(MOD(A45,5)=0,"Boss",IF(MOD(A45,10)=9,"Dragon","Normal"))</f>
        <v>Boss</v>
      </c>
      <c r="F45" s="23" t="n">
        <f aca="false">IF(E45="Normal",5*ROUNDUP(A45/5,0),A45)</f>
        <v>40</v>
      </c>
      <c r="G45" s="22" t="str">
        <f aca="false" t="array" ref="G45:G45">INDEX(Zones!$B$6:$B$35,MATCH(F45,Zones!$A$6:$A$35,0))</f>
        <v>Pyramide</v>
      </c>
      <c r="H45" s="22" t="str">
        <f aca="false" t="array" ref="H45:H45">IF(E45="Normal","—",INDEX(Zones!$L$6:$L$35,MATCH(F45,Zones!$A$6:$A$35,0)))</f>
        <v>Anubis</v>
      </c>
      <c r="I45" s="27" t="n">
        <f aca="false">IF(E45="Normal",Paramètres!$B$40,IF(E45="Boss",Paramètres!$B$41,1))</f>
        <v>5</v>
      </c>
      <c r="J45" s="27" t="n">
        <f aca="false">IF(E45="Normal",Paramètres!$B$40*Paramètres!$B$39,IF(E45="Boss",(Paramètres!$B$41-1)*Paramètres!$B$39+Paramètres!$B$42+1,1))</f>
        <v>15</v>
      </c>
      <c r="K45" s="33" t="n">
        <f aca="false" t="array" ref="K45:K45">IF(E45="Normal",Paramètres!$B$40*Paramètres!$B$39*(INDEX(Zones!$M$6:$M$35,MATCH(F45,Zones!$A$6:$A$35,0))*(1-Paramètres!$B$46)),IF(E45="Boss",((Paramètres!$B$41-1)*Paramètres!$B$39+Paramètres!$B$42)*(INDEX(Zones!$M$6:$M$35,MATCH(F45,Zones!$A$6:$A$35,0))*(1-Paramètres!$B$46))+INDEX(Zones!$P$6:$P$35,MATCH(F45,Zones!$A$6:$A$35,0)),INDEX(Zones!$P$6:$P$35,MATCH(F45,Zones!$A$6:$A$35,0))))</f>
        <v>41.8</v>
      </c>
      <c r="L45" s="27" t="n">
        <f aca="false">K45*Paramètres!$B$45+I45*Paramètres!$B$47</f>
        <v>229</v>
      </c>
      <c r="M45" s="30" t="n">
        <f aca="false" t="array" ref="M45:M45">IF(E45="Dragon",0,(INDEX(Zones!$N$6:$N$35,MATCH(F45,Zones!$A$6:$A$35,0))*Paramètres!$B$34*(INDEX(Zones!$M$6:$M$35,MATCH(F45,Zones!$A$6:$A$35,0))*(1-Paramètres!$B$46))*Paramètres!$B$39*(Paramètres!$B$39+1)/2))</f>
        <v>0.17374</v>
      </c>
      <c r="N45" s="30" t="n">
        <f aca="false" t="array" ref="N45:N45">IF(E45="Normal",0,IF(E45="Dragon",INDEX(Zones!$Q$6:$Q$35,MATCH(F45,Zones!$A$6:$A$35,0))*Paramètres!$B$34*INDEX(Zones!$P$6:$P$35,MATCH(F45,Zones!$A$6:$A$35,0)),INDEX(Zones!$Q$6:$Q$35,MATCH(F45,Zones!$A$6:$A$35,0))*Paramètres!$B$34*(INDEX(Zones!$P$6:$P$35,MATCH(F45,Zones!$A$6:$A$35,0))+Paramètres!$B$42*(INDEX(Zones!$M$6:$M$35,MATCH(F45,Zones!$A$6:$A$35,0))*(1-Paramètres!$B$46)))+INDEX(Zones!$N$6:$N$35,MATCH(F45,Zones!$A$6:$A$35,0))*Paramètres!$B$34*(INDEX(Zones!$M$6:$M$35,MATCH(F45,Zones!$A$6:$A$35,0))*(1-Paramètres!$B$46))*(Paramètres!$B$42*(Paramètres!$B$42+1)/2)))</f>
        <v>0.54077</v>
      </c>
      <c r="O45" s="75" t="n">
        <f aca="false">MAX(M45,N45)</f>
        <v>0.54077</v>
      </c>
      <c r="P45" s="36" t="n">
        <f aca="false">IF(E45="Normal",M45*Paramètres!$B$40,IF(E45="Boss",M45*(Paramètres!$B$41-1)+N45,N45))</f>
        <v>1.23573</v>
      </c>
      <c r="Q45" s="76" t="str">
        <f aca="false">IF(O45&gt;Paramètres!$B$37,"Trop dur","OK")</f>
        <v>OK</v>
      </c>
      <c r="R45" s="29" t="n">
        <f aca="false" t="array" ref="R45:R45">ROUND(IF(E45="Normal",J45*INDEX(Zones!$O$6:$O$35,MATCH(F45,Zones!$A$6:$A$35,0)),IF(E45="Boss",((Paramètres!$B$41-1)*Paramètres!$B$39+Paramètres!$B$42)*INDEX(Zones!$O$6:$O$35,MATCH(F45,Zones!$A$6:$A$35,0))+INDEX(Zones!$R$6:$R$35,MATCH(F45,Zones!$A$6:$A$35,0)),INDEX(Zones!$R$6:$R$35,MATCH(F45,Zones!$A$6:$A$35,0))))*ROUND(Paramètres!$B$49*B45^Paramètres!$B$50,0),0)</f>
        <v>14415</v>
      </c>
      <c r="S45" s="29" t="n">
        <f aca="false" t="array" ref="S45:S45">ROUND(IF(E45="Normal",J45*INDEX(Zones!$O$6:$O$35,MATCH(F45,Zones!$A$6:$A$35,0)),IF(E45="Boss",((Paramètres!$B$41-1)*Paramètres!$B$39+Paramètres!$B$42)*INDEX(Zones!$O$6:$O$35,MATCH(F45,Zones!$A$6:$A$35,0))+INDEX(Zones!$R$6:$R$35,MATCH(F45,Zones!$A$6:$A$35,0)),INDEX(Zones!$R$6:$R$35,MATCH(F45,Zones!$A$6:$A$35,0))))*ROUND(Paramètres!$B$53*B45^Paramètres!$B$54,0),0)</f>
        <v>10406</v>
      </c>
      <c r="T45" s="22" t="str">
        <f aca="false">IF(E45="Boss",G45,"—")</f>
        <v>Pyramide</v>
      </c>
      <c r="U45" s="37" t="n">
        <f aca="false">IF(E45="Dragon",0,(J45-IF(E45="Boss",1,0))*AVERAGEIFS(Monstres!$AL$7:$AL$98,Monstres!$B$7:$B$98,F45,Monstres!$G$7:$G$98,"Non"))</f>
        <v>0.84</v>
      </c>
      <c r="V45" s="74" t="n">
        <f aca="false">IF(E45="Boss",Butin!$E$10,IF(E45="Dragon",Butin!$E$11,0))</f>
        <v>1.4</v>
      </c>
      <c r="W45" s="37" t="n">
        <f aca="false">U45+V45</f>
        <v>2.24</v>
      </c>
      <c r="X45" s="77" t="n">
        <f aca="false">U45*INDEX(Butin!$E$15:$K$24,MATCH($A45,Éléments!$C$5:$C$14,1),1)+V45*IF(E45="Boss",INDEX(Butin!$E$28:$K$37,MATCH($A45,Éléments!$C$5:$C$14,1),1),IF(E45="Dragon",INDEX(Butin!$E$41:$K$50,MATCH($A45,Éléments!$C$5:$C$14,1),1),0))</f>
        <v>0.5208</v>
      </c>
      <c r="Y45" s="77" t="n">
        <f aca="false">U45*INDEX(Butin!$E$15:$K$24,MATCH($A45,Éléments!$C$5:$C$14,1),2)+V45*IF(E45="Boss",INDEX(Butin!$E$28:$K$37,MATCH($A45,Éléments!$C$5:$C$14,1),2),IF(E45="Dragon",INDEX(Butin!$E$41:$K$50,MATCH($A45,Éléments!$C$5:$C$14,1),2),0))</f>
        <v>0.6412</v>
      </c>
      <c r="Z45" s="77" t="n">
        <f aca="false">U45*INDEX(Butin!$E$15:$K$24,MATCH($A45,Éléments!$C$5:$C$14,1),3)+V45*IF(E45="Boss",INDEX(Butin!$E$28:$K$37,MATCH($A45,Éléments!$C$5:$C$14,1),3),IF(E45="Dragon",INDEX(Butin!$E$41:$K$50,MATCH($A45,Éléments!$C$5:$C$14,1),3),0))</f>
        <v>0.5992</v>
      </c>
      <c r="AA45" s="77" t="n">
        <f aca="false">U45*INDEX(Butin!$E$15:$K$24,MATCH($A45,Éléments!$C$5:$C$14,1),4)+V45*IF(E45="Boss",INDEX(Butin!$E$28:$K$37,MATCH($A45,Éléments!$C$5:$C$14,1),4),IF(E45="Dragon",INDEX(Butin!$E$41:$K$50,MATCH($A45,Éléments!$C$5:$C$14,1),4),0))</f>
        <v>0.3164</v>
      </c>
      <c r="AB45" s="77" t="n">
        <f aca="false">U45*INDEX(Butin!$E$15:$K$24,MATCH($A45,Éléments!$C$5:$C$14,1),5)+V45*IF(E45="Boss",INDEX(Butin!$E$28:$K$37,MATCH($A45,Éléments!$C$5:$C$14,1),5),IF(E45="Dragon",INDEX(Butin!$E$41:$K$50,MATCH($A45,Éléments!$C$5:$C$14,1),5),0))</f>
        <v>0.0924</v>
      </c>
      <c r="AC45" s="77" t="n">
        <f aca="false">U45*INDEX(Butin!$E$15:$K$24,MATCH($A45,Éléments!$C$5:$C$14,1),6)+V45*IF(E45="Boss",INDEX(Butin!$E$28:$K$37,MATCH($A45,Éléments!$C$5:$C$14,1),6),IF(E45="Dragon",INDEX(Butin!$E$41:$K$50,MATCH($A45,Éléments!$C$5:$C$14,1),6),0))</f>
        <v>0.014</v>
      </c>
      <c r="AD45" s="77" t="n">
        <f aca="false">U45*INDEX(Butin!$E$15:$K$24,MATCH($A45,Éléments!$C$5:$C$14,1),7)+V45*IF(E45="Boss",INDEX(Butin!$E$28:$K$37,MATCH($A45,Éléments!$C$5:$C$14,1),7),IF(E45="Dragon",INDEX(Butin!$E$41:$K$50,MATCH($A45,Éléments!$C$5:$C$14,1),7),0))</f>
        <v>0.056</v>
      </c>
    </row>
    <row r="46" customFormat="false" ht="15.75" hidden="false" customHeight="true" outlineLevel="0" collapsed="false">
      <c r="A46" s="71" t="n">
        <v>41</v>
      </c>
      <c r="B46" s="23" t="n">
        <f aca="false">A46</f>
        <v>41</v>
      </c>
      <c r="C46" s="23" t="str">
        <f aca="false" t="array" ref="C46:C46">INDEX(Éléments!$B$5:$B$14,MATCH(A46,Éléments!$C$5:$C$14,1))</f>
        <v>Marais</v>
      </c>
      <c r="D46" s="44" t="str">
        <f aca="false" t="array" ref="D46:D46">INDEX(Éléments!$A$5:$A$14,MATCH(A46,Éléments!$C$5:$C$14,1))</f>
        <v>Acide</v>
      </c>
      <c r="E46" s="23" t="str">
        <f aca="false">IF(MOD(A46,5)=0,"Boss",IF(MOD(A46,10)=9,"Dragon","Normal"))</f>
        <v>Normal</v>
      </c>
      <c r="F46" s="23" t="n">
        <f aca="false">IF(E46="Normal",5*ROUNDUP(A46/5,0),A46)</f>
        <v>45</v>
      </c>
      <c r="G46" s="22" t="str">
        <f aca="false" t="array" ref="G46:G46">INDEX(Zones!$B$6:$B$35,MATCH(F46,Zones!$A$6:$A$35,0))</f>
        <v>Ancienne tour</v>
      </c>
      <c r="H46" s="22" t="str">
        <f aca="false" t="array" ref="H46:H46">IF(E46="Normal","—",INDEX(Zones!$L$6:$L$35,MATCH(F46,Zones!$A$6:$A$35,0)))</f>
        <v>—</v>
      </c>
      <c r="I46" s="27" t="n">
        <f aca="false">IF(E46="Normal",Paramètres!$B$40,IF(E46="Boss",Paramètres!$B$41,1))</f>
        <v>3</v>
      </c>
      <c r="J46" s="23" t="n">
        <f aca="false">IF(E46="Normal",Paramètres!$B$40*Paramètres!$B$39,IF(E46="Boss",(Paramètres!$B$41-1)*Paramètres!$B$39+Paramètres!$B$42+1,1))</f>
        <v>9</v>
      </c>
      <c r="K46" s="33" t="n">
        <f aca="false" t="array" ref="K46:K46">IF(E46="Normal",Paramètres!$B$40*Paramètres!$B$39*(INDEX(Zones!$M$6:$M$35,MATCH(F46,Zones!$A$6:$A$35,0))*(1-Paramètres!$B$46)),IF(E46="Boss",((Paramètres!$B$41-1)*Paramètres!$B$39+Paramètres!$B$42)*(INDEX(Zones!$M$6:$M$35,MATCH(F46,Zones!$A$6:$A$35,0))*(1-Paramètres!$B$46))+INDEX(Zones!$P$6:$P$35,MATCH(F46,Zones!$A$6:$A$35,0)),INDEX(Zones!$P$6:$P$35,MATCH(F46,Zones!$A$6:$A$35,0))))</f>
        <v>12.8025</v>
      </c>
      <c r="L46" s="27" t="n">
        <f aca="false">K46*Paramètres!$B$45+I46*Paramètres!$B$47</f>
        <v>76.0125</v>
      </c>
      <c r="M46" s="30" t="n">
        <f aca="false" t="array" ref="M46:M46">IF(E46="Dragon",0,(INDEX(Zones!$N$6:$N$35,MATCH(F46,Zones!$A$6:$A$35,0))*Paramètres!$B$34*(INDEX(Zones!$M$6:$M$35,MATCH(F46,Zones!$A$6:$A$35,0))*(1-Paramètres!$B$46))*Paramètres!$B$39*(Paramètres!$B$39+1)/2))</f>
        <v>0.11365775</v>
      </c>
      <c r="N46" s="30" t="n">
        <f aca="false" t="array" ref="N46:N46">IF(E46="Normal",0,IF(E46="Dragon",INDEX(Zones!$Q$6:$Q$35,MATCH(F46,Zones!$A$6:$A$35,0))*Paramètres!$B$34*INDEX(Zones!$P$6:$P$35,MATCH(F46,Zones!$A$6:$A$35,0)),INDEX(Zones!$Q$6:$Q$35,MATCH(F46,Zones!$A$6:$A$35,0))*Paramètres!$B$34*(INDEX(Zones!$P$6:$P$35,MATCH(F46,Zones!$A$6:$A$35,0))+Paramètres!$B$42*(INDEX(Zones!$M$6:$M$35,MATCH(F46,Zones!$A$6:$A$35,0))*(1-Paramètres!$B$46)))+INDEX(Zones!$N$6:$N$35,MATCH(F46,Zones!$A$6:$A$35,0))*Paramètres!$B$34*(INDEX(Zones!$M$6:$M$35,MATCH(F46,Zones!$A$6:$A$35,0))*(1-Paramètres!$B$46))*(Paramètres!$B$42*(Paramètres!$B$42+1)/2)))</f>
        <v>0</v>
      </c>
      <c r="O46" s="75" t="n">
        <f aca="false">MAX(M46,N46)</f>
        <v>0.11365775</v>
      </c>
      <c r="P46" s="36" t="n">
        <f aca="false">IF(E46="Normal",M46*Paramètres!$B$40,IF(E46="Boss",M46*(Paramètres!$B$41-1)+N46,N46))</f>
        <v>0.34097325</v>
      </c>
      <c r="Q46" s="76" t="str">
        <f aca="false">IF(O46&gt;Paramètres!$B$37,"Trop dur","OK")</f>
        <v>OK</v>
      </c>
      <c r="R46" s="29" t="n">
        <f aca="false" t="array" ref="R46:R46">ROUND(IF(E46="Normal",J46*INDEX(Zones!$O$6:$O$35,MATCH(F46,Zones!$A$6:$A$35,0)),IF(E46="Boss",((Paramètres!$B$41-1)*Paramètres!$B$39+Paramètres!$B$42)*INDEX(Zones!$O$6:$O$35,MATCH(F46,Zones!$A$6:$A$35,0))+INDEX(Zones!$R$6:$R$35,MATCH(F46,Zones!$A$6:$A$35,0)),INDEX(Zones!$R$6:$R$35,MATCH(F46,Zones!$A$6:$A$35,0))))*ROUND(Paramètres!$B$49*B46^Paramètres!$B$50,0),0)</f>
        <v>5785</v>
      </c>
      <c r="S46" s="29" t="n">
        <f aca="false" t="array" ref="S46:S46">ROUND(IF(E46="Normal",J46*INDEX(Zones!$O$6:$O$35,MATCH(F46,Zones!$A$6:$A$35,0)),IF(E46="Boss",((Paramètres!$B$41-1)*Paramètres!$B$39+Paramètres!$B$42)*INDEX(Zones!$O$6:$O$35,MATCH(F46,Zones!$A$6:$A$35,0))+INDEX(Zones!$R$6:$R$35,MATCH(F46,Zones!$A$6:$A$35,0)),INDEX(Zones!$R$6:$R$35,MATCH(F46,Zones!$A$6:$A$35,0))))*ROUND(Paramètres!$B$53*B46^Paramètres!$B$54,0),0)</f>
        <v>4194</v>
      </c>
      <c r="T46" s="22" t="str">
        <f aca="false">IF(E46="Boss",G46,"—")</f>
        <v>—</v>
      </c>
      <c r="U46" s="37" t="n">
        <f aca="false">IF(E46="Dragon",0,(J46-IF(E46="Boss",1,0))*AVERAGEIFS(Monstres!$AL$7:$AL$98,Monstres!$B$7:$B$98,F46,Monstres!$G$7:$G$98,"Non"))</f>
        <v>0.48</v>
      </c>
      <c r="V46" s="74" t="n">
        <f aca="false">IF(E46="Boss",Butin!$E$10,IF(E46="Dragon",Butin!$E$11,0))</f>
        <v>0</v>
      </c>
      <c r="W46" s="37" t="n">
        <f aca="false">U46+V46</f>
        <v>0.48</v>
      </c>
      <c r="X46" s="77" t="n">
        <f aca="false">U46*INDEX(Butin!$E$15:$K$24,MATCH($A46,Éléments!$C$5:$C$14,1),1)+V46*IF(E46="Boss",INDEX(Butin!$E$28:$K$37,MATCH($A46,Éléments!$C$5:$C$14,1),1),IF(E46="Dragon",INDEX(Butin!$E$41:$K$50,MATCH($A46,Éléments!$C$5:$C$14,1),1),0))</f>
        <v>0.1632</v>
      </c>
      <c r="Y46" s="77" t="n">
        <f aca="false">U46*INDEX(Butin!$E$15:$K$24,MATCH($A46,Éléments!$C$5:$C$14,1),2)+V46*IF(E46="Boss",INDEX(Butin!$E$28:$K$37,MATCH($A46,Éléments!$C$5:$C$14,1),2),IF(E46="Dragon",INDEX(Butin!$E$41:$K$50,MATCH($A46,Éléments!$C$5:$C$14,1),2),0))</f>
        <v>0.1536</v>
      </c>
      <c r="Z46" s="77" t="n">
        <f aca="false">U46*INDEX(Butin!$E$15:$K$24,MATCH($A46,Éléments!$C$5:$C$14,1),3)+V46*IF(E46="Boss",INDEX(Butin!$E$28:$K$37,MATCH($A46,Éléments!$C$5:$C$14,1),3),IF(E46="Dragon",INDEX(Butin!$E$41:$K$50,MATCH($A46,Éléments!$C$5:$C$14,1),3),0))</f>
        <v>0.1056</v>
      </c>
      <c r="AA46" s="77" t="n">
        <f aca="false">U46*INDEX(Butin!$E$15:$K$24,MATCH($A46,Éléments!$C$5:$C$14,1),4)+V46*IF(E46="Boss",INDEX(Butin!$E$28:$K$37,MATCH($A46,Éléments!$C$5:$C$14,1),4),IF(E46="Dragon",INDEX(Butin!$E$41:$K$50,MATCH($A46,Éléments!$C$5:$C$14,1),4),0))</f>
        <v>0.04512</v>
      </c>
      <c r="AB46" s="77" t="n">
        <f aca="false">U46*INDEX(Butin!$E$15:$K$24,MATCH($A46,Éléments!$C$5:$C$14,1),5)+V46*IF(E46="Boss",INDEX(Butin!$E$28:$K$37,MATCH($A46,Éléments!$C$5:$C$14,1),5),IF(E46="Dragon",INDEX(Butin!$E$41:$K$50,MATCH($A46,Éléments!$C$5:$C$14,1),5),0))</f>
        <v>0.012</v>
      </c>
      <c r="AC46" s="77" t="n">
        <f aca="false">U46*INDEX(Butin!$E$15:$K$24,MATCH($A46,Éléments!$C$5:$C$14,1),6)+V46*IF(E46="Boss",INDEX(Butin!$E$28:$K$37,MATCH($A46,Éléments!$C$5:$C$14,1),6),IF(E46="Dragon",INDEX(Butin!$E$41:$K$50,MATCH($A46,Éléments!$C$5:$C$14,1),6),0))</f>
        <v>0</v>
      </c>
      <c r="AD46" s="77" t="n">
        <f aca="false">U46*INDEX(Butin!$E$15:$K$24,MATCH($A46,Éléments!$C$5:$C$14,1),7)+V46*IF(E46="Boss",INDEX(Butin!$E$28:$K$37,MATCH($A46,Éléments!$C$5:$C$14,1),7),IF(E46="Dragon",INDEX(Butin!$E$41:$K$50,MATCH($A46,Éléments!$C$5:$C$14,1),7),0))</f>
        <v>0.00048</v>
      </c>
    </row>
    <row r="47" customFormat="false" ht="15.75" hidden="false" customHeight="true" outlineLevel="0" collapsed="false">
      <c r="A47" s="71" t="n">
        <v>42</v>
      </c>
      <c r="B47" s="23" t="n">
        <f aca="false">A47</f>
        <v>42</v>
      </c>
      <c r="C47" s="23" t="str">
        <f aca="false" t="array" ref="C47:C47">INDEX(Éléments!$B$5:$B$14,MATCH(A47,Éléments!$C$5:$C$14,1))</f>
        <v>Marais</v>
      </c>
      <c r="D47" s="44" t="str">
        <f aca="false" t="array" ref="D47:D47">INDEX(Éléments!$A$5:$A$14,MATCH(A47,Éléments!$C$5:$C$14,1))</f>
        <v>Acide</v>
      </c>
      <c r="E47" s="23" t="str">
        <f aca="false">IF(MOD(A47,5)=0,"Boss",IF(MOD(A47,10)=9,"Dragon","Normal"))</f>
        <v>Normal</v>
      </c>
      <c r="F47" s="23" t="n">
        <f aca="false">IF(E47="Normal",5*ROUNDUP(A47/5,0),A47)</f>
        <v>45</v>
      </c>
      <c r="G47" s="22" t="str">
        <f aca="false" t="array" ref="G47:G47">INDEX(Zones!$B$6:$B$35,MATCH(F47,Zones!$A$6:$A$35,0))</f>
        <v>Ancienne tour</v>
      </c>
      <c r="H47" s="22" t="str">
        <f aca="false" t="array" ref="H47:H47">IF(E47="Normal","—",INDEX(Zones!$L$6:$L$35,MATCH(F47,Zones!$A$6:$A$35,0)))</f>
        <v>—</v>
      </c>
      <c r="I47" s="27" t="n">
        <f aca="false">IF(E47="Normal",Paramètres!$B$40,IF(E47="Boss",Paramètres!$B$41,1))</f>
        <v>3</v>
      </c>
      <c r="J47" s="23" t="n">
        <f aca="false">IF(E47="Normal",Paramètres!$B$40*Paramètres!$B$39,IF(E47="Boss",(Paramètres!$B$41-1)*Paramètres!$B$39+Paramètres!$B$42+1,1))</f>
        <v>9</v>
      </c>
      <c r="K47" s="33" t="n">
        <f aca="false" t="array" ref="K47:K47">IF(E47="Normal",Paramètres!$B$40*Paramètres!$B$39*(INDEX(Zones!$M$6:$M$35,MATCH(F47,Zones!$A$6:$A$35,0))*(1-Paramètres!$B$46)),IF(E47="Boss",((Paramètres!$B$41-1)*Paramètres!$B$39+Paramètres!$B$42)*(INDEX(Zones!$M$6:$M$35,MATCH(F47,Zones!$A$6:$A$35,0))*(1-Paramètres!$B$46))+INDEX(Zones!$P$6:$P$35,MATCH(F47,Zones!$A$6:$A$35,0)),INDEX(Zones!$P$6:$P$35,MATCH(F47,Zones!$A$6:$A$35,0))))</f>
        <v>12.8025</v>
      </c>
      <c r="L47" s="27" t="n">
        <f aca="false">K47*Paramètres!$B$45+I47*Paramètres!$B$47</f>
        <v>76.0125</v>
      </c>
      <c r="M47" s="30" t="n">
        <f aca="false" t="array" ref="M47:M47">IF(E47="Dragon",0,(INDEX(Zones!$N$6:$N$35,MATCH(F47,Zones!$A$6:$A$35,0))*Paramètres!$B$34*(INDEX(Zones!$M$6:$M$35,MATCH(F47,Zones!$A$6:$A$35,0))*(1-Paramètres!$B$46))*Paramètres!$B$39*(Paramètres!$B$39+1)/2))</f>
        <v>0.11365775</v>
      </c>
      <c r="N47" s="30" t="n">
        <f aca="false" t="array" ref="N47:N47">IF(E47="Normal",0,IF(E47="Dragon",INDEX(Zones!$Q$6:$Q$35,MATCH(F47,Zones!$A$6:$A$35,0))*Paramètres!$B$34*INDEX(Zones!$P$6:$P$35,MATCH(F47,Zones!$A$6:$A$35,0)),INDEX(Zones!$Q$6:$Q$35,MATCH(F47,Zones!$A$6:$A$35,0))*Paramètres!$B$34*(INDEX(Zones!$P$6:$P$35,MATCH(F47,Zones!$A$6:$A$35,0))+Paramètres!$B$42*(INDEX(Zones!$M$6:$M$35,MATCH(F47,Zones!$A$6:$A$35,0))*(1-Paramètres!$B$46)))+INDEX(Zones!$N$6:$N$35,MATCH(F47,Zones!$A$6:$A$35,0))*Paramètres!$B$34*(INDEX(Zones!$M$6:$M$35,MATCH(F47,Zones!$A$6:$A$35,0))*(1-Paramètres!$B$46))*(Paramètres!$B$42*(Paramètres!$B$42+1)/2)))</f>
        <v>0</v>
      </c>
      <c r="O47" s="75" t="n">
        <f aca="false">MAX(M47,N47)</f>
        <v>0.11365775</v>
      </c>
      <c r="P47" s="36" t="n">
        <f aca="false">IF(E47="Normal",M47*Paramètres!$B$40,IF(E47="Boss",M47*(Paramètres!$B$41-1)+N47,N47))</f>
        <v>0.34097325</v>
      </c>
      <c r="Q47" s="76" t="str">
        <f aca="false">IF(O47&gt;Paramètres!$B$37,"Trop dur","OK")</f>
        <v>OK</v>
      </c>
      <c r="R47" s="29" t="n">
        <f aca="false" t="array" ref="R47:R47">ROUND(IF(E47="Normal",J47*INDEX(Zones!$O$6:$O$35,MATCH(F47,Zones!$A$6:$A$35,0)),IF(E47="Boss",((Paramètres!$B$41-1)*Paramètres!$B$39+Paramètres!$B$42)*INDEX(Zones!$O$6:$O$35,MATCH(F47,Zones!$A$6:$A$35,0))+INDEX(Zones!$R$6:$R$35,MATCH(F47,Zones!$A$6:$A$35,0)),INDEX(Zones!$R$6:$R$35,MATCH(F47,Zones!$A$6:$A$35,0))))*ROUND(Paramètres!$B$49*B47^Paramètres!$B$50,0),0)</f>
        <v>5971</v>
      </c>
      <c r="S47" s="29" t="n">
        <f aca="false" t="array" ref="S47:S47">ROUND(IF(E47="Normal",J47*INDEX(Zones!$O$6:$O$35,MATCH(F47,Zones!$A$6:$A$35,0)),IF(E47="Boss",((Paramètres!$B$41-1)*Paramètres!$B$39+Paramètres!$B$42)*INDEX(Zones!$O$6:$O$35,MATCH(F47,Zones!$A$6:$A$35,0))+INDEX(Zones!$R$6:$R$35,MATCH(F47,Zones!$A$6:$A$35,0)),INDEX(Zones!$R$6:$R$35,MATCH(F47,Zones!$A$6:$A$35,0))))*ROUND(Paramètres!$B$53*B47^Paramètres!$B$54,0),0)</f>
        <v>4334</v>
      </c>
      <c r="T47" s="22" t="str">
        <f aca="false">IF(E47="Boss",G47,"—")</f>
        <v>—</v>
      </c>
      <c r="U47" s="37" t="n">
        <f aca="false">IF(E47="Dragon",0,(J47-IF(E47="Boss",1,0))*AVERAGEIFS(Monstres!$AL$7:$AL$98,Monstres!$B$7:$B$98,F47,Monstres!$G$7:$G$98,"Non"))</f>
        <v>0.48</v>
      </c>
      <c r="V47" s="74" t="n">
        <f aca="false">IF(E47="Boss",Butin!$E$10,IF(E47="Dragon",Butin!$E$11,0))</f>
        <v>0</v>
      </c>
      <c r="W47" s="37" t="n">
        <f aca="false">U47+V47</f>
        <v>0.48</v>
      </c>
      <c r="X47" s="77" t="n">
        <f aca="false">U47*INDEX(Butin!$E$15:$K$24,MATCH($A47,Éléments!$C$5:$C$14,1),1)+V47*IF(E47="Boss",INDEX(Butin!$E$28:$K$37,MATCH($A47,Éléments!$C$5:$C$14,1),1),IF(E47="Dragon",INDEX(Butin!$E$41:$K$50,MATCH($A47,Éléments!$C$5:$C$14,1),1),0))</f>
        <v>0.1632</v>
      </c>
      <c r="Y47" s="77" t="n">
        <f aca="false">U47*INDEX(Butin!$E$15:$K$24,MATCH($A47,Éléments!$C$5:$C$14,1),2)+V47*IF(E47="Boss",INDEX(Butin!$E$28:$K$37,MATCH($A47,Éléments!$C$5:$C$14,1),2),IF(E47="Dragon",INDEX(Butin!$E$41:$K$50,MATCH($A47,Éléments!$C$5:$C$14,1),2),0))</f>
        <v>0.1536</v>
      </c>
      <c r="Z47" s="77" t="n">
        <f aca="false">U47*INDEX(Butin!$E$15:$K$24,MATCH($A47,Éléments!$C$5:$C$14,1),3)+V47*IF(E47="Boss",INDEX(Butin!$E$28:$K$37,MATCH($A47,Éléments!$C$5:$C$14,1),3),IF(E47="Dragon",INDEX(Butin!$E$41:$K$50,MATCH($A47,Éléments!$C$5:$C$14,1),3),0))</f>
        <v>0.1056</v>
      </c>
      <c r="AA47" s="77" t="n">
        <f aca="false">U47*INDEX(Butin!$E$15:$K$24,MATCH($A47,Éléments!$C$5:$C$14,1),4)+V47*IF(E47="Boss",INDEX(Butin!$E$28:$K$37,MATCH($A47,Éléments!$C$5:$C$14,1),4),IF(E47="Dragon",INDEX(Butin!$E$41:$K$50,MATCH($A47,Éléments!$C$5:$C$14,1),4),0))</f>
        <v>0.04512</v>
      </c>
      <c r="AB47" s="77" t="n">
        <f aca="false">U47*INDEX(Butin!$E$15:$K$24,MATCH($A47,Éléments!$C$5:$C$14,1),5)+V47*IF(E47="Boss",INDEX(Butin!$E$28:$K$37,MATCH($A47,Éléments!$C$5:$C$14,1),5),IF(E47="Dragon",INDEX(Butin!$E$41:$K$50,MATCH($A47,Éléments!$C$5:$C$14,1),5),0))</f>
        <v>0.012</v>
      </c>
      <c r="AC47" s="77" t="n">
        <f aca="false">U47*INDEX(Butin!$E$15:$K$24,MATCH($A47,Éléments!$C$5:$C$14,1),6)+V47*IF(E47="Boss",INDEX(Butin!$E$28:$K$37,MATCH($A47,Éléments!$C$5:$C$14,1),6),IF(E47="Dragon",INDEX(Butin!$E$41:$K$50,MATCH($A47,Éléments!$C$5:$C$14,1),6),0))</f>
        <v>0</v>
      </c>
      <c r="AD47" s="77" t="n">
        <f aca="false">U47*INDEX(Butin!$E$15:$K$24,MATCH($A47,Éléments!$C$5:$C$14,1),7)+V47*IF(E47="Boss",INDEX(Butin!$E$28:$K$37,MATCH($A47,Éléments!$C$5:$C$14,1),7),IF(E47="Dragon",INDEX(Butin!$E$41:$K$50,MATCH($A47,Éléments!$C$5:$C$14,1),7),0))</f>
        <v>0.00048</v>
      </c>
    </row>
    <row r="48" customFormat="false" ht="15.75" hidden="false" customHeight="true" outlineLevel="0" collapsed="false">
      <c r="A48" s="71" t="n">
        <v>43</v>
      </c>
      <c r="B48" s="23" t="n">
        <f aca="false">A48</f>
        <v>43</v>
      </c>
      <c r="C48" s="23" t="str">
        <f aca="false" t="array" ref="C48:C48">INDEX(Éléments!$B$5:$B$14,MATCH(A48,Éléments!$C$5:$C$14,1))</f>
        <v>Marais</v>
      </c>
      <c r="D48" s="44" t="str">
        <f aca="false" t="array" ref="D48:D48">INDEX(Éléments!$A$5:$A$14,MATCH(A48,Éléments!$C$5:$C$14,1))</f>
        <v>Acide</v>
      </c>
      <c r="E48" s="23" t="str">
        <f aca="false">IF(MOD(A48,5)=0,"Boss",IF(MOD(A48,10)=9,"Dragon","Normal"))</f>
        <v>Normal</v>
      </c>
      <c r="F48" s="23" t="n">
        <f aca="false">IF(E48="Normal",5*ROUNDUP(A48/5,0),A48)</f>
        <v>45</v>
      </c>
      <c r="G48" s="22" t="str">
        <f aca="false" t="array" ref="G48:G48">INDEX(Zones!$B$6:$B$35,MATCH(F48,Zones!$A$6:$A$35,0))</f>
        <v>Ancienne tour</v>
      </c>
      <c r="H48" s="22" t="str">
        <f aca="false" t="array" ref="H48:H48">IF(E48="Normal","—",INDEX(Zones!$L$6:$L$35,MATCH(F48,Zones!$A$6:$A$35,0)))</f>
        <v>—</v>
      </c>
      <c r="I48" s="27" t="n">
        <f aca="false">IF(E48="Normal",Paramètres!$B$40,IF(E48="Boss",Paramètres!$B$41,1))</f>
        <v>3</v>
      </c>
      <c r="J48" s="23" t="n">
        <f aca="false">IF(E48="Normal",Paramètres!$B$40*Paramètres!$B$39,IF(E48="Boss",(Paramètres!$B$41-1)*Paramètres!$B$39+Paramètres!$B$42+1,1))</f>
        <v>9</v>
      </c>
      <c r="K48" s="33" t="n">
        <f aca="false" t="array" ref="K48:K48">IF(E48="Normal",Paramètres!$B$40*Paramètres!$B$39*(INDEX(Zones!$M$6:$M$35,MATCH(F48,Zones!$A$6:$A$35,0))*(1-Paramètres!$B$46)),IF(E48="Boss",((Paramètres!$B$41-1)*Paramètres!$B$39+Paramètres!$B$42)*(INDEX(Zones!$M$6:$M$35,MATCH(F48,Zones!$A$6:$A$35,0))*(1-Paramètres!$B$46))+INDEX(Zones!$P$6:$P$35,MATCH(F48,Zones!$A$6:$A$35,0)),INDEX(Zones!$P$6:$P$35,MATCH(F48,Zones!$A$6:$A$35,0))))</f>
        <v>12.8025</v>
      </c>
      <c r="L48" s="27" t="n">
        <f aca="false">K48*Paramètres!$B$45+I48*Paramètres!$B$47</f>
        <v>76.0125</v>
      </c>
      <c r="M48" s="30" t="n">
        <f aca="false" t="array" ref="M48:M48">IF(E48="Dragon",0,(INDEX(Zones!$N$6:$N$35,MATCH(F48,Zones!$A$6:$A$35,0))*Paramètres!$B$34*(INDEX(Zones!$M$6:$M$35,MATCH(F48,Zones!$A$6:$A$35,0))*(1-Paramètres!$B$46))*Paramètres!$B$39*(Paramètres!$B$39+1)/2))</f>
        <v>0.11365775</v>
      </c>
      <c r="N48" s="30" t="n">
        <f aca="false" t="array" ref="N48:N48">IF(E48="Normal",0,IF(E48="Dragon",INDEX(Zones!$Q$6:$Q$35,MATCH(F48,Zones!$A$6:$A$35,0))*Paramètres!$B$34*INDEX(Zones!$P$6:$P$35,MATCH(F48,Zones!$A$6:$A$35,0)),INDEX(Zones!$Q$6:$Q$35,MATCH(F48,Zones!$A$6:$A$35,0))*Paramètres!$B$34*(INDEX(Zones!$P$6:$P$35,MATCH(F48,Zones!$A$6:$A$35,0))+Paramètres!$B$42*(INDEX(Zones!$M$6:$M$35,MATCH(F48,Zones!$A$6:$A$35,0))*(1-Paramètres!$B$46)))+INDEX(Zones!$N$6:$N$35,MATCH(F48,Zones!$A$6:$A$35,0))*Paramètres!$B$34*(INDEX(Zones!$M$6:$M$35,MATCH(F48,Zones!$A$6:$A$35,0))*(1-Paramètres!$B$46))*(Paramètres!$B$42*(Paramètres!$B$42+1)/2)))</f>
        <v>0</v>
      </c>
      <c r="O48" s="75" t="n">
        <f aca="false">MAX(M48,N48)</f>
        <v>0.11365775</v>
      </c>
      <c r="P48" s="36" t="n">
        <f aca="false">IF(E48="Normal",M48*Paramètres!$B$40,IF(E48="Boss",M48*(Paramètres!$B$41-1)+N48,N48))</f>
        <v>0.34097325</v>
      </c>
      <c r="Q48" s="76" t="str">
        <f aca="false">IF(O48&gt;Paramètres!$B$37,"Trop dur","OK")</f>
        <v>OK</v>
      </c>
      <c r="R48" s="29" t="n">
        <f aca="false" t="array" ref="R48:R48">ROUND(IF(E48="Normal",J48*INDEX(Zones!$O$6:$O$35,MATCH(F48,Zones!$A$6:$A$35,0)),IF(E48="Boss",((Paramètres!$B$41-1)*Paramètres!$B$39+Paramètres!$B$42)*INDEX(Zones!$O$6:$O$35,MATCH(F48,Zones!$A$6:$A$35,0))+INDEX(Zones!$R$6:$R$35,MATCH(F48,Zones!$A$6:$A$35,0)),INDEX(Zones!$R$6:$R$35,MATCH(F48,Zones!$A$6:$A$35,0))))*ROUND(Paramètres!$B$49*B48^Paramètres!$B$50,0),0)</f>
        <v>6147</v>
      </c>
      <c r="S48" s="29" t="n">
        <f aca="false" t="array" ref="S48:S48">ROUND(IF(E48="Normal",J48*INDEX(Zones!$O$6:$O$35,MATCH(F48,Zones!$A$6:$A$35,0)),IF(E48="Boss",((Paramètres!$B$41-1)*Paramètres!$B$39+Paramètres!$B$42)*INDEX(Zones!$O$6:$O$35,MATCH(F48,Zones!$A$6:$A$35,0))+INDEX(Zones!$R$6:$R$35,MATCH(F48,Zones!$A$6:$A$35,0)),INDEX(Zones!$R$6:$R$35,MATCH(F48,Zones!$A$6:$A$35,0))))*ROUND(Paramètres!$B$53*B48^Paramètres!$B$54,0),0)</f>
        <v>4473</v>
      </c>
      <c r="T48" s="22" t="str">
        <f aca="false">IF(E48="Boss",G48,"—")</f>
        <v>—</v>
      </c>
      <c r="U48" s="37" t="n">
        <f aca="false">IF(E48="Dragon",0,(J48-IF(E48="Boss",1,0))*AVERAGEIFS(Monstres!$AL$7:$AL$98,Monstres!$B$7:$B$98,F48,Monstres!$G$7:$G$98,"Non"))</f>
        <v>0.48</v>
      </c>
      <c r="V48" s="74" t="n">
        <f aca="false">IF(E48="Boss",Butin!$E$10,IF(E48="Dragon",Butin!$E$11,0))</f>
        <v>0</v>
      </c>
      <c r="W48" s="37" t="n">
        <f aca="false">U48+V48</f>
        <v>0.48</v>
      </c>
      <c r="X48" s="77" t="n">
        <f aca="false">U48*INDEX(Butin!$E$15:$K$24,MATCH($A48,Éléments!$C$5:$C$14,1),1)+V48*IF(E48="Boss",INDEX(Butin!$E$28:$K$37,MATCH($A48,Éléments!$C$5:$C$14,1),1),IF(E48="Dragon",INDEX(Butin!$E$41:$K$50,MATCH($A48,Éléments!$C$5:$C$14,1),1),0))</f>
        <v>0.1632</v>
      </c>
      <c r="Y48" s="77" t="n">
        <f aca="false">U48*INDEX(Butin!$E$15:$K$24,MATCH($A48,Éléments!$C$5:$C$14,1),2)+V48*IF(E48="Boss",INDEX(Butin!$E$28:$K$37,MATCH($A48,Éléments!$C$5:$C$14,1),2),IF(E48="Dragon",INDEX(Butin!$E$41:$K$50,MATCH($A48,Éléments!$C$5:$C$14,1),2),0))</f>
        <v>0.1536</v>
      </c>
      <c r="Z48" s="77" t="n">
        <f aca="false">U48*INDEX(Butin!$E$15:$K$24,MATCH($A48,Éléments!$C$5:$C$14,1),3)+V48*IF(E48="Boss",INDEX(Butin!$E$28:$K$37,MATCH($A48,Éléments!$C$5:$C$14,1),3),IF(E48="Dragon",INDEX(Butin!$E$41:$K$50,MATCH($A48,Éléments!$C$5:$C$14,1),3),0))</f>
        <v>0.1056</v>
      </c>
      <c r="AA48" s="77" t="n">
        <f aca="false">U48*INDEX(Butin!$E$15:$K$24,MATCH($A48,Éléments!$C$5:$C$14,1),4)+V48*IF(E48="Boss",INDEX(Butin!$E$28:$K$37,MATCH($A48,Éléments!$C$5:$C$14,1),4),IF(E48="Dragon",INDEX(Butin!$E$41:$K$50,MATCH($A48,Éléments!$C$5:$C$14,1),4),0))</f>
        <v>0.04512</v>
      </c>
      <c r="AB48" s="77" t="n">
        <f aca="false">U48*INDEX(Butin!$E$15:$K$24,MATCH($A48,Éléments!$C$5:$C$14,1),5)+V48*IF(E48="Boss",INDEX(Butin!$E$28:$K$37,MATCH($A48,Éléments!$C$5:$C$14,1),5),IF(E48="Dragon",INDEX(Butin!$E$41:$K$50,MATCH($A48,Éléments!$C$5:$C$14,1),5),0))</f>
        <v>0.012</v>
      </c>
      <c r="AC48" s="77" t="n">
        <f aca="false">U48*INDEX(Butin!$E$15:$K$24,MATCH($A48,Éléments!$C$5:$C$14,1),6)+V48*IF(E48="Boss",INDEX(Butin!$E$28:$K$37,MATCH($A48,Éléments!$C$5:$C$14,1),6),IF(E48="Dragon",INDEX(Butin!$E$41:$K$50,MATCH($A48,Éléments!$C$5:$C$14,1),6),0))</f>
        <v>0</v>
      </c>
      <c r="AD48" s="77" t="n">
        <f aca="false">U48*INDEX(Butin!$E$15:$K$24,MATCH($A48,Éléments!$C$5:$C$14,1),7)+V48*IF(E48="Boss",INDEX(Butin!$E$28:$K$37,MATCH($A48,Éléments!$C$5:$C$14,1),7),IF(E48="Dragon",INDEX(Butin!$E$41:$K$50,MATCH($A48,Éléments!$C$5:$C$14,1),7),0))</f>
        <v>0.00048</v>
      </c>
    </row>
    <row r="49" customFormat="false" ht="15.75" hidden="false" customHeight="true" outlineLevel="0" collapsed="false">
      <c r="A49" s="71" t="n">
        <v>44</v>
      </c>
      <c r="B49" s="23" t="n">
        <f aca="false">A49</f>
        <v>44</v>
      </c>
      <c r="C49" s="23" t="str">
        <f aca="false" t="array" ref="C49:C49">INDEX(Éléments!$B$5:$B$14,MATCH(A49,Éléments!$C$5:$C$14,1))</f>
        <v>Marais</v>
      </c>
      <c r="D49" s="44" t="str">
        <f aca="false" t="array" ref="D49:D49">INDEX(Éléments!$A$5:$A$14,MATCH(A49,Éléments!$C$5:$C$14,1))</f>
        <v>Acide</v>
      </c>
      <c r="E49" s="23" t="str">
        <f aca="false">IF(MOD(A49,5)=0,"Boss",IF(MOD(A49,10)=9,"Dragon","Normal"))</f>
        <v>Normal</v>
      </c>
      <c r="F49" s="23" t="n">
        <f aca="false">IF(E49="Normal",5*ROUNDUP(A49/5,0),A49)</f>
        <v>45</v>
      </c>
      <c r="G49" s="22" t="str">
        <f aca="false" t="array" ref="G49:G49">INDEX(Zones!$B$6:$B$35,MATCH(F49,Zones!$A$6:$A$35,0))</f>
        <v>Ancienne tour</v>
      </c>
      <c r="H49" s="22" t="str">
        <f aca="false" t="array" ref="H49:H49">IF(E49="Normal","—",INDEX(Zones!$L$6:$L$35,MATCH(F49,Zones!$A$6:$A$35,0)))</f>
        <v>—</v>
      </c>
      <c r="I49" s="27" t="n">
        <f aca="false">IF(E49="Normal",Paramètres!$B$40,IF(E49="Boss",Paramètres!$B$41,1))</f>
        <v>3</v>
      </c>
      <c r="J49" s="23" t="n">
        <f aca="false">IF(E49="Normal",Paramètres!$B$40*Paramètres!$B$39,IF(E49="Boss",(Paramètres!$B$41-1)*Paramètres!$B$39+Paramètres!$B$42+1,1))</f>
        <v>9</v>
      </c>
      <c r="K49" s="33" t="n">
        <f aca="false" t="array" ref="K49:K49">IF(E49="Normal",Paramètres!$B$40*Paramètres!$B$39*(INDEX(Zones!$M$6:$M$35,MATCH(F49,Zones!$A$6:$A$35,0))*(1-Paramètres!$B$46)),IF(E49="Boss",((Paramètres!$B$41-1)*Paramètres!$B$39+Paramètres!$B$42)*(INDEX(Zones!$M$6:$M$35,MATCH(F49,Zones!$A$6:$A$35,0))*(1-Paramètres!$B$46))+INDEX(Zones!$P$6:$P$35,MATCH(F49,Zones!$A$6:$A$35,0)),INDEX(Zones!$P$6:$P$35,MATCH(F49,Zones!$A$6:$A$35,0))))</f>
        <v>12.8025</v>
      </c>
      <c r="L49" s="27" t="n">
        <f aca="false">K49*Paramètres!$B$45+I49*Paramètres!$B$47</f>
        <v>76.0125</v>
      </c>
      <c r="M49" s="30" t="n">
        <f aca="false" t="array" ref="M49:M49">IF(E49="Dragon",0,(INDEX(Zones!$N$6:$N$35,MATCH(F49,Zones!$A$6:$A$35,0))*Paramètres!$B$34*(INDEX(Zones!$M$6:$M$35,MATCH(F49,Zones!$A$6:$A$35,0))*(1-Paramètres!$B$46))*Paramètres!$B$39*(Paramètres!$B$39+1)/2))</f>
        <v>0.11365775</v>
      </c>
      <c r="N49" s="30" t="n">
        <f aca="false" t="array" ref="N49:N49">IF(E49="Normal",0,IF(E49="Dragon",INDEX(Zones!$Q$6:$Q$35,MATCH(F49,Zones!$A$6:$A$35,0))*Paramètres!$B$34*INDEX(Zones!$P$6:$P$35,MATCH(F49,Zones!$A$6:$A$35,0)),INDEX(Zones!$Q$6:$Q$35,MATCH(F49,Zones!$A$6:$A$35,0))*Paramètres!$B$34*(INDEX(Zones!$P$6:$P$35,MATCH(F49,Zones!$A$6:$A$35,0))+Paramètres!$B$42*(INDEX(Zones!$M$6:$M$35,MATCH(F49,Zones!$A$6:$A$35,0))*(1-Paramètres!$B$46)))+INDEX(Zones!$N$6:$N$35,MATCH(F49,Zones!$A$6:$A$35,0))*Paramètres!$B$34*(INDEX(Zones!$M$6:$M$35,MATCH(F49,Zones!$A$6:$A$35,0))*(1-Paramètres!$B$46))*(Paramètres!$B$42*(Paramètres!$B$42+1)/2)))</f>
        <v>0</v>
      </c>
      <c r="O49" s="75" t="n">
        <f aca="false">MAX(M49,N49)</f>
        <v>0.11365775</v>
      </c>
      <c r="P49" s="36" t="n">
        <f aca="false">IF(E49="Normal",M49*Paramètres!$B$40,IF(E49="Boss",M49*(Paramètres!$B$41-1)+N49,N49))</f>
        <v>0.34097325</v>
      </c>
      <c r="Q49" s="76" t="str">
        <f aca="false">IF(O49&gt;Paramètres!$B$37,"Trop dur","OK")</f>
        <v>OK</v>
      </c>
      <c r="R49" s="29" t="n">
        <f aca="false" t="array" ref="R49:R49">ROUND(IF(E49="Normal",J49*INDEX(Zones!$O$6:$O$35,MATCH(F49,Zones!$A$6:$A$35,0)),IF(E49="Boss",((Paramètres!$B$41-1)*Paramètres!$B$39+Paramètres!$B$42)*INDEX(Zones!$O$6:$O$35,MATCH(F49,Zones!$A$6:$A$35,0))+INDEX(Zones!$R$6:$R$35,MATCH(F49,Zones!$A$6:$A$35,0)),INDEX(Zones!$R$6:$R$35,MATCH(F49,Zones!$A$6:$A$35,0))))*ROUND(Paramètres!$B$49*B49^Paramètres!$B$50,0),0)</f>
        <v>6324</v>
      </c>
      <c r="S49" s="29" t="n">
        <f aca="false" t="array" ref="S49:S49">ROUND(IF(E49="Normal",J49*INDEX(Zones!$O$6:$O$35,MATCH(F49,Zones!$A$6:$A$35,0)),IF(E49="Boss",((Paramètres!$B$41-1)*Paramètres!$B$39+Paramètres!$B$42)*INDEX(Zones!$O$6:$O$35,MATCH(F49,Zones!$A$6:$A$35,0))+INDEX(Zones!$R$6:$R$35,MATCH(F49,Zones!$A$6:$A$35,0)),INDEX(Zones!$R$6:$R$35,MATCH(F49,Zones!$A$6:$A$35,0))))*ROUND(Paramètres!$B$53*B49^Paramètres!$B$54,0),0)</f>
        <v>4613</v>
      </c>
      <c r="T49" s="22" t="str">
        <f aca="false">IF(E49="Boss",G49,"—")</f>
        <v>—</v>
      </c>
      <c r="U49" s="37" t="n">
        <f aca="false">IF(E49="Dragon",0,(J49-IF(E49="Boss",1,0))*AVERAGEIFS(Monstres!$AL$7:$AL$98,Monstres!$B$7:$B$98,F49,Monstres!$G$7:$G$98,"Non"))</f>
        <v>0.48</v>
      </c>
      <c r="V49" s="74" t="n">
        <f aca="false">IF(E49="Boss",Butin!$E$10,IF(E49="Dragon",Butin!$E$11,0))</f>
        <v>0</v>
      </c>
      <c r="W49" s="37" t="n">
        <f aca="false">U49+V49</f>
        <v>0.48</v>
      </c>
      <c r="X49" s="77" t="n">
        <f aca="false">U49*INDEX(Butin!$E$15:$K$24,MATCH($A49,Éléments!$C$5:$C$14,1),1)+V49*IF(E49="Boss",INDEX(Butin!$E$28:$K$37,MATCH($A49,Éléments!$C$5:$C$14,1),1),IF(E49="Dragon",INDEX(Butin!$E$41:$K$50,MATCH($A49,Éléments!$C$5:$C$14,1),1),0))</f>
        <v>0.1632</v>
      </c>
      <c r="Y49" s="77" t="n">
        <f aca="false">U49*INDEX(Butin!$E$15:$K$24,MATCH($A49,Éléments!$C$5:$C$14,1),2)+V49*IF(E49="Boss",INDEX(Butin!$E$28:$K$37,MATCH($A49,Éléments!$C$5:$C$14,1),2),IF(E49="Dragon",INDEX(Butin!$E$41:$K$50,MATCH($A49,Éléments!$C$5:$C$14,1),2),0))</f>
        <v>0.1536</v>
      </c>
      <c r="Z49" s="77" t="n">
        <f aca="false">U49*INDEX(Butin!$E$15:$K$24,MATCH($A49,Éléments!$C$5:$C$14,1),3)+V49*IF(E49="Boss",INDEX(Butin!$E$28:$K$37,MATCH($A49,Éléments!$C$5:$C$14,1),3),IF(E49="Dragon",INDEX(Butin!$E$41:$K$50,MATCH($A49,Éléments!$C$5:$C$14,1),3),0))</f>
        <v>0.1056</v>
      </c>
      <c r="AA49" s="77" t="n">
        <f aca="false">U49*INDEX(Butin!$E$15:$K$24,MATCH($A49,Éléments!$C$5:$C$14,1),4)+V49*IF(E49="Boss",INDEX(Butin!$E$28:$K$37,MATCH($A49,Éléments!$C$5:$C$14,1),4),IF(E49="Dragon",INDEX(Butin!$E$41:$K$50,MATCH($A49,Éléments!$C$5:$C$14,1),4),0))</f>
        <v>0.04512</v>
      </c>
      <c r="AB49" s="77" t="n">
        <f aca="false">U49*INDEX(Butin!$E$15:$K$24,MATCH($A49,Éléments!$C$5:$C$14,1),5)+V49*IF(E49="Boss",INDEX(Butin!$E$28:$K$37,MATCH($A49,Éléments!$C$5:$C$14,1),5),IF(E49="Dragon",INDEX(Butin!$E$41:$K$50,MATCH($A49,Éléments!$C$5:$C$14,1),5),0))</f>
        <v>0.012</v>
      </c>
      <c r="AC49" s="77" t="n">
        <f aca="false">U49*INDEX(Butin!$E$15:$K$24,MATCH($A49,Éléments!$C$5:$C$14,1),6)+V49*IF(E49="Boss",INDEX(Butin!$E$28:$K$37,MATCH($A49,Éléments!$C$5:$C$14,1),6),IF(E49="Dragon",INDEX(Butin!$E$41:$K$50,MATCH($A49,Éléments!$C$5:$C$14,1),6),0))</f>
        <v>0</v>
      </c>
      <c r="AD49" s="77" t="n">
        <f aca="false">U49*INDEX(Butin!$E$15:$K$24,MATCH($A49,Éléments!$C$5:$C$14,1),7)+V49*IF(E49="Boss",INDEX(Butin!$E$28:$K$37,MATCH($A49,Éléments!$C$5:$C$14,1),7),IF(E49="Dragon",INDEX(Butin!$E$41:$K$50,MATCH($A49,Éléments!$C$5:$C$14,1),7),0))</f>
        <v>0.00048</v>
      </c>
    </row>
    <row r="50" customFormat="false" ht="15.75" hidden="false" customHeight="true" outlineLevel="0" collapsed="false">
      <c r="A50" s="71" t="n">
        <v>45</v>
      </c>
      <c r="B50" s="23" t="n">
        <f aca="false">A50</f>
        <v>45</v>
      </c>
      <c r="C50" s="23" t="str">
        <f aca="false" t="array" ref="C50:C50">INDEX(Éléments!$B$5:$B$14,MATCH(A50,Éléments!$C$5:$C$14,1))</f>
        <v>Marais</v>
      </c>
      <c r="D50" s="44" t="str">
        <f aca="false" t="array" ref="D50:D50">INDEX(Éléments!$A$5:$A$14,MATCH(A50,Éléments!$C$5:$C$14,1))</f>
        <v>Acide</v>
      </c>
      <c r="E50" s="23" t="str">
        <f aca="false">IF(MOD(A50,5)=0,"Boss",IF(MOD(A50,10)=9,"Dragon","Normal"))</f>
        <v>Boss</v>
      </c>
      <c r="F50" s="23" t="n">
        <f aca="false">IF(E50="Normal",5*ROUNDUP(A50/5,0),A50)</f>
        <v>45</v>
      </c>
      <c r="G50" s="22" t="str">
        <f aca="false" t="array" ref="G50:G50">INDEX(Zones!$B$6:$B$35,MATCH(F50,Zones!$A$6:$A$35,0))</f>
        <v>Ancienne tour</v>
      </c>
      <c r="H50" s="22" t="str">
        <f aca="false" t="array" ref="H50:H50">IF(E50="Normal","—",INDEX(Zones!$L$6:$L$35,MATCH(F50,Zones!$A$6:$A$35,0)))</f>
        <v>Roi slime</v>
      </c>
      <c r="I50" s="27" t="n">
        <f aca="false">IF(E50="Normal",Paramètres!$B$40,IF(E50="Boss",Paramètres!$B$41,1))</f>
        <v>5</v>
      </c>
      <c r="J50" s="27" t="n">
        <f aca="false">IF(E50="Normal",Paramètres!$B$40*Paramètres!$B$39,IF(E50="Boss",(Paramètres!$B$41-1)*Paramètres!$B$39+Paramètres!$B$42+1,1))</f>
        <v>15</v>
      </c>
      <c r="K50" s="33" t="n">
        <f aca="false" t="array" ref="K50:K50">IF(E50="Normal",Paramètres!$B$40*Paramètres!$B$39*(INDEX(Zones!$M$6:$M$35,MATCH(F50,Zones!$A$6:$A$35,0))*(1-Paramètres!$B$46)),IF(E50="Boss",((Paramètres!$B$41-1)*Paramètres!$B$39+Paramètres!$B$42)*(INDEX(Zones!$M$6:$M$35,MATCH(F50,Zones!$A$6:$A$35,0))*(1-Paramètres!$B$46))+INDEX(Zones!$P$6:$P$35,MATCH(F50,Zones!$A$6:$A$35,0)),INDEX(Zones!$P$6:$P$35,MATCH(F50,Zones!$A$6:$A$35,0))))</f>
        <v>37.915</v>
      </c>
      <c r="L50" s="27" t="n">
        <f aca="false">K50*Paramètres!$B$45+I50*Paramètres!$B$47</f>
        <v>209.575</v>
      </c>
      <c r="M50" s="30" t="n">
        <f aca="false" t="array" ref="M50:M50">IF(E50="Dragon",0,(INDEX(Zones!$N$6:$N$35,MATCH(F50,Zones!$A$6:$A$35,0))*Paramètres!$B$34*(INDEX(Zones!$M$6:$M$35,MATCH(F50,Zones!$A$6:$A$35,0))*(1-Paramètres!$B$46))*Paramètres!$B$39*(Paramètres!$B$39+1)/2))</f>
        <v>0.11365775</v>
      </c>
      <c r="N50" s="30" t="n">
        <f aca="false" t="array" ref="N50:N50">IF(E50="Normal",0,IF(E50="Dragon",INDEX(Zones!$Q$6:$Q$35,MATCH(F50,Zones!$A$6:$A$35,0))*Paramètres!$B$34*INDEX(Zones!$P$6:$P$35,MATCH(F50,Zones!$A$6:$A$35,0)),INDEX(Zones!$Q$6:$Q$35,MATCH(F50,Zones!$A$6:$A$35,0))*Paramètres!$B$34*(INDEX(Zones!$P$6:$P$35,MATCH(F50,Zones!$A$6:$A$35,0))+Paramètres!$B$42*(INDEX(Zones!$M$6:$M$35,MATCH(F50,Zones!$A$6:$A$35,0))*(1-Paramètres!$B$46)))+INDEX(Zones!$N$6:$N$35,MATCH(F50,Zones!$A$6:$A$35,0))*Paramètres!$B$34*(INDEX(Zones!$M$6:$M$35,MATCH(F50,Zones!$A$6:$A$35,0))*(1-Paramètres!$B$46))*(Paramètres!$B$42*(Paramètres!$B$42+1)/2)))</f>
        <v>0.561799</v>
      </c>
      <c r="O50" s="75" t="n">
        <f aca="false">MAX(M50,N50)</f>
        <v>0.561799</v>
      </c>
      <c r="P50" s="36" t="n">
        <f aca="false">IF(E50="Normal",M50*Paramètres!$B$40,IF(E50="Boss",M50*(Paramètres!$B$41-1)+N50,N50))</f>
        <v>1.01643</v>
      </c>
      <c r="Q50" s="76" t="str">
        <f aca="false">IF(O50&gt;Paramètres!$B$37,"Trop dur","OK")</f>
        <v>OK</v>
      </c>
      <c r="R50" s="29" t="n">
        <f aca="false" t="array" ref="R50:R50">ROUND(IF(E50="Normal",J50*INDEX(Zones!$O$6:$O$35,MATCH(F50,Zones!$A$6:$A$35,0)),IF(E50="Boss",((Paramètres!$B$41-1)*Paramètres!$B$39+Paramètres!$B$42)*INDEX(Zones!$O$6:$O$35,MATCH(F50,Zones!$A$6:$A$35,0))+INDEX(Zones!$R$6:$R$35,MATCH(F50,Zones!$A$6:$A$35,0)),INDEX(Zones!$R$6:$R$35,MATCH(F50,Zones!$A$6:$A$35,0))))*ROUND(Paramètres!$B$49*B50^Paramètres!$B$50,0),0)</f>
        <v>15704</v>
      </c>
      <c r="S50" s="29" t="n">
        <f aca="false" t="array" ref="S50:S50">ROUND(IF(E50="Normal",J50*INDEX(Zones!$O$6:$O$35,MATCH(F50,Zones!$A$6:$A$35,0)),IF(E50="Boss",((Paramètres!$B$41-1)*Paramètres!$B$39+Paramètres!$B$42)*INDEX(Zones!$O$6:$O$35,MATCH(F50,Zones!$A$6:$A$35,0))+INDEX(Zones!$R$6:$R$35,MATCH(F50,Zones!$A$6:$A$35,0)),INDEX(Zones!$R$6:$R$35,MATCH(F50,Zones!$A$6:$A$35,0))))*ROUND(Paramètres!$B$53*B50^Paramètres!$B$54,0),0)</f>
        <v>11503</v>
      </c>
      <c r="T50" s="22" t="str">
        <f aca="false">IF(E50="Boss",G50,"—")</f>
        <v>Ancienne tour</v>
      </c>
      <c r="U50" s="37" t="n">
        <f aca="false">IF(E50="Dragon",0,(J50-IF(E50="Boss",1,0))*AVERAGEIFS(Monstres!$AL$7:$AL$98,Monstres!$B$7:$B$98,F50,Monstres!$G$7:$G$98,"Non"))</f>
        <v>0.746666666666667</v>
      </c>
      <c r="V50" s="74" t="n">
        <f aca="false">IF(E50="Boss",Butin!$E$10,IF(E50="Dragon",Butin!$E$11,0))</f>
        <v>1.4</v>
      </c>
      <c r="W50" s="37" t="n">
        <f aca="false">U50+V50</f>
        <v>2.14666666666667</v>
      </c>
      <c r="X50" s="77" t="n">
        <f aca="false">U50*INDEX(Butin!$E$15:$K$24,MATCH($A50,Éléments!$C$5:$C$14,1),1)+V50*IF(E50="Boss",INDEX(Butin!$E$28:$K$37,MATCH($A50,Éléments!$C$5:$C$14,1),1),IF(E50="Dragon",INDEX(Butin!$E$41:$K$50,MATCH($A50,Éléments!$C$5:$C$14,1),1),0))</f>
        <v>0.365866666666667</v>
      </c>
      <c r="Y50" s="77" t="n">
        <f aca="false">U50*INDEX(Butin!$E$15:$K$24,MATCH($A50,Éléments!$C$5:$C$14,1),2)+V50*IF(E50="Boss",INDEX(Butin!$E$28:$K$37,MATCH($A50,Éléments!$C$5:$C$14,1),2),IF(E50="Dragon",INDEX(Butin!$E$41:$K$50,MATCH($A50,Éléments!$C$5:$C$14,1),2),0))</f>
        <v>0.532933333333333</v>
      </c>
      <c r="Z50" s="77" t="n">
        <f aca="false">U50*INDEX(Butin!$E$15:$K$24,MATCH($A50,Éléments!$C$5:$C$14,1),3)+V50*IF(E50="Boss",INDEX(Butin!$E$28:$K$37,MATCH($A50,Éléments!$C$5:$C$14,1),3),IF(E50="Dragon",INDEX(Butin!$E$41:$K$50,MATCH($A50,Éléments!$C$5:$C$14,1),3),0))</f>
        <v>0.598266666666667</v>
      </c>
      <c r="AA50" s="77" t="n">
        <f aca="false">U50*INDEX(Butin!$E$15:$K$24,MATCH($A50,Éléments!$C$5:$C$14,1),4)+V50*IF(E50="Boss",INDEX(Butin!$E$28:$K$37,MATCH($A50,Éléments!$C$5:$C$14,1),4),IF(E50="Dragon",INDEX(Butin!$E$41:$K$50,MATCH($A50,Éléments!$C$5:$C$14,1),4),0))</f>
        <v>0.392186666666667</v>
      </c>
      <c r="AB50" s="77" t="n">
        <f aca="false">U50*INDEX(Butin!$E$15:$K$24,MATCH($A50,Éléments!$C$5:$C$14,1),5)+V50*IF(E50="Boss",INDEX(Butin!$E$28:$K$37,MATCH($A50,Éléments!$C$5:$C$14,1),5),IF(E50="Dragon",INDEX(Butin!$E$41:$K$50,MATCH($A50,Éléments!$C$5:$C$14,1),5),0))</f>
        <v>0.158666666666667</v>
      </c>
      <c r="AC50" s="77" t="n">
        <f aca="false">U50*INDEX(Butin!$E$15:$K$24,MATCH($A50,Éléments!$C$5:$C$14,1),6)+V50*IF(E50="Boss",INDEX(Butin!$E$28:$K$37,MATCH($A50,Éléments!$C$5:$C$14,1),6),IF(E50="Dragon",INDEX(Butin!$E$41:$K$50,MATCH($A50,Éléments!$C$5:$C$14,1),6),0))</f>
        <v>0.035</v>
      </c>
      <c r="AD50" s="77" t="n">
        <f aca="false">U50*INDEX(Butin!$E$15:$K$24,MATCH($A50,Éléments!$C$5:$C$14,1),7)+V50*IF(E50="Boss",INDEX(Butin!$E$28:$K$37,MATCH($A50,Éléments!$C$5:$C$14,1),7),IF(E50="Dragon",INDEX(Butin!$E$41:$K$50,MATCH($A50,Éléments!$C$5:$C$14,1),7),0))</f>
        <v>0.0637466666666667</v>
      </c>
    </row>
    <row r="51" customFormat="false" ht="15.75" hidden="false" customHeight="true" outlineLevel="0" collapsed="false">
      <c r="A51" s="71" t="n">
        <v>46</v>
      </c>
      <c r="B51" s="23" t="n">
        <f aca="false">A51</f>
        <v>46</v>
      </c>
      <c r="C51" s="23" t="str">
        <f aca="false" t="array" ref="C51:C51">INDEX(Éléments!$B$5:$B$14,MATCH(A51,Éléments!$C$5:$C$14,1))</f>
        <v>Marais</v>
      </c>
      <c r="D51" s="44" t="str">
        <f aca="false" t="array" ref="D51:D51">INDEX(Éléments!$A$5:$A$14,MATCH(A51,Éléments!$C$5:$C$14,1))</f>
        <v>Acide</v>
      </c>
      <c r="E51" s="23" t="str">
        <f aca="false">IF(MOD(A51,5)=0,"Boss",IF(MOD(A51,10)=9,"Dragon","Normal"))</f>
        <v>Normal</v>
      </c>
      <c r="F51" s="23" t="n">
        <f aca="false">IF(E51="Normal",5*ROUNDUP(A51/5,0),A51)</f>
        <v>50</v>
      </c>
      <c r="G51" s="22" t="str">
        <f aca="false" t="array" ref="G51:G51">INDEX(Zones!$B$6:$B$35,MATCH(F51,Zones!$A$6:$A$35,0))</f>
        <v>Marais des morts</v>
      </c>
      <c r="H51" s="22" t="str">
        <f aca="false" t="array" ref="H51:H51">IF(E51="Normal","—",INDEX(Zones!$L$6:$L$35,MATCH(F51,Zones!$A$6:$A$35,0)))</f>
        <v>—</v>
      </c>
      <c r="I51" s="27" t="n">
        <f aca="false">IF(E51="Normal",Paramètres!$B$40,IF(E51="Boss",Paramètres!$B$41,1))</f>
        <v>3</v>
      </c>
      <c r="J51" s="23" t="n">
        <f aca="false">IF(E51="Normal",Paramètres!$B$40*Paramètres!$B$39,IF(E51="Boss",(Paramètres!$B$41-1)*Paramètres!$B$39+Paramètres!$B$42+1,1))</f>
        <v>9</v>
      </c>
      <c r="K51" s="33" t="n">
        <f aca="false" t="array" ref="K51:K51">IF(E51="Normal",Paramètres!$B$40*Paramètres!$B$39*(INDEX(Zones!$M$6:$M$35,MATCH(F51,Zones!$A$6:$A$35,0))*(1-Paramètres!$B$46)),IF(E51="Boss",((Paramètres!$B$41-1)*Paramètres!$B$39+Paramètres!$B$42)*(INDEX(Zones!$M$6:$M$35,MATCH(F51,Zones!$A$6:$A$35,0))*(1-Paramètres!$B$46))+INDEX(Zones!$P$6:$P$35,MATCH(F51,Zones!$A$6:$A$35,0)),INDEX(Zones!$P$6:$P$35,MATCH(F51,Zones!$A$6:$A$35,0))))</f>
        <v>19.575</v>
      </c>
      <c r="L51" s="27" t="n">
        <f aca="false">K51*Paramètres!$B$45+I51*Paramètres!$B$47</f>
        <v>109.875</v>
      </c>
      <c r="M51" s="30" t="n">
        <f aca="false" t="array" ref="M51:M51">IF(E51="Dragon",0,(INDEX(Zones!$N$6:$N$35,MATCH(F51,Zones!$A$6:$A$35,0))*Paramètres!$B$34*(INDEX(Zones!$M$6:$M$35,MATCH(F51,Zones!$A$6:$A$35,0))*(1-Paramètres!$B$46))*Paramètres!$B$39*(Paramètres!$B$39+1)/2))</f>
        <v>0.186354</v>
      </c>
      <c r="N51" s="30" t="n">
        <f aca="false" t="array" ref="N51:N51">IF(E51="Normal",0,IF(E51="Dragon",INDEX(Zones!$Q$6:$Q$35,MATCH(F51,Zones!$A$6:$A$35,0))*Paramètres!$B$34*INDEX(Zones!$P$6:$P$35,MATCH(F51,Zones!$A$6:$A$35,0)),INDEX(Zones!$Q$6:$Q$35,MATCH(F51,Zones!$A$6:$A$35,0))*Paramètres!$B$34*(INDEX(Zones!$P$6:$P$35,MATCH(F51,Zones!$A$6:$A$35,0))+Paramètres!$B$42*(INDEX(Zones!$M$6:$M$35,MATCH(F51,Zones!$A$6:$A$35,0))*(1-Paramètres!$B$46)))+INDEX(Zones!$N$6:$N$35,MATCH(F51,Zones!$A$6:$A$35,0))*Paramètres!$B$34*(INDEX(Zones!$M$6:$M$35,MATCH(F51,Zones!$A$6:$A$35,0))*(1-Paramètres!$B$46))*(Paramètres!$B$42*(Paramètres!$B$42+1)/2)))</f>
        <v>0</v>
      </c>
      <c r="O51" s="75" t="n">
        <f aca="false">MAX(M51,N51)</f>
        <v>0.186354</v>
      </c>
      <c r="P51" s="36" t="n">
        <f aca="false">IF(E51="Normal",M51*Paramètres!$B$40,IF(E51="Boss",M51*(Paramètres!$B$41-1)+N51,N51))</f>
        <v>0.559062</v>
      </c>
      <c r="Q51" s="76" t="str">
        <f aca="false">IF(O51&gt;Paramètres!$B$37,"Trop dur","OK")</f>
        <v>OK</v>
      </c>
      <c r="R51" s="29" t="n">
        <f aca="false" t="array" ref="R51:R51">ROUND(IF(E51="Normal",J51*INDEX(Zones!$O$6:$O$35,MATCH(F51,Zones!$A$6:$A$35,0)),IF(E51="Boss",((Paramètres!$B$41-1)*Paramètres!$B$39+Paramètres!$B$42)*INDEX(Zones!$O$6:$O$35,MATCH(F51,Zones!$A$6:$A$35,0))+INDEX(Zones!$R$6:$R$35,MATCH(F51,Zones!$A$6:$A$35,0)),INDEX(Zones!$R$6:$R$35,MATCH(F51,Zones!$A$6:$A$35,0))))*ROUND(Paramètres!$B$49*B51^Paramètres!$B$50,0),0)</f>
        <v>7334</v>
      </c>
      <c r="S51" s="29" t="n">
        <f aca="false" t="array" ref="S51:S51">ROUND(IF(E51="Normal",J51*INDEX(Zones!$O$6:$O$35,MATCH(F51,Zones!$A$6:$A$35,0)),IF(E51="Boss",((Paramètres!$B$41-1)*Paramètres!$B$39+Paramètres!$B$42)*INDEX(Zones!$O$6:$O$35,MATCH(F51,Zones!$A$6:$A$35,0))+INDEX(Zones!$R$6:$R$35,MATCH(F51,Zones!$A$6:$A$35,0)),INDEX(Zones!$R$6:$R$35,MATCH(F51,Zones!$A$6:$A$35,0))))*ROUND(Paramètres!$B$53*B51^Paramètres!$B$54,0),0)</f>
        <v>5375</v>
      </c>
      <c r="T51" s="22" t="str">
        <f aca="false">IF(E51="Boss",G51,"—")</f>
        <v>—</v>
      </c>
      <c r="U51" s="37" t="n">
        <f aca="false">IF(E51="Dragon",0,(J51-IF(E51="Boss",1,0))*AVERAGEIFS(Monstres!$AL$7:$AL$98,Monstres!$B$7:$B$98,F51,Monstres!$G$7:$G$98,"Non"))</f>
        <v>0.54</v>
      </c>
      <c r="V51" s="74" t="n">
        <f aca="false">IF(E51="Boss",Butin!$E$10,IF(E51="Dragon",Butin!$E$11,0))</f>
        <v>0</v>
      </c>
      <c r="W51" s="37" t="n">
        <f aca="false">U51+V51</f>
        <v>0.54</v>
      </c>
      <c r="X51" s="77" t="n">
        <f aca="false">U51*INDEX(Butin!$E$15:$K$24,MATCH($A51,Éléments!$C$5:$C$14,1),1)+V51*IF(E51="Boss",INDEX(Butin!$E$28:$K$37,MATCH($A51,Éléments!$C$5:$C$14,1),1),IF(E51="Dragon",INDEX(Butin!$E$41:$K$50,MATCH($A51,Éléments!$C$5:$C$14,1),1),0))</f>
        <v>0.1836</v>
      </c>
      <c r="Y51" s="77" t="n">
        <f aca="false">U51*INDEX(Butin!$E$15:$K$24,MATCH($A51,Éléments!$C$5:$C$14,1),2)+V51*IF(E51="Boss",INDEX(Butin!$E$28:$K$37,MATCH($A51,Éléments!$C$5:$C$14,1),2),IF(E51="Dragon",INDEX(Butin!$E$41:$K$50,MATCH($A51,Éléments!$C$5:$C$14,1),2),0))</f>
        <v>0.1728</v>
      </c>
      <c r="Z51" s="77" t="n">
        <f aca="false">U51*INDEX(Butin!$E$15:$K$24,MATCH($A51,Éléments!$C$5:$C$14,1),3)+V51*IF(E51="Boss",INDEX(Butin!$E$28:$K$37,MATCH($A51,Éléments!$C$5:$C$14,1),3),IF(E51="Dragon",INDEX(Butin!$E$41:$K$50,MATCH($A51,Éléments!$C$5:$C$14,1),3),0))</f>
        <v>0.1188</v>
      </c>
      <c r="AA51" s="77" t="n">
        <f aca="false">U51*INDEX(Butin!$E$15:$K$24,MATCH($A51,Éléments!$C$5:$C$14,1),4)+V51*IF(E51="Boss",INDEX(Butin!$E$28:$K$37,MATCH($A51,Éléments!$C$5:$C$14,1),4),IF(E51="Dragon",INDEX(Butin!$E$41:$K$50,MATCH($A51,Éléments!$C$5:$C$14,1),4),0))</f>
        <v>0.05076</v>
      </c>
      <c r="AB51" s="77" t="n">
        <f aca="false">U51*INDEX(Butin!$E$15:$K$24,MATCH($A51,Éléments!$C$5:$C$14,1),5)+V51*IF(E51="Boss",INDEX(Butin!$E$28:$K$37,MATCH($A51,Éléments!$C$5:$C$14,1),5),IF(E51="Dragon",INDEX(Butin!$E$41:$K$50,MATCH($A51,Éléments!$C$5:$C$14,1),5),0))</f>
        <v>0.0135</v>
      </c>
      <c r="AC51" s="77" t="n">
        <f aca="false">U51*INDEX(Butin!$E$15:$K$24,MATCH($A51,Éléments!$C$5:$C$14,1),6)+V51*IF(E51="Boss",INDEX(Butin!$E$28:$K$37,MATCH($A51,Éléments!$C$5:$C$14,1),6),IF(E51="Dragon",INDEX(Butin!$E$41:$K$50,MATCH($A51,Éléments!$C$5:$C$14,1),6),0))</f>
        <v>0</v>
      </c>
      <c r="AD51" s="77" t="n">
        <f aca="false">U51*INDEX(Butin!$E$15:$K$24,MATCH($A51,Éléments!$C$5:$C$14,1),7)+V51*IF(E51="Boss",INDEX(Butin!$E$28:$K$37,MATCH($A51,Éléments!$C$5:$C$14,1),7),IF(E51="Dragon",INDEX(Butin!$E$41:$K$50,MATCH($A51,Éléments!$C$5:$C$14,1),7),0))</f>
        <v>0.00054</v>
      </c>
    </row>
    <row r="52" customFormat="false" ht="15.75" hidden="false" customHeight="true" outlineLevel="0" collapsed="false">
      <c r="A52" s="71" t="n">
        <v>47</v>
      </c>
      <c r="B52" s="23" t="n">
        <f aca="false">A52</f>
        <v>47</v>
      </c>
      <c r="C52" s="23" t="str">
        <f aca="false" t="array" ref="C52:C52">INDEX(Éléments!$B$5:$B$14,MATCH(A52,Éléments!$C$5:$C$14,1))</f>
        <v>Marais</v>
      </c>
      <c r="D52" s="44" t="str">
        <f aca="false" t="array" ref="D52:D52">INDEX(Éléments!$A$5:$A$14,MATCH(A52,Éléments!$C$5:$C$14,1))</f>
        <v>Acide</v>
      </c>
      <c r="E52" s="23" t="str">
        <f aca="false">IF(MOD(A52,5)=0,"Boss",IF(MOD(A52,10)=9,"Dragon","Normal"))</f>
        <v>Normal</v>
      </c>
      <c r="F52" s="23" t="n">
        <f aca="false">IF(E52="Normal",5*ROUNDUP(A52/5,0),A52)</f>
        <v>50</v>
      </c>
      <c r="G52" s="22" t="str">
        <f aca="false" t="array" ref="G52:G52">INDEX(Zones!$B$6:$B$35,MATCH(F52,Zones!$A$6:$A$35,0))</f>
        <v>Marais des morts</v>
      </c>
      <c r="H52" s="22" t="str">
        <f aca="false" t="array" ref="H52:H52">IF(E52="Normal","—",INDEX(Zones!$L$6:$L$35,MATCH(F52,Zones!$A$6:$A$35,0)))</f>
        <v>—</v>
      </c>
      <c r="I52" s="27" t="n">
        <f aca="false">IF(E52="Normal",Paramètres!$B$40,IF(E52="Boss",Paramètres!$B$41,1))</f>
        <v>3</v>
      </c>
      <c r="J52" s="23" t="n">
        <f aca="false">IF(E52="Normal",Paramètres!$B$40*Paramètres!$B$39,IF(E52="Boss",(Paramètres!$B$41-1)*Paramètres!$B$39+Paramètres!$B$42+1,1))</f>
        <v>9</v>
      </c>
      <c r="K52" s="33" t="n">
        <f aca="false" t="array" ref="K52:K52">IF(E52="Normal",Paramètres!$B$40*Paramètres!$B$39*(INDEX(Zones!$M$6:$M$35,MATCH(F52,Zones!$A$6:$A$35,0))*(1-Paramètres!$B$46)),IF(E52="Boss",((Paramètres!$B$41-1)*Paramètres!$B$39+Paramètres!$B$42)*(INDEX(Zones!$M$6:$M$35,MATCH(F52,Zones!$A$6:$A$35,0))*(1-Paramètres!$B$46))+INDEX(Zones!$P$6:$P$35,MATCH(F52,Zones!$A$6:$A$35,0)),INDEX(Zones!$P$6:$P$35,MATCH(F52,Zones!$A$6:$A$35,0))))</f>
        <v>19.575</v>
      </c>
      <c r="L52" s="27" t="n">
        <f aca="false">K52*Paramètres!$B$45+I52*Paramètres!$B$47</f>
        <v>109.875</v>
      </c>
      <c r="M52" s="30" t="n">
        <f aca="false" t="array" ref="M52:M52">IF(E52="Dragon",0,(INDEX(Zones!$N$6:$N$35,MATCH(F52,Zones!$A$6:$A$35,0))*Paramètres!$B$34*(INDEX(Zones!$M$6:$M$35,MATCH(F52,Zones!$A$6:$A$35,0))*(1-Paramètres!$B$46))*Paramètres!$B$39*(Paramètres!$B$39+1)/2))</f>
        <v>0.186354</v>
      </c>
      <c r="N52" s="30" t="n">
        <f aca="false" t="array" ref="N52:N52">IF(E52="Normal",0,IF(E52="Dragon",INDEX(Zones!$Q$6:$Q$35,MATCH(F52,Zones!$A$6:$A$35,0))*Paramètres!$B$34*INDEX(Zones!$P$6:$P$35,MATCH(F52,Zones!$A$6:$A$35,0)),INDEX(Zones!$Q$6:$Q$35,MATCH(F52,Zones!$A$6:$A$35,0))*Paramètres!$B$34*(INDEX(Zones!$P$6:$P$35,MATCH(F52,Zones!$A$6:$A$35,0))+Paramètres!$B$42*(INDEX(Zones!$M$6:$M$35,MATCH(F52,Zones!$A$6:$A$35,0))*(1-Paramètres!$B$46)))+INDEX(Zones!$N$6:$N$35,MATCH(F52,Zones!$A$6:$A$35,0))*Paramètres!$B$34*(INDEX(Zones!$M$6:$M$35,MATCH(F52,Zones!$A$6:$A$35,0))*(1-Paramètres!$B$46))*(Paramètres!$B$42*(Paramètres!$B$42+1)/2)))</f>
        <v>0</v>
      </c>
      <c r="O52" s="75" t="n">
        <f aca="false">MAX(M52,N52)</f>
        <v>0.186354</v>
      </c>
      <c r="P52" s="36" t="n">
        <f aca="false">IF(E52="Normal",M52*Paramètres!$B$40,IF(E52="Boss",M52*(Paramètres!$B$41-1)+N52,N52))</f>
        <v>0.559062</v>
      </c>
      <c r="Q52" s="76" t="str">
        <f aca="false">IF(O52&gt;Paramètres!$B$37,"Trop dur","OK")</f>
        <v>OK</v>
      </c>
      <c r="R52" s="29" t="n">
        <f aca="false" t="array" ref="R52:R52">ROUND(IF(E52="Normal",J52*INDEX(Zones!$O$6:$O$35,MATCH(F52,Zones!$A$6:$A$35,0)),IF(E52="Boss",((Paramètres!$B$41-1)*Paramètres!$B$39+Paramètres!$B$42)*INDEX(Zones!$O$6:$O$35,MATCH(F52,Zones!$A$6:$A$35,0))+INDEX(Zones!$R$6:$R$35,MATCH(F52,Zones!$A$6:$A$35,0)),INDEX(Zones!$R$6:$R$35,MATCH(F52,Zones!$A$6:$A$35,0))))*ROUND(Paramètres!$B$49*B52^Paramètres!$B$50,0),0)</f>
        <v>7528</v>
      </c>
      <c r="S52" s="29" t="n">
        <f aca="false" t="array" ref="S52:S52">ROUND(IF(E52="Normal",J52*INDEX(Zones!$O$6:$O$35,MATCH(F52,Zones!$A$6:$A$35,0)),IF(E52="Boss",((Paramètres!$B$41-1)*Paramètres!$B$39+Paramètres!$B$42)*INDEX(Zones!$O$6:$O$35,MATCH(F52,Zones!$A$6:$A$35,0))+INDEX(Zones!$R$6:$R$35,MATCH(F52,Zones!$A$6:$A$35,0)),INDEX(Zones!$R$6:$R$35,MATCH(F52,Zones!$A$6:$A$35,0))))*ROUND(Paramètres!$B$53*B52^Paramètres!$B$54,0),0)</f>
        <v>5539</v>
      </c>
      <c r="T52" s="22" t="str">
        <f aca="false">IF(E52="Boss",G52,"—")</f>
        <v>—</v>
      </c>
      <c r="U52" s="37" t="n">
        <f aca="false">IF(E52="Dragon",0,(J52-IF(E52="Boss",1,0))*AVERAGEIFS(Monstres!$AL$7:$AL$98,Monstres!$B$7:$B$98,F52,Monstres!$G$7:$G$98,"Non"))</f>
        <v>0.54</v>
      </c>
      <c r="V52" s="74" t="n">
        <f aca="false">IF(E52="Boss",Butin!$E$10,IF(E52="Dragon",Butin!$E$11,0))</f>
        <v>0</v>
      </c>
      <c r="W52" s="37" t="n">
        <f aca="false">U52+V52</f>
        <v>0.54</v>
      </c>
      <c r="X52" s="77" t="n">
        <f aca="false">U52*INDEX(Butin!$E$15:$K$24,MATCH($A52,Éléments!$C$5:$C$14,1),1)+V52*IF(E52="Boss",INDEX(Butin!$E$28:$K$37,MATCH($A52,Éléments!$C$5:$C$14,1),1),IF(E52="Dragon",INDEX(Butin!$E$41:$K$50,MATCH($A52,Éléments!$C$5:$C$14,1),1),0))</f>
        <v>0.1836</v>
      </c>
      <c r="Y52" s="77" t="n">
        <f aca="false">U52*INDEX(Butin!$E$15:$K$24,MATCH($A52,Éléments!$C$5:$C$14,1),2)+V52*IF(E52="Boss",INDEX(Butin!$E$28:$K$37,MATCH($A52,Éléments!$C$5:$C$14,1),2),IF(E52="Dragon",INDEX(Butin!$E$41:$K$50,MATCH($A52,Éléments!$C$5:$C$14,1),2),0))</f>
        <v>0.1728</v>
      </c>
      <c r="Z52" s="77" t="n">
        <f aca="false">U52*INDEX(Butin!$E$15:$K$24,MATCH($A52,Éléments!$C$5:$C$14,1),3)+V52*IF(E52="Boss",INDEX(Butin!$E$28:$K$37,MATCH($A52,Éléments!$C$5:$C$14,1),3),IF(E52="Dragon",INDEX(Butin!$E$41:$K$50,MATCH($A52,Éléments!$C$5:$C$14,1),3),0))</f>
        <v>0.1188</v>
      </c>
      <c r="AA52" s="77" t="n">
        <f aca="false">U52*INDEX(Butin!$E$15:$K$24,MATCH($A52,Éléments!$C$5:$C$14,1),4)+V52*IF(E52="Boss",INDEX(Butin!$E$28:$K$37,MATCH($A52,Éléments!$C$5:$C$14,1),4),IF(E52="Dragon",INDEX(Butin!$E$41:$K$50,MATCH($A52,Éléments!$C$5:$C$14,1),4),0))</f>
        <v>0.05076</v>
      </c>
      <c r="AB52" s="77" t="n">
        <f aca="false">U52*INDEX(Butin!$E$15:$K$24,MATCH($A52,Éléments!$C$5:$C$14,1),5)+V52*IF(E52="Boss",INDEX(Butin!$E$28:$K$37,MATCH($A52,Éléments!$C$5:$C$14,1),5),IF(E52="Dragon",INDEX(Butin!$E$41:$K$50,MATCH($A52,Éléments!$C$5:$C$14,1),5),0))</f>
        <v>0.0135</v>
      </c>
      <c r="AC52" s="77" t="n">
        <f aca="false">U52*INDEX(Butin!$E$15:$K$24,MATCH($A52,Éléments!$C$5:$C$14,1),6)+V52*IF(E52="Boss",INDEX(Butin!$E$28:$K$37,MATCH($A52,Éléments!$C$5:$C$14,1),6),IF(E52="Dragon",INDEX(Butin!$E$41:$K$50,MATCH($A52,Éléments!$C$5:$C$14,1),6),0))</f>
        <v>0</v>
      </c>
      <c r="AD52" s="77" t="n">
        <f aca="false">U52*INDEX(Butin!$E$15:$K$24,MATCH($A52,Éléments!$C$5:$C$14,1),7)+V52*IF(E52="Boss",INDEX(Butin!$E$28:$K$37,MATCH($A52,Éléments!$C$5:$C$14,1),7),IF(E52="Dragon",INDEX(Butin!$E$41:$K$50,MATCH($A52,Éléments!$C$5:$C$14,1),7),0))</f>
        <v>0.00054</v>
      </c>
    </row>
    <row r="53" customFormat="false" ht="15.75" hidden="false" customHeight="true" outlineLevel="0" collapsed="false">
      <c r="A53" s="71" t="n">
        <v>48</v>
      </c>
      <c r="B53" s="23" t="n">
        <f aca="false">A53</f>
        <v>48</v>
      </c>
      <c r="C53" s="23" t="str">
        <f aca="false" t="array" ref="C53:C53">INDEX(Éléments!$B$5:$B$14,MATCH(A53,Éléments!$C$5:$C$14,1))</f>
        <v>Marais</v>
      </c>
      <c r="D53" s="44" t="str">
        <f aca="false" t="array" ref="D53:D53">INDEX(Éléments!$A$5:$A$14,MATCH(A53,Éléments!$C$5:$C$14,1))</f>
        <v>Acide</v>
      </c>
      <c r="E53" s="23" t="str">
        <f aca="false">IF(MOD(A53,5)=0,"Boss",IF(MOD(A53,10)=9,"Dragon","Normal"))</f>
        <v>Normal</v>
      </c>
      <c r="F53" s="23" t="n">
        <f aca="false">IF(E53="Normal",5*ROUNDUP(A53/5,0),A53)</f>
        <v>50</v>
      </c>
      <c r="G53" s="22" t="str">
        <f aca="false" t="array" ref="G53:G53">INDEX(Zones!$B$6:$B$35,MATCH(F53,Zones!$A$6:$A$35,0))</f>
        <v>Marais des morts</v>
      </c>
      <c r="H53" s="22" t="str">
        <f aca="false" t="array" ref="H53:H53">IF(E53="Normal","—",INDEX(Zones!$L$6:$L$35,MATCH(F53,Zones!$A$6:$A$35,0)))</f>
        <v>—</v>
      </c>
      <c r="I53" s="27" t="n">
        <f aca="false">IF(E53="Normal",Paramètres!$B$40,IF(E53="Boss",Paramètres!$B$41,1))</f>
        <v>3</v>
      </c>
      <c r="J53" s="23" t="n">
        <f aca="false">IF(E53="Normal",Paramètres!$B$40*Paramètres!$B$39,IF(E53="Boss",(Paramètres!$B$41-1)*Paramètres!$B$39+Paramètres!$B$42+1,1))</f>
        <v>9</v>
      </c>
      <c r="K53" s="33" t="n">
        <f aca="false" t="array" ref="K53:K53">IF(E53="Normal",Paramètres!$B$40*Paramètres!$B$39*(INDEX(Zones!$M$6:$M$35,MATCH(F53,Zones!$A$6:$A$35,0))*(1-Paramètres!$B$46)),IF(E53="Boss",((Paramètres!$B$41-1)*Paramètres!$B$39+Paramètres!$B$42)*(INDEX(Zones!$M$6:$M$35,MATCH(F53,Zones!$A$6:$A$35,0))*(1-Paramètres!$B$46))+INDEX(Zones!$P$6:$P$35,MATCH(F53,Zones!$A$6:$A$35,0)),INDEX(Zones!$P$6:$P$35,MATCH(F53,Zones!$A$6:$A$35,0))))</f>
        <v>19.575</v>
      </c>
      <c r="L53" s="27" t="n">
        <f aca="false">K53*Paramètres!$B$45+I53*Paramètres!$B$47</f>
        <v>109.875</v>
      </c>
      <c r="M53" s="30" t="n">
        <f aca="false" t="array" ref="M53:M53">IF(E53="Dragon",0,(INDEX(Zones!$N$6:$N$35,MATCH(F53,Zones!$A$6:$A$35,0))*Paramètres!$B$34*(INDEX(Zones!$M$6:$M$35,MATCH(F53,Zones!$A$6:$A$35,0))*(1-Paramètres!$B$46))*Paramètres!$B$39*(Paramètres!$B$39+1)/2))</f>
        <v>0.186354</v>
      </c>
      <c r="N53" s="30" t="n">
        <f aca="false" t="array" ref="N53:N53">IF(E53="Normal",0,IF(E53="Dragon",INDEX(Zones!$Q$6:$Q$35,MATCH(F53,Zones!$A$6:$A$35,0))*Paramètres!$B$34*INDEX(Zones!$P$6:$P$35,MATCH(F53,Zones!$A$6:$A$35,0)),INDEX(Zones!$Q$6:$Q$35,MATCH(F53,Zones!$A$6:$A$35,0))*Paramètres!$B$34*(INDEX(Zones!$P$6:$P$35,MATCH(F53,Zones!$A$6:$A$35,0))+Paramètres!$B$42*(INDEX(Zones!$M$6:$M$35,MATCH(F53,Zones!$A$6:$A$35,0))*(1-Paramètres!$B$46)))+INDEX(Zones!$N$6:$N$35,MATCH(F53,Zones!$A$6:$A$35,0))*Paramètres!$B$34*(INDEX(Zones!$M$6:$M$35,MATCH(F53,Zones!$A$6:$A$35,0))*(1-Paramètres!$B$46))*(Paramètres!$B$42*(Paramètres!$B$42+1)/2)))</f>
        <v>0</v>
      </c>
      <c r="O53" s="75" t="n">
        <f aca="false">MAX(M53,N53)</f>
        <v>0.186354</v>
      </c>
      <c r="P53" s="36" t="n">
        <f aca="false">IF(E53="Normal",M53*Paramètres!$B$40,IF(E53="Boss",M53*(Paramètres!$B$41-1)+N53,N53))</f>
        <v>0.559062</v>
      </c>
      <c r="Q53" s="76" t="str">
        <f aca="false">IF(O53&gt;Paramètres!$B$37,"Trop dur","OK")</f>
        <v>OK</v>
      </c>
      <c r="R53" s="29" t="n">
        <f aca="false" t="array" ref="R53:R53">ROUND(IF(E53="Normal",J53*INDEX(Zones!$O$6:$O$35,MATCH(F53,Zones!$A$6:$A$35,0)),IF(E53="Boss",((Paramètres!$B$41-1)*Paramètres!$B$39+Paramètres!$B$42)*INDEX(Zones!$O$6:$O$35,MATCH(F53,Zones!$A$6:$A$35,0))+INDEX(Zones!$R$6:$R$35,MATCH(F53,Zones!$A$6:$A$35,0)),INDEX(Zones!$R$6:$R$35,MATCH(F53,Zones!$A$6:$A$35,0))))*ROUND(Paramètres!$B$49*B53^Paramètres!$B$50,0),0)</f>
        <v>7732</v>
      </c>
      <c r="S53" s="29" t="n">
        <f aca="false" t="array" ref="S53:S53">ROUND(IF(E53="Normal",J53*INDEX(Zones!$O$6:$O$35,MATCH(F53,Zones!$A$6:$A$35,0)),IF(E53="Boss",((Paramètres!$B$41-1)*Paramètres!$B$39+Paramètres!$B$42)*INDEX(Zones!$O$6:$O$35,MATCH(F53,Zones!$A$6:$A$35,0))+INDEX(Zones!$R$6:$R$35,MATCH(F53,Zones!$A$6:$A$35,0)),INDEX(Zones!$R$6:$R$35,MATCH(F53,Zones!$A$6:$A$35,0))))*ROUND(Paramètres!$B$53*B53^Paramètres!$B$54,0),0)</f>
        <v>5692</v>
      </c>
      <c r="T53" s="22" t="str">
        <f aca="false">IF(E53="Boss",G53,"—")</f>
        <v>—</v>
      </c>
      <c r="U53" s="37" t="n">
        <f aca="false">IF(E53="Dragon",0,(J53-IF(E53="Boss",1,0))*AVERAGEIFS(Monstres!$AL$7:$AL$98,Monstres!$B$7:$B$98,F53,Monstres!$G$7:$G$98,"Non"))</f>
        <v>0.54</v>
      </c>
      <c r="V53" s="74" t="n">
        <f aca="false">IF(E53="Boss",Butin!$E$10,IF(E53="Dragon",Butin!$E$11,0))</f>
        <v>0</v>
      </c>
      <c r="W53" s="37" t="n">
        <f aca="false">U53+V53</f>
        <v>0.54</v>
      </c>
      <c r="X53" s="77" t="n">
        <f aca="false">U53*INDEX(Butin!$E$15:$K$24,MATCH($A53,Éléments!$C$5:$C$14,1),1)+V53*IF(E53="Boss",INDEX(Butin!$E$28:$K$37,MATCH($A53,Éléments!$C$5:$C$14,1),1),IF(E53="Dragon",INDEX(Butin!$E$41:$K$50,MATCH($A53,Éléments!$C$5:$C$14,1),1),0))</f>
        <v>0.1836</v>
      </c>
      <c r="Y53" s="77" t="n">
        <f aca="false">U53*INDEX(Butin!$E$15:$K$24,MATCH($A53,Éléments!$C$5:$C$14,1),2)+V53*IF(E53="Boss",INDEX(Butin!$E$28:$K$37,MATCH($A53,Éléments!$C$5:$C$14,1),2),IF(E53="Dragon",INDEX(Butin!$E$41:$K$50,MATCH($A53,Éléments!$C$5:$C$14,1),2),0))</f>
        <v>0.1728</v>
      </c>
      <c r="Z53" s="77" t="n">
        <f aca="false">U53*INDEX(Butin!$E$15:$K$24,MATCH($A53,Éléments!$C$5:$C$14,1),3)+V53*IF(E53="Boss",INDEX(Butin!$E$28:$K$37,MATCH($A53,Éléments!$C$5:$C$14,1),3),IF(E53="Dragon",INDEX(Butin!$E$41:$K$50,MATCH($A53,Éléments!$C$5:$C$14,1),3),0))</f>
        <v>0.1188</v>
      </c>
      <c r="AA53" s="77" t="n">
        <f aca="false">U53*INDEX(Butin!$E$15:$K$24,MATCH($A53,Éléments!$C$5:$C$14,1),4)+V53*IF(E53="Boss",INDEX(Butin!$E$28:$K$37,MATCH($A53,Éléments!$C$5:$C$14,1),4),IF(E53="Dragon",INDEX(Butin!$E$41:$K$50,MATCH($A53,Éléments!$C$5:$C$14,1),4),0))</f>
        <v>0.05076</v>
      </c>
      <c r="AB53" s="77" t="n">
        <f aca="false">U53*INDEX(Butin!$E$15:$K$24,MATCH($A53,Éléments!$C$5:$C$14,1),5)+V53*IF(E53="Boss",INDEX(Butin!$E$28:$K$37,MATCH($A53,Éléments!$C$5:$C$14,1),5),IF(E53="Dragon",INDEX(Butin!$E$41:$K$50,MATCH($A53,Éléments!$C$5:$C$14,1),5),0))</f>
        <v>0.0135</v>
      </c>
      <c r="AC53" s="77" t="n">
        <f aca="false">U53*INDEX(Butin!$E$15:$K$24,MATCH($A53,Éléments!$C$5:$C$14,1),6)+V53*IF(E53="Boss",INDEX(Butin!$E$28:$K$37,MATCH($A53,Éléments!$C$5:$C$14,1),6),IF(E53="Dragon",INDEX(Butin!$E$41:$K$50,MATCH($A53,Éléments!$C$5:$C$14,1),6),0))</f>
        <v>0</v>
      </c>
      <c r="AD53" s="77" t="n">
        <f aca="false">U53*INDEX(Butin!$E$15:$K$24,MATCH($A53,Éléments!$C$5:$C$14,1),7)+V53*IF(E53="Boss",INDEX(Butin!$E$28:$K$37,MATCH($A53,Éléments!$C$5:$C$14,1),7),IF(E53="Dragon",INDEX(Butin!$E$41:$K$50,MATCH($A53,Éléments!$C$5:$C$14,1),7),0))</f>
        <v>0.00054</v>
      </c>
    </row>
    <row r="54" customFormat="false" ht="15.75" hidden="false" customHeight="true" outlineLevel="0" collapsed="false">
      <c r="A54" s="71" t="n">
        <v>49</v>
      </c>
      <c r="B54" s="23" t="n">
        <f aca="false">A54</f>
        <v>49</v>
      </c>
      <c r="C54" s="23" t="str">
        <f aca="false" t="array" ref="C54:C54">INDEX(Éléments!$B$5:$B$14,MATCH(A54,Éléments!$C$5:$C$14,1))</f>
        <v>Marais</v>
      </c>
      <c r="D54" s="44" t="str">
        <f aca="false" t="array" ref="D54:D54">INDEX(Éléments!$A$5:$A$14,MATCH(A54,Éléments!$C$5:$C$14,1))</f>
        <v>Acide</v>
      </c>
      <c r="E54" s="23" t="str">
        <f aca="false">IF(MOD(A54,5)=0,"Boss",IF(MOD(A54,10)=9,"Dragon","Normal"))</f>
        <v>Dragon</v>
      </c>
      <c r="F54" s="23" t="n">
        <f aca="false">IF(E54="Normal",5*ROUNDUP(A54/5,0),A54)</f>
        <v>49</v>
      </c>
      <c r="G54" s="22" t="str">
        <f aca="false" t="array" ref="G54:G54">INDEX(Zones!$B$6:$B$35,MATCH(F54,Zones!$A$6:$A$35,0))</f>
        <v>Tannière du dragon (49)</v>
      </c>
      <c r="H54" s="22" t="str">
        <f aca="false" t="array" ref="H54:H54">IF(E54="Normal","—",INDEX(Zones!$L$6:$L$35,MATCH(F54,Zones!$A$6:$A$35,0)))</f>
        <v>Dragon (Acide)</v>
      </c>
      <c r="I54" s="23" t="n">
        <f aca="false">IF(E54="Normal",Paramètres!$B$40,IF(E54="Boss",Paramètres!$B$41,1))</f>
        <v>1</v>
      </c>
      <c r="J54" s="23" t="n">
        <f aca="false">IF(E54="Normal",Paramètres!$B$40*Paramètres!$B$39,IF(E54="Boss",(Paramètres!$B$41-1)*Paramètres!$B$39+Paramètres!$B$42+1,1))</f>
        <v>1</v>
      </c>
      <c r="K54" s="33" t="n">
        <f aca="false" t="array" ref="K54:K54">IF(E54="Normal",Paramètres!$B$40*Paramètres!$B$39*(INDEX(Zones!$M$6:$M$35,MATCH(F54,Zones!$A$6:$A$35,0))*(1-Paramètres!$B$46)),IF(E54="Boss",((Paramètres!$B$41-1)*Paramètres!$B$39+Paramètres!$B$42)*(INDEX(Zones!$M$6:$M$35,MATCH(F54,Zones!$A$6:$A$35,0))*(1-Paramètres!$B$46))+INDEX(Zones!$P$6:$P$35,MATCH(F54,Zones!$A$6:$A$35,0)),INDEX(Zones!$P$6:$P$35,MATCH(F54,Zones!$A$6:$A$35,0))))</f>
        <v>20</v>
      </c>
      <c r="L54" s="27" t="n">
        <f aca="false">K54*Paramètres!$B$45+I54*Paramètres!$B$47</f>
        <v>104</v>
      </c>
      <c r="M54" s="30" t="n">
        <f aca="false" t="array" ref="M54:M54">IF(E54="Dragon",0,(INDEX(Zones!$N$6:$N$35,MATCH(F54,Zones!$A$6:$A$35,0))*Paramètres!$B$34*(INDEX(Zones!$M$6:$M$35,MATCH(F54,Zones!$A$6:$A$35,0))*(1-Paramètres!$B$46))*Paramètres!$B$39*(Paramètres!$B$39+1)/2))</f>
        <v>0</v>
      </c>
      <c r="N54" s="30" t="n">
        <f aca="false" t="array" ref="N54:N54">IF(E54="Normal",0,IF(E54="Dragon",INDEX(Zones!$Q$6:$Q$35,MATCH(F54,Zones!$A$6:$A$35,0))*Paramètres!$B$34*INDEX(Zones!$P$6:$P$35,MATCH(F54,Zones!$A$6:$A$35,0)),INDEX(Zones!$Q$6:$Q$35,MATCH(F54,Zones!$A$6:$A$35,0))*Paramètres!$B$34*(INDEX(Zones!$P$6:$P$35,MATCH(F54,Zones!$A$6:$A$35,0))+Paramètres!$B$42*(INDEX(Zones!$M$6:$M$35,MATCH(F54,Zones!$A$6:$A$35,0))*(1-Paramètres!$B$46)))+INDEX(Zones!$N$6:$N$35,MATCH(F54,Zones!$A$6:$A$35,0))*Paramètres!$B$34*(INDEX(Zones!$M$6:$M$35,MATCH(F54,Zones!$A$6:$A$35,0))*(1-Paramètres!$B$46))*(Paramètres!$B$42*(Paramètres!$B$42+1)/2)))</f>
        <v>0.51</v>
      </c>
      <c r="O54" s="75" t="n">
        <f aca="false">MAX(M54,N54)</f>
        <v>0.51</v>
      </c>
      <c r="P54" s="36" t="n">
        <f aca="false">IF(E54="Normal",M54*Paramètres!$B$40,IF(E54="Boss",M54*(Paramètres!$B$41-1)+N54,N54))</f>
        <v>0.51</v>
      </c>
      <c r="Q54" s="76" t="str">
        <f aca="false">IF(O54&gt;Paramètres!$B$37,"Trop dur","OK")</f>
        <v>OK</v>
      </c>
      <c r="R54" s="29" t="n">
        <f aca="false" t="array" ref="R54:R54">ROUND(IF(E54="Normal",J54*INDEX(Zones!$O$6:$O$35,MATCH(F54,Zones!$A$6:$A$35,0)),IF(E54="Boss",((Paramètres!$B$41-1)*Paramètres!$B$39+Paramètres!$B$42)*INDEX(Zones!$O$6:$O$35,MATCH(F54,Zones!$A$6:$A$35,0))+INDEX(Zones!$R$6:$R$35,MATCH(F54,Zones!$A$6:$A$35,0)),INDEX(Zones!$R$6:$R$35,MATCH(F54,Zones!$A$6:$A$35,0))))*ROUND(Paramètres!$B$49*B54^Paramètres!$B$50,0),0)</f>
        <v>9336</v>
      </c>
      <c r="S54" s="29" t="n">
        <f aca="false" t="array" ref="S54:S54">ROUND(IF(E54="Normal",J54*INDEX(Zones!$O$6:$O$35,MATCH(F54,Zones!$A$6:$A$35,0)),IF(E54="Boss",((Paramètres!$B$41-1)*Paramètres!$B$39+Paramètres!$B$42)*INDEX(Zones!$O$6:$O$35,MATCH(F54,Zones!$A$6:$A$35,0))+INDEX(Zones!$R$6:$R$35,MATCH(F54,Zones!$A$6:$A$35,0)),INDEX(Zones!$R$6:$R$35,MATCH(F54,Zones!$A$6:$A$35,0))))*ROUND(Paramètres!$B$53*B54^Paramètres!$B$54,0),0)</f>
        <v>6888</v>
      </c>
      <c r="T54" s="22" t="str">
        <f aca="false">IF(E54="Boss",G54,"—")</f>
        <v>—</v>
      </c>
      <c r="U54" s="37" t="n">
        <f aca="false">IF(E54="Dragon",0,(J54-IF(E54="Boss",1,0))*AVERAGEIFS(Monstres!$AL$7:$AL$98,Monstres!$B$7:$B$98,F54,Monstres!$G$7:$G$98,"Non"))</f>
        <v>0</v>
      </c>
      <c r="V54" s="74" t="n">
        <f aca="false">IF(E54="Boss",Butin!$E$10,IF(E54="Dragon",Butin!$E$11,0))</f>
        <v>2.5</v>
      </c>
      <c r="W54" s="37" t="n">
        <f aca="false">U54+V54</f>
        <v>2.5</v>
      </c>
      <c r="X54" s="77" t="n">
        <f aca="false">U54*INDEX(Butin!$E$15:$K$24,MATCH($A54,Éléments!$C$5:$C$14,1),1)+V54*IF(E54="Boss",INDEX(Butin!$E$28:$K$37,MATCH($A54,Éléments!$C$5:$C$14,1),1),IF(E54="Dragon",INDEX(Butin!$E$41:$K$50,MATCH($A54,Éléments!$C$5:$C$14,1),1),0))</f>
        <v>0.1</v>
      </c>
      <c r="Y54" s="77" t="n">
        <f aca="false">U54*INDEX(Butin!$E$15:$K$24,MATCH($A54,Éléments!$C$5:$C$14,1),2)+V54*IF(E54="Boss",INDEX(Butin!$E$28:$K$37,MATCH($A54,Éléments!$C$5:$C$14,1),2),IF(E54="Dragon",INDEX(Butin!$E$41:$K$50,MATCH($A54,Éléments!$C$5:$C$14,1),2),0))</f>
        <v>0.45</v>
      </c>
      <c r="Z54" s="77" t="n">
        <f aca="false">U54*INDEX(Butin!$E$15:$K$24,MATCH($A54,Éléments!$C$5:$C$14,1),3)+V54*IF(E54="Boss",INDEX(Butin!$E$28:$K$37,MATCH($A54,Éléments!$C$5:$C$14,1),3),IF(E54="Dragon",INDEX(Butin!$E$41:$K$50,MATCH($A54,Éléments!$C$5:$C$14,1),3),0))</f>
        <v>0.725</v>
      </c>
      <c r="AA54" s="77" t="n">
        <f aca="false">U54*INDEX(Butin!$E$15:$K$24,MATCH($A54,Éléments!$C$5:$C$14,1),4)+V54*IF(E54="Boss",INDEX(Butin!$E$28:$K$37,MATCH($A54,Éléments!$C$5:$C$14,1),4),IF(E54="Dragon",INDEX(Butin!$E$41:$K$50,MATCH($A54,Éléments!$C$5:$C$14,1),4),0))</f>
        <v>0.675</v>
      </c>
      <c r="AB54" s="77" t="n">
        <f aca="false">U54*INDEX(Butin!$E$15:$K$24,MATCH($A54,Éléments!$C$5:$C$14,1),5)+V54*IF(E54="Boss",INDEX(Butin!$E$28:$K$37,MATCH($A54,Éléments!$C$5:$C$14,1),5),IF(E54="Dragon",INDEX(Butin!$E$41:$K$50,MATCH($A54,Éléments!$C$5:$C$14,1),5),0))</f>
        <v>0.325</v>
      </c>
      <c r="AC54" s="77" t="n">
        <f aca="false">U54*INDEX(Butin!$E$15:$K$24,MATCH($A54,Éléments!$C$5:$C$14,1),6)+V54*IF(E54="Boss",INDEX(Butin!$E$28:$K$37,MATCH($A54,Éléments!$C$5:$C$14,1),6),IF(E54="Dragon",INDEX(Butin!$E$41:$K$50,MATCH($A54,Éléments!$C$5:$C$14,1),6),0))</f>
        <v>0.075</v>
      </c>
      <c r="AD54" s="77" t="n">
        <f aca="false">U54*INDEX(Butin!$E$15:$K$24,MATCH($A54,Éléments!$C$5:$C$14,1),7)+V54*IF(E54="Boss",INDEX(Butin!$E$28:$K$37,MATCH($A54,Éléments!$C$5:$C$14,1),7),IF(E54="Dragon",INDEX(Butin!$E$41:$K$50,MATCH($A54,Éléments!$C$5:$C$14,1),7),0))</f>
        <v>0.15</v>
      </c>
    </row>
    <row r="55" customFormat="false" ht="15.75" hidden="false" customHeight="true" outlineLevel="0" collapsed="false">
      <c r="A55" s="71" t="n">
        <v>50</v>
      </c>
      <c r="B55" s="23" t="n">
        <f aca="false">A55</f>
        <v>50</v>
      </c>
      <c r="C55" s="23" t="str">
        <f aca="false" t="array" ref="C55:C55">INDEX(Éléments!$B$5:$B$14,MATCH(A55,Éléments!$C$5:$C$14,1))</f>
        <v>Marais</v>
      </c>
      <c r="D55" s="44" t="str">
        <f aca="false" t="array" ref="D55:D55">INDEX(Éléments!$A$5:$A$14,MATCH(A55,Éléments!$C$5:$C$14,1))</f>
        <v>Acide</v>
      </c>
      <c r="E55" s="23" t="str">
        <f aca="false">IF(MOD(A55,5)=0,"Boss",IF(MOD(A55,10)=9,"Dragon","Normal"))</f>
        <v>Boss</v>
      </c>
      <c r="F55" s="23" t="n">
        <f aca="false">IF(E55="Normal",5*ROUNDUP(A55/5,0),A55)</f>
        <v>50</v>
      </c>
      <c r="G55" s="22" t="str">
        <f aca="false" t="array" ref="G55:G55">INDEX(Zones!$B$6:$B$35,MATCH(F55,Zones!$A$6:$A$35,0))</f>
        <v>Marais des morts</v>
      </c>
      <c r="H55" s="22" t="str">
        <f aca="false" t="array" ref="H55:H55">IF(E55="Normal","—",INDEX(Zones!$L$6:$L$35,MATCH(F55,Zones!$A$6:$A$35,0)))</f>
        <v>Nurgol le zombie</v>
      </c>
      <c r="I55" s="27" t="n">
        <f aca="false">IF(E55="Normal",Paramètres!$B$40,IF(E55="Boss",Paramètres!$B$41,1))</f>
        <v>5</v>
      </c>
      <c r="J55" s="27" t="n">
        <f aca="false">IF(E55="Normal",Paramètres!$B$40*Paramètres!$B$39,IF(E55="Boss",(Paramètres!$B$41-1)*Paramètres!$B$39+Paramètres!$B$42+1,1))</f>
        <v>15</v>
      </c>
      <c r="K55" s="33" t="n">
        <f aca="false" t="array" ref="K55:K55">IF(E55="Normal",Paramètres!$B$40*Paramètres!$B$39*(INDEX(Zones!$M$6:$M$35,MATCH(F55,Zones!$A$6:$A$35,0))*(1-Paramètres!$B$46)),IF(E55="Boss",((Paramètres!$B$41-1)*Paramètres!$B$39+Paramètres!$B$42)*(INDEX(Zones!$M$6:$M$35,MATCH(F55,Zones!$A$6:$A$35,0))*(1-Paramètres!$B$46))+INDEX(Zones!$P$6:$P$35,MATCH(F55,Zones!$A$6:$A$35,0)),INDEX(Zones!$P$6:$P$35,MATCH(F55,Zones!$A$6:$A$35,0))))</f>
        <v>48.45</v>
      </c>
      <c r="L55" s="27" t="n">
        <f aca="false">K55*Paramètres!$B$45+I55*Paramètres!$B$47</f>
        <v>262.25</v>
      </c>
      <c r="M55" s="30" t="n">
        <f aca="false" t="array" ref="M55:M55">IF(E55="Dragon",0,(INDEX(Zones!$N$6:$N$35,MATCH(F55,Zones!$A$6:$A$35,0))*Paramètres!$B$34*(INDEX(Zones!$M$6:$M$35,MATCH(F55,Zones!$A$6:$A$35,0))*(1-Paramètres!$B$46))*Paramètres!$B$39*(Paramètres!$B$39+1)/2))</f>
        <v>0.186354</v>
      </c>
      <c r="N55" s="30" t="n">
        <f aca="false" t="array" ref="N55:N55">IF(E55="Normal",0,IF(E55="Dragon",INDEX(Zones!$Q$6:$Q$35,MATCH(F55,Zones!$A$6:$A$35,0))*Paramètres!$B$34*INDEX(Zones!$P$6:$P$35,MATCH(F55,Zones!$A$6:$A$35,0)),INDEX(Zones!$Q$6:$Q$35,MATCH(F55,Zones!$A$6:$A$35,0))*Paramètres!$B$34*(INDEX(Zones!$P$6:$P$35,MATCH(F55,Zones!$A$6:$A$35,0))+Paramètres!$B$42*(INDEX(Zones!$M$6:$M$35,MATCH(F55,Zones!$A$6:$A$35,0))*(1-Paramètres!$B$46)))+INDEX(Zones!$N$6:$N$35,MATCH(F55,Zones!$A$6:$A$35,0))*Paramètres!$B$34*(INDEX(Zones!$M$6:$M$35,MATCH(F55,Zones!$A$6:$A$35,0))*(1-Paramètres!$B$46))*(Paramètres!$B$42*(Paramètres!$B$42+1)/2)))</f>
        <v>0.63460575</v>
      </c>
      <c r="O55" s="75" t="n">
        <f aca="false">MAX(M55,N55)</f>
        <v>0.63460575</v>
      </c>
      <c r="P55" s="36" t="n">
        <f aca="false">IF(E55="Normal",M55*Paramètres!$B$40,IF(E55="Boss",M55*(Paramètres!$B$41-1)+N55,N55))</f>
        <v>1.38002175</v>
      </c>
      <c r="Q55" s="76" t="str">
        <f aca="false">IF(O55&gt;Paramètres!$B$37,"Trop dur","OK")</f>
        <v>OK</v>
      </c>
      <c r="R55" s="29" t="n">
        <f aca="false" t="array" ref="R55:R55">ROUND(IF(E55="Normal",J55*INDEX(Zones!$O$6:$O$35,MATCH(F55,Zones!$A$6:$A$35,0)),IF(E55="Boss",((Paramètres!$B$41-1)*Paramètres!$B$39+Paramètres!$B$42)*INDEX(Zones!$O$6:$O$35,MATCH(F55,Zones!$A$6:$A$35,0))+INDEX(Zones!$R$6:$R$35,MATCH(F55,Zones!$A$6:$A$35,0)),INDEX(Zones!$R$6:$R$35,MATCH(F55,Zones!$A$6:$A$35,0))))*ROUND(Paramètres!$B$49*B55^Paramètres!$B$50,0),0)</f>
        <v>19046</v>
      </c>
      <c r="S55" s="29" t="n">
        <f aca="false" t="array" ref="S55:S55">ROUND(IF(E55="Normal",J55*INDEX(Zones!$O$6:$O$35,MATCH(F55,Zones!$A$6:$A$35,0)),IF(E55="Boss",((Paramètres!$B$41-1)*Paramètres!$B$39+Paramètres!$B$42)*INDEX(Zones!$O$6:$O$35,MATCH(F55,Zones!$A$6:$A$35,0))+INDEX(Zones!$R$6:$R$35,MATCH(F55,Zones!$A$6:$A$35,0)),INDEX(Zones!$R$6:$R$35,MATCH(F55,Zones!$A$6:$A$35,0))))*ROUND(Paramètres!$B$53*B55^Paramètres!$B$54,0),0)</f>
        <v>14081</v>
      </c>
      <c r="T55" s="22" t="str">
        <f aca="false">IF(E55="Boss",G55,"—")</f>
        <v>Marais des morts</v>
      </c>
      <c r="U55" s="37" t="n">
        <f aca="false">IF(E55="Dragon",0,(J55-IF(E55="Boss",1,0))*AVERAGEIFS(Monstres!$AL$7:$AL$98,Monstres!$B$7:$B$98,F55,Monstres!$G$7:$G$98,"Non"))</f>
        <v>0.84</v>
      </c>
      <c r="V55" s="74" t="n">
        <f aca="false">IF(E55="Boss",Butin!$E$10,IF(E55="Dragon",Butin!$E$11,0))</f>
        <v>1.4</v>
      </c>
      <c r="W55" s="37" t="n">
        <f aca="false">U55+V55</f>
        <v>2.24</v>
      </c>
      <c r="X55" s="77" t="n">
        <f aca="false">U55*INDEX(Butin!$E$15:$K$24,MATCH($A55,Éléments!$C$5:$C$14,1),1)+V55*IF(E55="Boss",INDEX(Butin!$E$28:$K$37,MATCH($A55,Éléments!$C$5:$C$14,1),1),IF(E55="Dragon",INDEX(Butin!$E$41:$K$50,MATCH($A55,Éléments!$C$5:$C$14,1),1),0))</f>
        <v>0.3976</v>
      </c>
      <c r="Y55" s="77" t="n">
        <f aca="false">U55*INDEX(Butin!$E$15:$K$24,MATCH($A55,Éléments!$C$5:$C$14,1),2)+V55*IF(E55="Boss",INDEX(Butin!$E$28:$K$37,MATCH($A55,Éléments!$C$5:$C$14,1),2),IF(E55="Dragon",INDEX(Butin!$E$41:$K$50,MATCH($A55,Éléments!$C$5:$C$14,1),2),0))</f>
        <v>0.5628</v>
      </c>
      <c r="Z55" s="77" t="n">
        <f aca="false">U55*INDEX(Butin!$E$15:$K$24,MATCH($A55,Éléments!$C$5:$C$14,1),3)+V55*IF(E55="Boss",INDEX(Butin!$E$28:$K$37,MATCH($A55,Éléments!$C$5:$C$14,1),3),IF(E55="Dragon",INDEX(Butin!$E$41:$K$50,MATCH($A55,Éléments!$C$5:$C$14,1),3),0))</f>
        <v>0.6188</v>
      </c>
      <c r="AA55" s="77" t="n">
        <f aca="false">U55*INDEX(Butin!$E$15:$K$24,MATCH($A55,Éléments!$C$5:$C$14,1),4)+V55*IF(E55="Boss",INDEX(Butin!$E$28:$K$37,MATCH($A55,Éléments!$C$5:$C$14,1),4),IF(E55="Dragon",INDEX(Butin!$E$41:$K$50,MATCH($A55,Éléments!$C$5:$C$14,1),4),0))</f>
        <v>0.40096</v>
      </c>
      <c r="AB55" s="77" t="n">
        <f aca="false">U55*INDEX(Butin!$E$15:$K$24,MATCH($A55,Éléments!$C$5:$C$14,1),5)+V55*IF(E55="Boss",INDEX(Butin!$E$28:$K$37,MATCH($A55,Éléments!$C$5:$C$14,1),5),IF(E55="Dragon",INDEX(Butin!$E$41:$K$50,MATCH($A55,Éléments!$C$5:$C$14,1),5),0))</f>
        <v>0.161</v>
      </c>
      <c r="AC55" s="77" t="n">
        <f aca="false">U55*INDEX(Butin!$E$15:$K$24,MATCH($A55,Éléments!$C$5:$C$14,1),6)+V55*IF(E55="Boss",INDEX(Butin!$E$28:$K$37,MATCH($A55,Éléments!$C$5:$C$14,1),6),IF(E55="Dragon",INDEX(Butin!$E$41:$K$50,MATCH($A55,Éléments!$C$5:$C$14,1),6),0))</f>
        <v>0.035</v>
      </c>
      <c r="AD55" s="77" t="n">
        <f aca="false">U55*INDEX(Butin!$E$15:$K$24,MATCH($A55,Éléments!$C$5:$C$14,1),7)+V55*IF(E55="Boss",INDEX(Butin!$E$28:$K$37,MATCH($A55,Éléments!$C$5:$C$14,1),7),IF(E55="Dragon",INDEX(Butin!$E$41:$K$50,MATCH($A55,Éléments!$C$5:$C$14,1),7),0))</f>
        <v>0.06384</v>
      </c>
    </row>
    <row r="56" customFormat="false" ht="15.75" hidden="false" customHeight="true" outlineLevel="0" collapsed="false">
      <c r="A56" s="71" t="n">
        <v>51</v>
      </c>
      <c r="B56" s="23" t="n">
        <f aca="false">A56</f>
        <v>51</v>
      </c>
      <c r="C56" s="23" t="str">
        <f aca="false" t="array" ref="C56:C56">INDEX(Éléments!$B$5:$B$14,MATCH(A56,Éléments!$C$5:$C$14,1))</f>
        <v>Océan / Île</v>
      </c>
      <c r="D56" s="45" t="str">
        <f aca="false" t="array" ref="D56:D56">INDEX(Éléments!$A$5:$A$14,MATCH(A56,Éléments!$C$5:$C$14,1))</f>
        <v>Eau</v>
      </c>
      <c r="E56" s="23" t="str">
        <f aca="false">IF(MOD(A56,5)=0,"Boss",IF(MOD(A56,10)=9,"Dragon","Normal"))</f>
        <v>Normal</v>
      </c>
      <c r="F56" s="23" t="n">
        <f aca="false">IF(E56="Normal",5*ROUNDUP(A56/5,0),A56)</f>
        <v>55</v>
      </c>
      <c r="G56" s="22" t="str">
        <f aca="false" t="array" ref="G56:G56">INDEX(Zones!$B$6:$B$35,MATCH(F56,Zones!$A$6:$A$35,0))</f>
        <v>Océan profond</v>
      </c>
      <c r="H56" s="22" t="str">
        <f aca="false" t="array" ref="H56:H56">IF(E56="Normal","—",INDEX(Zones!$L$6:$L$35,MATCH(F56,Zones!$A$6:$A$35,0)))</f>
        <v>—</v>
      </c>
      <c r="I56" s="27" t="n">
        <f aca="false">IF(E56="Normal",Paramètres!$B$40,IF(E56="Boss",Paramètres!$B$41,1))</f>
        <v>3</v>
      </c>
      <c r="J56" s="23" t="n">
        <f aca="false">IF(E56="Normal",Paramètres!$B$40*Paramètres!$B$39,IF(E56="Boss",(Paramètres!$B$41-1)*Paramètres!$B$39+Paramètres!$B$42+1,1))</f>
        <v>9</v>
      </c>
      <c r="K56" s="33" t="n">
        <f aca="false" t="array" ref="K56:K56">IF(E56="Normal",Paramètres!$B$40*Paramètres!$B$39*(INDEX(Zones!$M$6:$M$35,MATCH(F56,Zones!$A$6:$A$35,0))*(1-Paramètres!$B$46)),IF(E56="Boss",((Paramètres!$B$41-1)*Paramètres!$B$39+Paramètres!$B$42)*(INDEX(Zones!$M$6:$M$35,MATCH(F56,Zones!$A$6:$A$35,0))*(1-Paramètres!$B$46))+INDEX(Zones!$P$6:$P$35,MATCH(F56,Zones!$A$6:$A$35,0)),INDEX(Zones!$P$6:$P$35,MATCH(F56,Zones!$A$6:$A$35,0))))</f>
        <v>15.975</v>
      </c>
      <c r="L56" s="27" t="n">
        <f aca="false">K56*Paramètres!$B$45+I56*Paramètres!$B$47</f>
        <v>91.875</v>
      </c>
      <c r="M56" s="30" t="n">
        <f aca="false" t="array" ref="M56:M56">IF(E56="Dragon",0,(INDEX(Zones!$N$6:$N$35,MATCH(F56,Zones!$A$6:$A$35,0))*Paramètres!$B$34*(INDEX(Zones!$M$6:$M$35,MATCH(F56,Zones!$A$6:$A$35,0))*(1-Paramètres!$B$46))*Paramètres!$B$39*(Paramètres!$B$39+1)/2))</f>
        <v>0.16566075</v>
      </c>
      <c r="N56" s="30" t="n">
        <f aca="false" t="array" ref="N56:N56">IF(E56="Normal",0,IF(E56="Dragon",INDEX(Zones!$Q$6:$Q$35,MATCH(F56,Zones!$A$6:$A$35,0))*Paramètres!$B$34*INDEX(Zones!$P$6:$P$35,MATCH(F56,Zones!$A$6:$A$35,0)),INDEX(Zones!$Q$6:$Q$35,MATCH(F56,Zones!$A$6:$A$35,0))*Paramètres!$B$34*(INDEX(Zones!$P$6:$P$35,MATCH(F56,Zones!$A$6:$A$35,0))+Paramètres!$B$42*(INDEX(Zones!$M$6:$M$35,MATCH(F56,Zones!$A$6:$A$35,0))*(1-Paramètres!$B$46)))+INDEX(Zones!$N$6:$N$35,MATCH(F56,Zones!$A$6:$A$35,0))*Paramètres!$B$34*(INDEX(Zones!$M$6:$M$35,MATCH(F56,Zones!$A$6:$A$35,0))*(1-Paramètres!$B$46))*(Paramètres!$B$42*(Paramètres!$B$42+1)/2)))</f>
        <v>0</v>
      </c>
      <c r="O56" s="75" t="n">
        <f aca="false">MAX(M56,N56)</f>
        <v>0.16566075</v>
      </c>
      <c r="P56" s="36" t="n">
        <f aca="false">IF(E56="Normal",M56*Paramètres!$B$40,IF(E56="Boss",M56*(Paramètres!$B$41-1)+N56,N56))</f>
        <v>0.49698225</v>
      </c>
      <c r="Q56" s="76" t="str">
        <f aca="false">IF(O56&gt;Paramètres!$B$37,"Trop dur","OK")</f>
        <v>OK</v>
      </c>
      <c r="R56" s="29" t="n">
        <f aca="false" t="array" ref="R56:R56">ROUND(IF(E56="Normal",J56*INDEX(Zones!$O$6:$O$35,MATCH(F56,Zones!$A$6:$A$35,0)),IF(E56="Boss",((Paramètres!$B$41-1)*Paramètres!$B$39+Paramètres!$B$42)*INDEX(Zones!$O$6:$O$35,MATCH(F56,Zones!$A$6:$A$35,0))+INDEX(Zones!$R$6:$R$35,MATCH(F56,Zones!$A$6:$A$35,0)),INDEX(Zones!$R$6:$R$35,MATCH(F56,Zones!$A$6:$A$35,0))))*ROUND(Paramètres!$B$49*B56^Paramètres!$B$50,0),0)</f>
        <v>8344</v>
      </c>
      <c r="S56" s="29" t="n">
        <f aca="false" t="array" ref="S56:S56">ROUND(IF(E56="Normal",J56*INDEX(Zones!$O$6:$O$35,MATCH(F56,Zones!$A$6:$A$35,0)),IF(E56="Boss",((Paramètres!$B$41-1)*Paramètres!$B$39+Paramètres!$B$42)*INDEX(Zones!$O$6:$O$35,MATCH(F56,Zones!$A$6:$A$35,0))+INDEX(Zones!$R$6:$R$35,MATCH(F56,Zones!$A$6:$A$35,0)),INDEX(Zones!$R$6:$R$35,MATCH(F56,Zones!$A$6:$A$35,0))))*ROUND(Paramètres!$B$53*B56^Paramètres!$B$54,0),0)</f>
        <v>6181</v>
      </c>
      <c r="T56" s="22" t="str">
        <f aca="false">IF(E56="Boss",G56,"—")</f>
        <v>—</v>
      </c>
      <c r="U56" s="37" t="n">
        <f aca="false">IF(E56="Dragon",0,(J56-IF(E56="Boss",1,0))*AVERAGEIFS(Monstres!$AL$7:$AL$98,Monstres!$B$7:$B$98,F56,Monstres!$G$7:$G$98,"Non"))</f>
        <v>0.54</v>
      </c>
      <c r="V56" s="74" t="n">
        <f aca="false">IF(E56="Boss",Butin!$E$10,IF(E56="Dragon",Butin!$E$11,0))</f>
        <v>0</v>
      </c>
      <c r="W56" s="37" t="n">
        <f aca="false">U56+V56</f>
        <v>0.54</v>
      </c>
      <c r="X56" s="77" t="n">
        <f aca="false">U56*INDEX(Butin!$E$15:$K$24,MATCH($A56,Éléments!$C$5:$C$14,1),1)+V56*IF(E56="Boss",INDEX(Butin!$E$28:$K$37,MATCH($A56,Éléments!$C$5:$C$14,1),1),IF(E56="Dragon",INDEX(Butin!$E$41:$K$50,MATCH($A56,Éléments!$C$5:$C$14,1),1),0))</f>
        <v>0.1458</v>
      </c>
      <c r="Y56" s="77" t="n">
        <f aca="false">U56*INDEX(Butin!$E$15:$K$24,MATCH($A56,Éléments!$C$5:$C$14,1),2)+V56*IF(E56="Boss",INDEX(Butin!$E$28:$K$37,MATCH($A56,Éléments!$C$5:$C$14,1),2),IF(E56="Dragon",INDEX(Butin!$E$41:$K$50,MATCH($A56,Éléments!$C$5:$C$14,1),2),0))</f>
        <v>0.162</v>
      </c>
      <c r="Z56" s="77" t="n">
        <f aca="false">U56*INDEX(Butin!$E$15:$K$24,MATCH($A56,Éléments!$C$5:$C$14,1),3)+V56*IF(E56="Boss",INDEX(Butin!$E$28:$K$37,MATCH($A56,Éléments!$C$5:$C$14,1),3),IF(E56="Dragon",INDEX(Butin!$E$41:$K$50,MATCH($A56,Éléments!$C$5:$C$14,1),3),0))</f>
        <v>0.135</v>
      </c>
      <c r="AA56" s="77" t="n">
        <f aca="false">U56*INDEX(Butin!$E$15:$K$24,MATCH($A56,Éléments!$C$5:$C$14,1),4)+V56*IF(E56="Boss",INDEX(Butin!$E$28:$K$37,MATCH($A56,Éléments!$C$5:$C$14,1),4),IF(E56="Dragon",INDEX(Butin!$E$41:$K$50,MATCH($A56,Éléments!$C$5:$C$14,1),4),0))</f>
        <v>0.06912</v>
      </c>
      <c r="AB56" s="77" t="n">
        <f aca="false">U56*INDEX(Butin!$E$15:$K$24,MATCH($A56,Éléments!$C$5:$C$14,1),5)+V56*IF(E56="Boss",INDEX(Butin!$E$28:$K$37,MATCH($A56,Éléments!$C$5:$C$14,1),5),IF(E56="Dragon",INDEX(Butin!$E$41:$K$50,MATCH($A56,Éléments!$C$5:$C$14,1),5),0))</f>
        <v>0.0243</v>
      </c>
      <c r="AC56" s="77" t="n">
        <f aca="false">U56*INDEX(Butin!$E$15:$K$24,MATCH($A56,Éléments!$C$5:$C$14,1),6)+V56*IF(E56="Boss",INDEX(Butin!$E$28:$K$37,MATCH($A56,Éléments!$C$5:$C$14,1),6),IF(E56="Dragon",INDEX(Butin!$E$41:$K$50,MATCH($A56,Éléments!$C$5:$C$14,1),6),0))</f>
        <v>0.0027</v>
      </c>
      <c r="AD56" s="77" t="n">
        <f aca="false">U56*INDEX(Butin!$E$15:$K$24,MATCH($A56,Éléments!$C$5:$C$14,1),7)+V56*IF(E56="Boss",INDEX(Butin!$E$28:$K$37,MATCH($A56,Éléments!$C$5:$C$14,1),7),IF(E56="Dragon",INDEX(Butin!$E$41:$K$50,MATCH($A56,Éléments!$C$5:$C$14,1),7),0))</f>
        <v>0.00108</v>
      </c>
    </row>
    <row r="57" customFormat="false" ht="15.75" hidden="false" customHeight="true" outlineLevel="0" collapsed="false">
      <c r="A57" s="71" t="n">
        <v>52</v>
      </c>
      <c r="B57" s="23" t="n">
        <f aca="false">A57</f>
        <v>52</v>
      </c>
      <c r="C57" s="23" t="str">
        <f aca="false" t="array" ref="C57:C57">INDEX(Éléments!$B$5:$B$14,MATCH(A57,Éléments!$C$5:$C$14,1))</f>
        <v>Océan / Île</v>
      </c>
      <c r="D57" s="45" t="str">
        <f aca="false" t="array" ref="D57:D57">INDEX(Éléments!$A$5:$A$14,MATCH(A57,Éléments!$C$5:$C$14,1))</f>
        <v>Eau</v>
      </c>
      <c r="E57" s="23" t="str">
        <f aca="false">IF(MOD(A57,5)=0,"Boss",IF(MOD(A57,10)=9,"Dragon","Normal"))</f>
        <v>Normal</v>
      </c>
      <c r="F57" s="23" t="n">
        <f aca="false">IF(E57="Normal",5*ROUNDUP(A57/5,0),A57)</f>
        <v>55</v>
      </c>
      <c r="G57" s="22" t="str">
        <f aca="false" t="array" ref="G57:G57">INDEX(Zones!$B$6:$B$35,MATCH(F57,Zones!$A$6:$A$35,0))</f>
        <v>Océan profond</v>
      </c>
      <c r="H57" s="22" t="str">
        <f aca="false" t="array" ref="H57:H57">IF(E57="Normal","—",INDEX(Zones!$L$6:$L$35,MATCH(F57,Zones!$A$6:$A$35,0)))</f>
        <v>—</v>
      </c>
      <c r="I57" s="27" t="n">
        <f aca="false">IF(E57="Normal",Paramètres!$B$40,IF(E57="Boss",Paramètres!$B$41,1))</f>
        <v>3</v>
      </c>
      <c r="J57" s="23" t="n">
        <f aca="false">IF(E57="Normal",Paramètres!$B$40*Paramètres!$B$39,IF(E57="Boss",(Paramètres!$B$41-1)*Paramètres!$B$39+Paramètres!$B$42+1,1))</f>
        <v>9</v>
      </c>
      <c r="K57" s="33" t="n">
        <f aca="false" t="array" ref="K57:K57">IF(E57="Normal",Paramètres!$B$40*Paramètres!$B$39*(INDEX(Zones!$M$6:$M$35,MATCH(F57,Zones!$A$6:$A$35,0))*(1-Paramètres!$B$46)),IF(E57="Boss",((Paramètres!$B$41-1)*Paramètres!$B$39+Paramètres!$B$42)*(INDEX(Zones!$M$6:$M$35,MATCH(F57,Zones!$A$6:$A$35,0))*(1-Paramètres!$B$46))+INDEX(Zones!$P$6:$P$35,MATCH(F57,Zones!$A$6:$A$35,0)),INDEX(Zones!$P$6:$P$35,MATCH(F57,Zones!$A$6:$A$35,0))))</f>
        <v>15.975</v>
      </c>
      <c r="L57" s="27" t="n">
        <f aca="false">K57*Paramètres!$B$45+I57*Paramètres!$B$47</f>
        <v>91.875</v>
      </c>
      <c r="M57" s="30" t="n">
        <f aca="false" t="array" ref="M57:M57">IF(E57="Dragon",0,(INDEX(Zones!$N$6:$N$35,MATCH(F57,Zones!$A$6:$A$35,0))*Paramètres!$B$34*(INDEX(Zones!$M$6:$M$35,MATCH(F57,Zones!$A$6:$A$35,0))*(1-Paramètres!$B$46))*Paramètres!$B$39*(Paramètres!$B$39+1)/2))</f>
        <v>0.16566075</v>
      </c>
      <c r="N57" s="30" t="n">
        <f aca="false" t="array" ref="N57:N57">IF(E57="Normal",0,IF(E57="Dragon",INDEX(Zones!$Q$6:$Q$35,MATCH(F57,Zones!$A$6:$A$35,0))*Paramètres!$B$34*INDEX(Zones!$P$6:$P$35,MATCH(F57,Zones!$A$6:$A$35,0)),INDEX(Zones!$Q$6:$Q$35,MATCH(F57,Zones!$A$6:$A$35,0))*Paramètres!$B$34*(INDEX(Zones!$P$6:$P$35,MATCH(F57,Zones!$A$6:$A$35,0))+Paramètres!$B$42*(INDEX(Zones!$M$6:$M$35,MATCH(F57,Zones!$A$6:$A$35,0))*(1-Paramètres!$B$46)))+INDEX(Zones!$N$6:$N$35,MATCH(F57,Zones!$A$6:$A$35,0))*Paramètres!$B$34*(INDEX(Zones!$M$6:$M$35,MATCH(F57,Zones!$A$6:$A$35,0))*(1-Paramètres!$B$46))*(Paramètres!$B$42*(Paramètres!$B$42+1)/2)))</f>
        <v>0</v>
      </c>
      <c r="O57" s="75" t="n">
        <f aca="false">MAX(M57,N57)</f>
        <v>0.16566075</v>
      </c>
      <c r="P57" s="36" t="n">
        <f aca="false">IF(E57="Normal",M57*Paramètres!$B$40,IF(E57="Boss",M57*(Paramètres!$B$41-1)+N57,N57))</f>
        <v>0.49698225</v>
      </c>
      <c r="Q57" s="76" t="str">
        <f aca="false">IF(O57&gt;Paramètres!$B$37,"Trop dur","OK")</f>
        <v>OK</v>
      </c>
      <c r="R57" s="29" t="n">
        <f aca="false" t="array" ref="R57:R57">ROUND(IF(E57="Normal",J57*INDEX(Zones!$O$6:$O$35,MATCH(F57,Zones!$A$6:$A$35,0)),IF(E57="Boss",((Paramètres!$B$41-1)*Paramètres!$B$39+Paramètres!$B$42)*INDEX(Zones!$O$6:$O$35,MATCH(F57,Zones!$A$6:$A$35,0))+INDEX(Zones!$R$6:$R$35,MATCH(F57,Zones!$A$6:$A$35,0)),INDEX(Zones!$R$6:$R$35,MATCH(F57,Zones!$A$6:$A$35,0))))*ROUND(Paramètres!$B$49*B57^Paramètres!$B$50,0),0)</f>
        <v>8548</v>
      </c>
      <c r="S57" s="29" t="n">
        <f aca="false" t="array" ref="S57:S57">ROUND(IF(E57="Normal",J57*INDEX(Zones!$O$6:$O$35,MATCH(F57,Zones!$A$6:$A$35,0)),IF(E57="Boss",((Paramètres!$B$41-1)*Paramètres!$B$39+Paramètres!$B$42)*INDEX(Zones!$O$6:$O$35,MATCH(F57,Zones!$A$6:$A$35,0))+INDEX(Zones!$R$6:$R$35,MATCH(F57,Zones!$A$6:$A$35,0)),INDEX(Zones!$R$6:$R$35,MATCH(F57,Zones!$A$6:$A$35,0))))*ROUND(Paramètres!$B$53*B57^Paramètres!$B$54,0),0)</f>
        <v>6344</v>
      </c>
      <c r="T57" s="22" t="str">
        <f aca="false">IF(E57="Boss",G57,"—")</f>
        <v>—</v>
      </c>
      <c r="U57" s="37" t="n">
        <f aca="false">IF(E57="Dragon",0,(J57-IF(E57="Boss",1,0))*AVERAGEIFS(Monstres!$AL$7:$AL$98,Monstres!$B$7:$B$98,F57,Monstres!$G$7:$G$98,"Non"))</f>
        <v>0.54</v>
      </c>
      <c r="V57" s="74" t="n">
        <f aca="false">IF(E57="Boss",Butin!$E$10,IF(E57="Dragon",Butin!$E$11,0))</f>
        <v>0</v>
      </c>
      <c r="W57" s="37" t="n">
        <f aca="false">U57+V57</f>
        <v>0.54</v>
      </c>
      <c r="X57" s="77" t="n">
        <f aca="false">U57*INDEX(Butin!$E$15:$K$24,MATCH($A57,Éléments!$C$5:$C$14,1),1)+V57*IF(E57="Boss",INDEX(Butin!$E$28:$K$37,MATCH($A57,Éléments!$C$5:$C$14,1),1),IF(E57="Dragon",INDEX(Butin!$E$41:$K$50,MATCH($A57,Éléments!$C$5:$C$14,1),1),0))</f>
        <v>0.1458</v>
      </c>
      <c r="Y57" s="77" t="n">
        <f aca="false">U57*INDEX(Butin!$E$15:$K$24,MATCH($A57,Éléments!$C$5:$C$14,1),2)+V57*IF(E57="Boss",INDEX(Butin!$E$28:$K$37,MATCH($A57,Éléments!$C$5:$C$14,1),2),IF(E57="Dragon",INDEX(Butin!$E$41:$K$50,MATCH($A57,Éléments!$C$5:$C$14,1),2),0))</f>
        <v>0.162</v>
      </c>
      <c r="Z57" s="77" t="n">
        <f aca="false">U57*INDEX(Butin!$E$15:$K$24,MATCH($A57,Éléments!$C$5:$C$14,1),3)+V57*IF(E57="Boss",INDEX(Butin!$E$28:$K$37,MATCH($A57,Éléments!$C$5:$C$14,1),3),IF(E57="Dragon",INDEX(Butin!$E$41:$K$50,MATCH($A57,Éléments!$C$5:$C$14,1),3),0))</f>
        <v>0.135</v>
      </c>
      <c r="AA57" s="77" t="n">
        <f aca="false">U57*INDEX(Butin!$E$15:$K$24,MATCH($A57,Éléments!$C$5:$C$14,1),4)+V57*IF(E57="Boss",INDEX(Butin!$E$28:$K$37,MATCH($A57,Éléments!$C$5:$C$14,1),4),IF(E57="Dragon",INDEX(Butin!$E$41:$K$50,MATCH($A57,Éléments!$C$5:$C$14,1),4),0))</f>
        <v>0.06912</v>
      </c>
      <c r="AB57" s="77" t="n">
        <f aca="false">U57*INDEX(Butin!$E$15:$K$24,MATCH($A57,Éléments!$C$5:$C$14,1),5)+V57*IF(E57="Boss",INDEX(Butin!$E$28:$K$37,MATCH($A57,Éléments!$C$5:$C$14,1),5),IF(E57="Dragon",INDEX(Butin!$E$41:$K$50,MATCH($A57,Éléments!$C$5:$C$14,1),5),0))</f>
        <v>0.0243</v>
      </c>
      <c r="AC57" s="77" t="n">
        <f aca="false">U57*INDEX(Butin!$E$15:$K$24,MATCH($A57,Éléments!$C$5:$C$14,1),6)+V57*IF(E57="Boss",INDEX(Butin!$E$28:$K$37,MATCH($A57,Éléments!$C$5:$C$14,1),6),IF(E57="Dragon",INDEX(Butin!$E$41:$K$50,MATCH($A57,Éléments!$C$5:$C$14,1),6),0))</f>
        <v>0.0027</v>
      </c>
      <c r="AD57" s="77" t="n">
        <f aca="false">U57*INDEX(Butin!$E$15:$K$24,MATCH($A57,Éléments!$C$5:$C$14,1),7)+V57*IF(E57="Boss",INDEX(Butin!$E$28:$K$37,MATCH($A57,Éléments!$C$5:$C$14,1),7),IF(E57="Dragon",INDEX(Butin!$E$41:$K$50,MATCH($A57,Éléments!$C$5:$C$14,1),7),0))</f>
        <v>0.00108</v>
      </c>
    </row>
    <row r="58" customFormat="false" ht="15.75" hidden="false" customHeight="true" outlineLevel="0" collapsed="false">
      <c r="A58" s="71" t="n">
        <v>53</v>
      </c>
      <c r="B58" s="23" t="n">
        <f aca="false">A58</f>
        <v>53</v>
      </c>
      <c r="C58" s="23" t="str">
        <f aca="false" t="array" ref="C58:C58">INDEX(Éléments!$B$5:$B$14,MATCH(A58,Éléments!$C$5:$C$14,1))</f>
        <v>Océan / Île</v>
      </c>
      <c r="D58" s="45" t="str">
        <f aca="false" t="array" ref="D58:D58">INDEX(Éléments!$A$5:$A$14,MATCH(A58,Éléments!$C$5:$C$14,1))</f>
        <v>Eau</v>
      </c>
      <c r="E58" s="23" t="str">
        <f aca="false">IF(MOD(A58,5)=0,"Boss",IF(MOD(A58,10)=9,"Dragon","Normal"))</f>
        <v>Normal</v>
      </c>
      <c r="F58" s="23" t="n">
        <f aca="false">IF(E58="Normal",5*ROUNDUP(A58/5,0),A58)</f>
        <v>55</v>
      </c>
      <c r="G58" s="22" t="str">
        <f aca="false" t="array" ref="G58:G58">INDEX(Zones!$B$6:$B$35,MATCH(F58,Zones!$A$6:$A$35,0))</f>
        <v>Océan profond</v>
      </c>
      <c r="H58" s="22" t="str">
        <f aca="false" t="array" ref="H58:H58">IF(E58="Normal","—",INDEX(Zones!$L$6:$L$35,MATCH(F58,Zones!$A$6:$A$35,0)))</f>
        <v>—</v>
      </c>
      <c r="I58" s="27" t="n">
        <f aca="false">IF(E58="Normal",Paramètres!$B$40,IF(E58="Boss",Paramètres!$B$41,1))</f>
        <v>3</v>
      </c>
      <c r="J58" s="23" t="n">
        <f aca="false">IF(E58="Normal",Paramètres!$B$40*Paramètres!$B$39,IF(E58="Boss",(Paramètres!$B$41-1)*Paramètres!$B$39+Paramètres!$B$42+1,1))</f>
        <v>9</v>
      </c>
      <c r="K58" s="33" t="n">
        <f aca="false" t="array" ref="K58:K58">IF(E58="Normal",Paramètres!$B$40*Paramètres!$B$39*(INDEX(Zones!$M$6:$M$35,MATCH(F58,Zones!$A$6:$A$35,0))*(1-Paramètres!$B$46)),IF(E58="Boss",((Paramètres!$B$41-1)*Paramètres!$B$39+Paramètres!$B$42)*(INDEX(Zones!$M$6:$M$35,MATCH(F58,Zones!$A$6:$A$35,0))*(1-Paramètres!$B$46))+INDEX(Zones!$P$6:$P$35,MATCH(F58,Zones!$A$6:$A$35,0)),INDEX(Zones!$P$6:$P$35,MATCH(F58,Zones!$A$6:$A$35,0))))</f>
        <v>15.975</v>
      </c>
      <c r="L58" s="27" t="n">
        <f aca="false">K58*Paramètres!$B$45+I58*Paramètres!$B$47</f>
        <v>91.875</v>
      </c>
      <c r="M58" s="30" t="n">
        <f aca="false" t="array" ref="M58:M58">IF(E58="Dragon",0,(INDEX(Zones!$N$6:$N$35,MATCH(F58,Zones!$A$6:$A$35,0))*Paramètres!$B$34*(INDEX(Zones!$M$6:$M$35,MATCH(F58,Zones!$A$6:$A$35,0))*(1-Paramètres!$B$46))*Paramètres!$B$39*(Paramètres!$B$39+1)/2))</f>
        <v>0.16566075</v>
      </c>
      <c r="N58" s="30" t="n">
        <f aca="false" t="array" ref="N58:N58">IF(E58="Normal",0,IF(E58="Dragon",INDEX(Zones!$Q$6:$Q$35,MATCH(F58,Zones!$A$6:$A$35,0))*Paramètres!$B$34*INDEX(Zones!$P$6:$P$35,MATCH(F58,Zones!$A$6:$A$35,0)),INDEX(Zones!$Q$6:$Q$35,MATCH(F58,Zones!$A$6:$A$35,0))*Paramètres!$B$34*(INDEX(Zones!$P$6:$P$35,MATCH(F58,Zones!$A$6:$A$35,0))+Paramètres!$B$42*(INDEX(Zones!$M$6:$M$35,MATCH(F58,Zones!$A$6:$A$35,0))*(1-Paramètres!$B$46)))+INDEX(Zones!$N$6:$N$35,MATCH(F58,Zones!$A$6:$A$35,0))*Paramètres!$B$34*(INDEX(Zones!$M$6:$M$35,MATCH(F58,Zones!$A$6:$A$35,0))*(1-Paramètres!$B$46))*(Paramètres!$B$42*(Paramètres!$B$42+1)/2)))</f>
        <v>0</v>
      </c>
      <c r="O58" s="75" t="n">
        <f aca="false">MAX(M58,N58)</f>
        <v>0.16566075</v>
      </c>
      <c r="P58" s="36" t="n">
        <f aca="false">IF(E58="Normal",M58*Paramètres!$B$40,IF(E58="Boss",M58*(Paramètres!$B$41-1)+N58,N58))</f>
        <v>0.49698225</v>
      </c>
      <c r="Q58" s="76" t="str">
        <f aca="false">IF(O58&gt;Paramètres!$B$37,"Trop dur","OK")</f>
        <v>OK</v>
      </c>
      <c r="R58" s="29" t="n">
        <f aca="false" t="array" ref="R58:R58">ROUND(IF(E58="Normal",J58*INDEX(Zones!$O$6:$O$35,MATCH(F58,Zones!$A$6:$A$35,0)),IF(E58="Boss",((Paramètres!$B$41-1)*Paramètres!$B$39+Paramètres!$B$42)*INDEX(Zones!$O$6:$O$35,MATCH(F58,Zones!$A$6:$A$35,0))+INDEX(Zones!$R$6:$R$35,MATCH(F58,Zones!$A$6:$A$35,0)),INDEX(Zones!$R$6:$R$35,MATCH(F58,Zones!$A$6:$A$35,0))))*ROUND(Paramètres!$B$49*B58^Paramètres!$B$50,0),0)</f>
        <v>8752</v>
      </c>
      <c r="S58" s="29" t="n">
        <f aca="false" t="array" ref="S58:S58">ROUND(IF(E58="Normal",J58*INDEX(Zones!$O$6:$O$35,MATCH(F58,Zones!$A$6:$A$35,0)),IF(E58="Boss",((Paramètres!$B$41-1)*Paramètres!$B$39+Paramètres!$B$42)*INDEX(Zones!$O$6:$O$35,MATCH(F58,Zones!$A$6:$A$35,0))+INDEX(Zones!$R$6:$R$35,MATCH(F58,Zones!$A$6:$A$35,0)),INDEX(Zones!$R$6:$R$35,MATCH(F58,Zones!$A$6:$A$35,0))))*ROUND(Paramètres!$B$53*B58^Paramètres!$B$54,0),0)</f>
        <v>6508</v>
      </c>
      <c r="T58" s="22" t="str">
        <f aca="false">IF(E58="Boss",G58,"—")</f>
        <v>—</v>
      </c>
      <c r="U58" s="37" t="n">
        <f aca="false">IF(E58="Dragon",0,(J58-IF(E58="Boss",1,0))*AVERAGEIFS(Monstres!$AL$7:$AL$98,Monstres!$B$7:$B$98,F58,Monstres!$G$7:$G$98,"Non"))</f>
        <v>0.54</v>
      </c>
      <c r="V58" s="74" t="n">
        <f aca="false">IF(E58="Boss",Butin!$E$10,IF(E58="Dragon",Butin!$E$11,0))</f>
        <v>0</v>
      </c>
      <c r="W58" s="37" t="n">
        <f aca="false">U58+V58</f>
        <v>0.54</v>
      </c>
      <c r="X58" s="77" t="n">
        <f aca="false">U58*INDEX(Butin!$E$15:$K$24,MATCH($A58,Éléments!$C$5:$C$14,1),1)+V58*IF(E58="Boss",INDEX(Butin!$E$28:$K$37,MATCH($A58,Éléments!$C$5:$C$14,1),1),IF(E58="Dragon",INDEX(Butin!$E$41:$K$50,MATCH($A58,Éléments!$C$5:$C$14,1),1),0))</f>
        <v>0.1458</v>
      </c>
      <c r="Y58" s="77" t="n">
        <f aca="false">U58*INDEX(Butin!$E$15:$K$24,MATCH($A58,Éléments!$C$5:$C$14,1),2)+V58*IF(E58="Boss",INDEX(Butin!$E$28:$K$37,MATCH($A58,Éléments!$C$5:$C$14,1),2),IF(E58="Dragon",INDEX(Butin!$E$41:$K$50,MATCH($A58,Éléments!$C$5:$C$14,1),2),0))</f>
        <v>0.162</v>
      </c>
      <c r="Z58" s="77" t="n">
        <f aca="false">U58*INDEX(Butin!$E$15:$K$24,MATCH($A58,Éléments!$C$5:$C$14,1),3)+V58*IF(E58="Boss",INDEX(Butin!$E$28:$K$37,MATCH($A58,Éléments!$C$5:$C$14,1),3),IF(E58="Dragon",INDEX(Butin!$E$41:$K$50,MATCH($A58,Éléments!$C$5:$C$14,1),3),0))</f>
        <v>0.135</v>
      </c>
      <c r="AA58" s="77" t="n">
        <f aca="false">U58*INDEX(Butin!$E$15:$K$24,MATCH($A58,Éléments!$C$5:$C$14,1),4)+V58*IF(E58="Boss",INDEX(Butin!$E$28:$K$37,MATCH($A58,Éléments!$C$5:$C$14,1),4),IF(E58="Dragon",INDEX(Butin!$E$41:$K$50,MATCH($A58,Éléments!$C$5:$C$14,1),4),0))</f>
        <v>0.06912</v>
      </c>
      <c r="AB58" s="77" t="n">
        <f aca="false">U58*INDEX(Butin!$E$15:$K$24,MATCH($A58,Éléments!$C$5:$C$14,1),5)+V58*IF(E58="Boss",INDEX(Butin!$E$28:$K$37,MATCH($A58,Éléments!$C$5:$C$14,1),5),IF(E58="Dragon",INDEX(Butin!$E$41:$K$50,MATCH($A58,Éléments!$C$5:$C$14,1),5),0))</f>
        <v>0.0243</v>
      </c>
      <c r="AC58" s="77" t="n">
        <f aca="false">U58*INDEX(Butin!$E$15:$K$24,MATCH($A58,Éléments!$C$5:$C$14,1),6)+V58*IF(E58="Boss",INDEX(Butin!$E$28:$K$37,MATCH($A58,Éléments!$C$5:$C$14,1),6),IF(E58="Dragon",INDEX(Butin!$E$41:$K$50,MATCH($A58,Éléments!$C$5:$C$14,1),6),0))</f>
        <v>0.0027</v>
      </c>
      <c r="AD58" s="77" t="n">
        <f aca="false">U58*INDEX(Butin!$E$15:$K$24,MATCH($A58,Éléments!$C$5:$C$14,1),7)+V58*IF(E58="Boss",INDEX(Butin!$E$28:$K$37,MATCH($A58,Éléments!$C$5:$C$14,1),7),IF(E58="Dragon",INDEX(Butin!$E$41:$K$50,MATCH($A58,Éléments!$C$5:$C$14,1),7),0))</f>
        <v>0.00108</v>
      </c>
    </row>
    <row r="59" customFormat="false" ht="15.75" hidden="false" customHeight="true" outlineLevel="0" collapsed="false">
      <c r="A59" s="71" t="n">
        <v>54</v>
      </c>
      <c r="B59" s="23" t="n">
        <f aca="false">A59</f>
        <v>54</v>
      </c>
      <c r="C59" s="23" t="str">
        <f aca="false" t="array" ref="C59:C59">INDEX(Éléments!$B$5:$B$14,MATCH(A59,Éléments!$C$5:$C$14,1))</f>
        <v>Océan / Île</v>
      </c>
      <c r="D59" s="45" t="str">
        <f aca="false" t="array" ref="D59:D59">INDEX(Éléments!$A$5:$A$14,MATCH(A59,Éléments!$C$5:$C$14,1))</f>
        <v>Eau</v>
      </c>
      <c r="E59" s="23" t="str">
        <f aca="false">IF(MOD(A59,5)=0,"Boss",IF(MOD(A59,10)=9,"Dragon","Normal"))</f>
        <v>Normal</v>
      </c>
      <c r="F59" s="23" t="n">
        <f aca="false">IF(E59="Normal",5*ROUNDUP(A59/5,0),A59)</f>
        <v>55</v>
      </c>
      <c r="G59" s="22" t="str">
        <f aca="false" t="array" ref="G59:G59">INDEX(Zones!$B$6:$B$35,MATCH(F59,Zones!$A$6:$A$35,0))</f>
        <v>Océan profond</v>
      </c>
      <c r="H59" s="22" t="str">
        <f aca="false" t="array" ref="H59:H59">IF(E59="Normal","—",INDEX(Zones!$L$6:$L$35,MATCH(F59,Zones!$A$6:$A$35,0)))</f>
        <v>—</v>
      </c>
      <c r="I59" s="27" t="n">
        <f aca="false">IF(E59="Normal",Paramètres!$B$40,IF(E59="Boss",Paramètres!$B$41,1))</f>
        <v>3</v>
      </c>
      <c r="J59" s="23" t="n">
        <f aca="false">IF(E59="Normal",Paramètres!$B$40*Paramètres!$B$39,IF(E59="Boss",(Paramètres!$B$41-1)*Paramètres!$B$39+Paramètres!$B$42+1,1))</f>
        <v>9</v>
      </c>
      <c r="K59" s="33" t="n">
        <f aca="false" t="array" ref="K59:K59">IF(E59="Normal",Paramètres!$B$40*Paramètres!$B$39*(INDEX(Zones!$M$6:$M$35,MATCH(F59,Zones!$A$6:$A$35,0))*(1-Paramètres!$B$46)),IF(E59="Boss",((Paramètres!$B$41-1)*Paramètres!$B$39+Paramètres!$B$42)*(INDEX(Zones!$M$6:$M$35,MATCH(F59,Zones!$A$6:$A$35,0))*(1-Paramètres!$B$46))+INDEX(Zones!$P$6:$P$35,MATCH(F59,Zones!$A$6:$A$35,0)),INDEX(Zones!$P$6:$P$35,MATCH(F59,Zones!$A$6:$A$35,0))))</f>
        <v>15.975</v>
      </c>
      <c r="L59" s="27" t="n">
        <f aca="false">K59*Paramètres!$B$45+I59*Paramètres!$B$47</f>
        <v>91.875</v>
      </c>
      <c r="M59" s="30" t="n">
        <f aca="false" t="array" ref="M59:M59">IF(E59="Dragon",0,(INDEX(Zones!$N$6:$N$35,MATCH(F59,Zones!$A$6:$A$35,0))*Paramètres!$B$34*(INDEX(Zones!$M$6:$M$35,MATCH(F59,Zones!$A$6:$A$35,0))*(1-Paramètres!$B$46))*Paramètres!$B$39*(Paramètres!$B$39+1)/2))</f>
        <v>0.16566075</v>
      </c>
      <c r="N59" s="30" t="n">
        <f aca="false" t="array" ref="N59:N59">IF(E59="Normal",0,IF(E59="Dragon",INDEX(Zones!$Q$6:$Q$35,MATCH(F59,Zones!$A$6:$A$35,0))*Paramètres!$B$34*INDEX(Zones!$P$6:$P$35,MATCH(F59,Zones!$A$6:$A$35,0)),INDEX(Zones!$Q$6:$Q$35,MATCH(F59,Zones!$A$6:$A$35,0))*Paramètres!$B$34*(INDEX(Zones!$P$6:$P$35,MATCH(F59,Zones!$A$6:$A$35,0))+Paramètres!$B$42*(INDEX(Zones!$M$6:$M$35,MATCH(F59,Zones!$A$6:$A$35,0))*(1-Paramètres!$B$46)))+INDEX(Zones!$N$6:$N$35,MATCH(F59,Zones!$A$6:$A$35,0))*Paramètres!$B$34*(INDEX(Zones!$M$6:$M$35,MATCH(F59,Zones!$A$6:$A$35,0))*(1-Paramètres!$B$46))*(Paramètres!$B$42*(Paramètres!$B$42+1)/2)))</f>
        <v>0</v>
      </c>
      <c r="O59" s="75" t="n">
        <f aca="false">MAX(M59,N59)</f>
        <v>0.16566075</v>
      </c>
      <c r="P59" s="36" t="n">
        <f aca="false">IF(E59="Normal",M59*Paramètres!$B$40,IF(E59="Boss",M59*(Paramètres!$B$41-1)+N59,N59))</f>
        <v>0.49698225</v>
      </c>
      <c r="Q59" s="76" t="str">
        <f aca="false">IF(O59&gt;Paramètres!$B$37,"Trop dur","OK")</f>
        <v>OK</v>
      </c>
      <c r="R59" s="29" t="n">
        <f aca="false" t="array" ref="R59:R59">ROUND(IF(E59="Normal",J59*INDEX(Zones!$O$6:$O$35,MATCH(F59,Zones!$A$6:$A$35,0)),IF(E59="Boss",((Paramètres!$B$41-1)*Paramètres!$B$39+Paramètres!$B$42)*INDEX(Zones!$O$6:$O$35,MATCH(F59,Zones!$A$6:$A$35,0))+INDEX(Zones!$R$6:$R$35,MATCH(F59,Zones!$A$6:$A$35,0)),INDEX(Zones!$R$6:$R$35,MATCH(F59,Zones!$A$6:$A$35,0))))*ROUND(Paramètres!$B$49*B59^Paramètres!$B$50,0),0)</f>
        <v>8956</v>
      </c>
      <c r="S59" s="29" t="n">
        <f aca="false" t="array" ref="S59:S59">ROUND(IF(E59="Normal",J59*INDEX(Zones!$O$6:$O$35,MATCH(F59,Zones!$A$6:$A$35,0)),IF(E59="Boss",((Paramètres!$B$41-1)*Paramètres!$B$39+Paramètres!$B$42)*INDEX(Zones!$O$6:$O$35,MATCH(F59,Zones!$A$6:$A$35,0))+INDEX(Zones!$R$6:$R$35,MATCH(F59,Zones!$A$6:$A$35,0)),INDEX(Zones!$R$6:$R$35,MATCH(F59,Zones!$A$6:$A$35,0))))*ROUND(Paramètres!$B$53*B59^Paramètres!$B$54,0),0)</f>
        <v>6671</v>
      </c>
      <c r="T59" s="22" t="str">
        <f aca="false">IF(E59="Boss",G59,"—")</f>
        <v>—</v>
      </c>
      <c r="U59" s="37" t="n">
        <f aca="false">IF(E59="Dragon",0,(J59-IF(E59="Boss",1,0))*AVERAGEIFS(Monstres!$AL$7:$AL$98,Monstres!$B$7:$B$98,F59,Monstres!$G$7:$G$98,"Non"))</f>
        <v>0.54</v>
      </c>
      <c r="V59" s="74" t="n">
        <f aca="false">IF(E59="Boss",Butin!$E$10,IF(E59="Dragon",Butin!$E$11,0))</f>
        <v>0</v>
      </c>
      <c r="W59" s="37" t="n">
        <f aca="false">U59+V59</f>
        <v>0.54</v>
      </c>
      <c r="X59" s="77" t="n">
        <f aca="false">U59*INDEX(Butin!$E$15:$K$24,MATCH($A59,Éléments!$C$5:$C$14,1),1)+V59*IF(E59="Boss",INDEX(Butin!$E$28:$K$37,MATCH($A59,Éléments!$C$5:$C$14,1),1),IF(E59="Dragon",INDEX(Butin!$E$41:$K$50,MATCH($A59,Éléments!$C$5:$C$14,1),1),0))</f>
        <v>0.1458</v>
      </c>
      <c r="Y59" s="77" t="n">
        <f aca="false">U59*INDEX(Butin!$E$15:$K$24,MATCH($A59,Éléments!$C$5:$C$14,1),2)+V59*IF(E59="Boss",INDEX(Butin!$E$28:$K$37,MATCH($A59,Éléments!$C$5:$C$14,1),2),IF(E59="Dragon",INDEX(Butin!$E$41:$K$50,MATCH($A59,Éléments!$C$5:$C$14,1),2),0))</f>
        <v>0.162</v>
      </c>
      <c r="Z59" s="77" t="n">
        <f aca="false">U59*INDEX(Butin!$E$15:$K$24,MATCH($A59,Éléments!$C$5:$C$14,1),3)+V59*IF(E59="Boss",INDEX(Butin!$E$28:$K$37,MATCH($A59,Éléments!$C$5:$C$14,1),3),IF(E59="Dragon",INDEX(Butin!$E$41:$K$50,MATCH($A59,Éléments!$C$5:$C$14,1),3),0))</f>
        <v>0.135</v>
      </c>
      <c r="AA59" s="77" t="n">
        <f aca="false">U59*INDEX(Butin!$E$15:$K$24,MATCH($A59,Éléments!$C$5:$C$14,1),4)+V59*IF(E59="Boss",INDEX(Butin!$E$28:$K$37,MATCH($A59,Éléments!$C$5:$C$14,1),4),IF(E59="Dragon",INDEX(Butin!$E$41:$K$50,MATCH($A59,Éléments!$C$5:$C$14,1),4),0))</f>
        <v>0.06912</v>
      </c>
      <c r="AB59" s="77" t="n">
        <f aca="false">U59*INDEX(Butin!$E$15:$K$24,MATCH($A59,Éléments!$C$5:$C$14,1),5)+V59*IF(E59="Boss",INDEX(Butin!$E$28:$K$37,MATCH($A59,Éléments!$C$5:$C$14,1),5),IF(E59="Dragon",INDEX(Butin!$E$41:$K$50,MATCH($A59,Éléments!$C$5:$C$14,1),5),0))</f>
        <v>0.0243</v>
      </c>
      <c r="AC59" s="77" t="n">
        <f aca="false">U59*INDEX(Butin!$E$15:$K$24,MATCH($A59,Éléments!$C$5:$C$14,1),6)+V59*IF(E59="Boss",INDEX(Butin!$E$28:$K$37,MATCH($A59,Éléments!$C$5:$C$14,1),6),IF(E59="Dragon",INDEX(Butin!$E$41:$K$50,MATCH($A59,Éléments!$C$5:$C$14,1),6),0))</f>
        <v>0.0027</v>
      </c>
      <c r="AD59" s="77" t="n">
        <f aca="false">U59*INDEX(Butin!$E$15:$K$24,MATCH($A59,Éléments!$C$5:$C$14,1),7)+V59*IF(E59="Boss",INDEX(Butin!$E$28:$K$37,MATCH($A59,Éléments!$C$5:$C$14,1),7),IF(E59="Dragon",INDEX(Butin!$E$41:$K$50,MATCH($A59,Éléments!$C$5:$C$14,1),7),0))</f>
        <v>0.00108</v>
      </c>
    </row>
    <row r="60" customFormat="false" ht="15.75" hidden="false" customHeight="true" outlineLevel="0" collapsed="false">
      <c r="A60" s="71" t="n">
        <v>55</v>
      </c>
      <c r="B60" s="23" t="n">
        <f aca="false">A60</f>
        <v>55</v>
      </c>
      <c r="C60" s="23" t="str">
        <f aca="false" t="array" ref="C60:C60">INDEX(Éléments!$B$5:$B$14,MATCH(A60,Éléments!$C$5:$C$14,1))</f>
        <v>Océan / Île</v>
      </c>
      <c r="D60" s="45" t="str">
        <f aca="false" t="array" ref="D60:D60">INDEX(Éléments!$A$5:$A$14,MATCH(A60,Éléments!$C$5:$C$14,1))</f>
        <v>Eau</v>
      </c>
      <c r="E60" s="23" t="str">
        <f aca="false">IF(MOD(A60,5)=0,"Boss",IF(MOD(A60,10)=9,"Dragon","Normal"))</f>
        <v>Boss</v>
      </c>
      <c r="F60" s="23" t="n">
        <f aca="false">IF(E60="Normal",5*ROUNDUP(A60/5,0),A60)</f>
        <v>55</v>
      </c>
      <c r="G60" s="22" t="str">
        <f aca="false" t="array" ref="G60:G60">INDEX(Zones!$B$6:$B$35,MATCH(F60,Zones!$A$6:$A$35,0))</f>
        <v>Océan profond</v>
      </c>
      <c r="H60" s="22" t="str">
        <f aca="false" t="array" ref="H60:H60">IF(E60="Normal","—",INDEX(Zones!$L$6:$L$35,MATCH(F60,Zones!$A$6:$A$35,0)))</f>
        <v>Kraken</v>
      </c>
      <c r="I60" s="27" t="n">
        <f aca="false">IF(E60="Normal",Paramètres!$B$40,IF(E60="Boss",Paramètres!$B$41,1))</f>
        <v>5</v>
      </c>
      <c r="J60" s="27" t="n">
        <f aca="false">IF(E60="Normal",Paramètres!$B$40*Paramètres!$B$39,IF(E60="Boss",(Paramètres!$B$41-1)*Paramètres!$B$39+Paramètres!$B$42+1,1))</f>
        <v>15</v>
      </c>
      <c r="K60" s="33" t="n">
        <f aca="false" t="array" ref="K60:K60">IF(E60="Normal",Paramètres!$B$40*Paramètres!$B$39*(INDEX(Zones!$M$6:$M$35,MATCH(F60,Zones!$A$6:$A$35,0))*(1-Paramètres!$B$46)),IF(E60="Boss",((Paramètres!$B$41-1)*Paramètres!$B$39+Paramètres!$B$42)*(INDEX(Zones!$M$6:$M$35,MATCH(F60,Zones!$A$6:$A$35,0))*(1-Paramètres!$B$46))+INDEX(Zones!$P$6:$P$35,MATCH(F60,Zones!$A$6:$A$35,0)),INDEX(Zones!$P$6:$P$35,MATCH(F60,Zones!$A$6:$A$35,0))))</f>
        <v>42.85</v>
      </c>
      <c r="L60" s="27" t="n">
        <f aca="false">K60*Paramètres!$B$45+I60*Paramètres!$B$47</f>
        <v>234.25</v>
      </c>
      <c r="M60" s="30" t="n">
        <f aca="false" t="array" ref="M60:M60">IF(E60="Dragon",0,(INDEX(Zones!$N$6:$N$35,MATCH(F60,Zones!$A$6:$A$35,0))*Paramètres!$B$34*(INDEX(Zones!$M$6:$M$35,MATCH(F60,Zones!$A$6:$A$35,0))*(1-Paramètres!$B$46))*Paramètres!$B$39*(Paramètres!$B$39+1)/2))</f>
        <v>0.16566075</v>
      </c>
      <c r="N60" s="30" t="n">
        <f aca="false" t="array" ref="N60:N60">IF(E60="Normal",0,IF(E60="Dragon",INDEX(Zones!$Q$6:$Q$35,MATCH(F60,Zones!$A$6:$A$35,0))*Paramètres!$B$34*INDEX(Zones!$P$6:$P$35,MATCH(F60,Zones!$A$6:$A$35,0)),INDEX(Zones!$Q$6:$Q$35,MATCH(F60,Zones!$A$6:$A$35,0))*Paramètres!$B$34*(INDEX(Zones!$P$6:$P$35,MATCH(F60,Zones!$A$6:$A$35,0))+Paramètres!$B$42*(INDEX(Zones!$M$6:$M$35,MATCH(F60,Zones!$A$6:$A$35,0))*(1-Paramètres!$B$46)))+INDEX(Zones!$N$6:$N$35,MATCH(F60,Zones!$A$6:$A$35,0))*Paramètres!$B$34*(INDEX(Zones!$M$6:$M$35,MATCH(F60,Zones!$A$6:$A$35,0))*(1-Paramètres!$B$46))*(Paramètres!$B$42*(Paramètres!$B$42+1)/2)))</f>
        <v>0.604879125</v>
      </c>
      <c r="O60" s="75" t="n">
        <f aca="false">MAX(M60,N60)</f>
        <v>0.604879125</v>
      </c>
      <c r="P60" s="36" t="n">
        <f aca="false">IF(E60="Normal",M60*Paramètres!$B$40,IF(E60="Boss",M60*(Paramètres!$B$41-1)+N60,N60))</f>
        <v>1.267522125</v>
      </c>
      <c r="Q60" s="76" t="str">
        <f aca="false">IF(O60&gt;Paramètres!$B$37,"Trop dur","OK")</f>
        <v>OK</v>
      </c>
      <c r="R60" s="29" t="n">
        <f aca="false" t="array" ref="R60:R60">ROUND(IF(E60="Normal",J60*INDEX(Zones!$O$6:$O$35,MATCH(F60,Zones!$A$6:$A$35,0)),IF(E60="Boss",((Paramètres!$B$41-1)*Paramètres!$B$39+Paramètres!$B$42)*INDEX(Zones!$O$6:$O$35,MATCH(F60,Zones!$A$6:$A$35,0))+INDEX(Zones!$R$6:$R$35,MATCH(F60,Zones!$A$6:$A$35,0)),INDEX(Zones!$R$6:$R$35,MATCH(F60,Zones!$A$6:$A$35,0))))*ROUND(Paramètres!$B$49*B60^Paramètres!$B$50,0),0)</f>
        <v>21456</v>
      </c>
      <c r="S60" s="29" t="n">
        <f aca="false" t="array" ref="S60:S60">ROUND(IF(E60="Normal",J60*INDEX(Zones!$O$6:$O$35,MATCH(F60,Zones!$A$6:$A$35,0)),IF(E60="Boss",((Paramètres!$B$41-1)*Paramètres!$B$39+Paramètres!$B$42)*INDEX(Zones!$O$6:$O$35,MATCH(F60,Zones!$A$6:$A$35,0))+INDEX(Zones!$R$6:$R$35,MATCH(F60,Zones!$A$6:$A$35,0)),INDEX(Zones!$R$6:$R$35,MATCH(F60,Zones!$A$6:$A$35,0))))*ROUND(Paramètres!$B$53*B60^Paramètres!$B$54,0),0)</f>
        <v>16015</v>
      </c>
      <c r="T60" s="22" t="str">
        <f aca="false">IF(E60="Boss",G60,"—")</f>
        <v>Océan profond</v>
      </c>
      <c r="U60" s="37" t="n">
        <f aca="false">IF(E60="Dragon",0,(J60-IF(E60="Boss",1,0))*AVERAGEIFS(Monstres!$AL$7:$AL$98,Monstres!$B$7:$B$98,F60,Monstres!$G$7:$G$98,"Non"))</f>
        <v>0.84</v>
      </c>
      <c r="V60" s="74" t="n">
        <f aca="false">IF(E60="Boss",Butin!$E$10,IF(E60="Dragon",Butin!$E$11,0))</f>
        <v>1.4</v>
      </c>
      <c r="W60" s="37" t="n">
        <f aca="false">U60+V60</f>
        <v>2.24</v>
      </c>
      <c r="X60" s="77" t="n">
        <f aca="false">U60*INDEX(Butin!$E$15:$K$24,MATCH($A60,Éléments!$C$5:$C$14,1),1)+V60*IF(E60="Boss",INDEX(Butin!$E$28:$K$37,MATCH($A60,Éléments!$C$5:$C$14,1),1),IF(E60="Dragon",INDEX(Butin!$E$41:$K$50,MATCH($A60,Éléments!$C$5:$C$14,1),1),0))</f>
        <v>0.2968</v>
      </c>
      <c r="Y60" s="77" t="n">
        <f aca="false">U60*INDEX(Butin!$E$15:$K$24,MATCH($A60,Éléments!$C$5:$C$14,1),2)+V60*IF(E60="Boss",INDEX(Butin!$E$28:$K$37,MATCH($A60,Éléments!$C$5:$C$14,1),2),IF(E60="Dragon",INDEX(Butin!$E$41:$K$50,MATCH($A60,Éléments!$C$5:$C$14,1),2),0))</f>
        <v>0.49</v>
      </c>
      <c r="Z60" s="77" t="n">
        <f aca="false">U60*INDEX(Butin!$E$15:$K$24,MATCH($A60,Éléments!$C$5:$C$14,1),3)+V60*IF(E60="Boss",INDEX(Butin!$E$28:$K$37,MATCH($A60,Éléments!$C$5:$C$14,1),3),IF(E60="Dragon",INDEX(Butin!$E$41:$K$50,MATCH($A60,Éléments!$C$5:$C$14,1),3),0))</f>
        <v>0.616</v>
      </c>
      <c r="AA60" s="77" t="n">
        <f aca="false">U60*INDEX(Butin!$E$15:$K$24,MATCH($A60,Éléments!$C$5:$C$14,1),4)+V60*IF(E60="Boss",INDEX(Butin!$E$28:$K$37,MATCH($A60,Éléments!$C$5:$C$14,1),4),IF(E60="Dragon",INDEX(Butin!$E$41:$K$50,MATCH($A60,Éléments!$C$5:$C$14,1),4),0))</f>
        <v>0.47152</v>
      </c>
      <c r="AB60" s="77" t="n">
        <f aca="false">U60*INDEX(Butin!$E$15:$K$24,MATCH($A60,Éléments!$C$5:$C$14,1),5)+V60*IF(E60="Boss",INDEX(Butin!$E$28:$K$37,MATCH($A60,Éléments!$C$5:$C$14,1),5),IF(E60="Dragon",INDEX(Butin!$E$41:$K$50,MATCH($A60,Éléments!$C$5:$C$14,1),5),0))</f>
        <v>0.2338</v>
      </c>
      <c r="AC60" s="77" t="n">
        <f aca="false">U60*INDEX(Butin!$E$15:$K$24,MATCH($A60,Éléments!$C$5:$C$14,1),6)+V60*IF(E60="Boss",INDEX(Butin!$E$28:$K$37,MATCH($A60,Éléments!$C$5:$C$14,1),6),IF(E60="Dragon",INDEX(Butin!$E$41:$K$50,MATCH($A60,Éléments!$C$5:$C$14,1),6),0))</f>
        <v>0.0602</v>
      </c>
      <c r="AD60" s="77" t="n">
        <f aca="false">U60*INDEX(Butin!$E$15:$K$24,MATCH($A60,Éléments!$C$5:$C$14,1),7)+V60*IF(E60="Boss",INDEX(Butin!$E$28:$K$37,MATCH($A60,Éléments!$C$5:$C$14,1),7),IF(E60="Dragon",INDEX(Butin!$E$41:$K$50,MATCH($A60,Éléments!$C$5:$C$14,1),7),0))</f>
        <v>0.07168</v>
      </c>
    </row>
    <row r="61" customFormat="false" ht="15.75" hidden="false" customHeight="true" outlineLevel="0" collapsed="false">
      <c r="A61" s="71" t="n">
        <v>56</v>
      </c>
      <c r="B61" s="23" t="n">
        <f aca="false">A61</f>
        <v>56</v>
      </c>
      <c r="C61" s="23" t="str">
        <f aca="false" t="array" ref="C61:C61">INDEX(Éléments!$B$5:$B$14,MATCH(A61,Éléments!$C$5:$C$14,1))</f>
        <v>Océan / Île</v>
      </c>
      <c r="D61" s="45" t="str">
        <f aca="false" t="array" ref="D61:D61">INDEX(Éléments!$A$5:$A$14,MATCH(A61,Éléments!$C$5:$C$14,1))</f>
        <v>Eau</v>
      </c>
      <c r="E61" s="23" t="str">
        <f aca="false">IF(MOD(A61,5)=0,"Boss",IF(MOD(A61,10)=9,"Dragon","Normal"))</f>
        <v>Normal</v>
      </c>
      <c r="F61" s="23" t="n">
        <f aca="false">IF(E61="Normal",5*ROUNDUP(A61/5,0),A61)</f>
        <v>60</v>
      </c>
      <c r="G61" s="22" t="str">
        <f aca="false" t="array" ref="G61:G61">INDEX(Zones!$B$6:$B$35,MATCH(F61,Zones!$A$6:$A$35,0))</f>
        <v>Palais des Atlantes</v>
      </c>
      <c r="H61" s="22" t="str">
        <f aca="false" t="array" ref="H61:H61">IF(E61="Normal","—",INDEX(Zones!$L$6:$L$35,MATCH(F61,Zones!$A$6:$A$35,0)))</f>
        <v>—</v>
      </c>
      <c r="I61" s="27" t="n">
        <f aca="false">IF(E61="Normal",Paramètres!$B$40,IF(E61="Boss",Paramètres!$B$41,1))</f>
        <v>3</v>
      </c>
      <c r="J61" s="23" t="n">
        <f aca="false">IF(E61="Normal",Paramètres!$B$40*Paramètres!$B$39,IF(E61="Boss",(Paramètres!$B$41-1)*Paramètres!$B$39+Paramètres!$B$42+1,1))</f>
        <v>9</v>
      </c>
      <c r="K61" s="33" t="n">
        <f aca="false" t="array" ref="K61:K61">IF(E61="Normal",Paramètres!$B$40*Paramètres!$B$39*(INDEX(Zones!$M$6:$M$35,MATCH(F61,Zones!$A$6:$A$35,0))*(1-Paramètres!$B$46)),IF(E61="Boss",((Paramètres!$B$41-1)*Paramètres!$B$39+Paramètres!$B$42)*(INDEX(Zones!$M$6:$M$35,MATCH(F61,Zones!$A$6:$A$35,0))*(1-Paramètres!$B$46))+INDEX(Zones!$P$6:$P$35,MATCH(F61,Zones!$A$6:$A$35,0)),INDEX(Zones!$P$6:$P$35,MATCH(F61,Zones!$A$6:$A$35,0))))</f>
        <v>11.925</v>
      </c>
      <c r="L61" s="27" t="n">
        <f aca="false">K61*Paramètres!$B$45+I61*Paramètres!$B$47</f>
        <v>71.625</v>
      </c>
      <c r="M61" s="30" t="n">
        <f aca="false" t="array" ref="M61:M61">IF(E61="Dragon",0,(INDEX(Zones!$N$6:$N$35,MATCH(F61,Zones!$A$6:$A$35,0))*Paramètres!$B$34*(INDEX(Zones!$M$6:$M$35,MATCH(F61,Zones!$A$6:$A$35,0))*(1-Paramètres!$B$46))*Paramètres!$B$39*(Paramètres!$B$39+1)/2))</f>
        <v>0.11330075</v>
      </c>
      <c r="N61" s="30" t="n">
        <f aca="false" t="array" ref="N61:N61">IF(E61="Normal",0,IF(E61="Dragon",INDEX(Zones!$Q$6:$Q$35,MATCH(F61,Zones!$A$6:$A$35,0))*Paramètres!$B$34*INDEX(Zones!$P$6:$P$35,MATCH(F61,Zones!$A$6:$A$35,0)),INDEX(Zones!$Q$6:$Q$35,MATCH(F61,Zones!$A$6:$A$35,0))*Paramètres!$B$34*(INDEX(Zones!$P$6:$P$35,MATCH(F61,Zones!$A$6:$A$35,0))+Paramètres!$B$42*(INDEX(Zones!$M$6:$M$35,MATCH(F61,Zones!$A$6:$A$35,0))*(1-Paramètres!$B$46)))+INDEX(Zones!$N$6:$N$35,MATCH(F61,Zones!$A$6:$A$35,0))*Paramètres!$B$34*(INDEX(Zones!$M$6:$M$35,MATCH(F61,Zones!$A$6:$A$35,0))*(1-Paramètres!$B$46))*(Paramètres!$B$42*(Paramètres!$B$42+1)/2)))</f>
        <v>0</v>
      </c>
      <c r="O61" s="75" t="n">
        <f aca="false">MAX(M61,N61)</f>
        <v>0.11330075</v>
      </c>
      <c r="P61" s="36" t="n">
        <f aca="false">IF(E61="Normal",M61*Paramètres!$B$40,IF(E61="Boss",M61*(Paramètres!$B$41-1)+N61,N61))</f>
        <v>0.33990225</v>
      </c>
      <c r="Q61" s="76" t="str">
        <f aca="false">IF(O61&gt;Paramètres!$B$37,"Trop dur","OK")</f>
        <v>OK</v>
      </c>
      <c r="R61" s="29" t="n">
        <f aca="false" t="array" ref="R61:R61">ROUND(IF(E61="Normal",J61*INDEX(Zones!$O$6:$O$35,MATCH(F61,Zones!$A$6:$A$35,0)),IF(E61="Boss",((Paramètres!$B$41-1)*Paramètres!$B$39+Paramètres!$B$42)*INDEX(Zones!$O$6:$O$35,MATCH(F61,Zones!$A$6:$A$35,0))+INDEX(Zones!$R$6:$R$35,MATCH(F61,Zones!$A$6:$A$35,0)),INDEX(Zones!$R$6:$R$35,MATCH(F61,Zones!$A$6:$A$35,0))))*ROUND(Paramètres!$B$49*B61^Paramètres!$B$50,0),0)</f>
        <v>8271</v>
      </c>
      <c r="S61" s="29" t="n">
        <f aca="false" t="array" ref="S61:S61">ROUND(IF(E61="Normal",J61*INDEX(Zones!$O$6:$O$35,MATCH(F61,Zones!$A$6:$A$35,0)),IF(E61="Boss",((Paramètres!$B$41-1)*Paramètres!$B$39+Paramètres!$B$42)*INDEX(Zones!$O$6:$O$35,MATCH(F61,Zones!$A$6:$A$35,0))+INDEX(Zones!$R$6:$R$35,MATCH(F61,Zones!$A$6:$A$35,0)),INDEX(Zones!$R$6:$R$35,MATCH(F61,Zones!$A$6:$A$35,0))))*ROUND(Paramètres!$B$53*B61^Paramètres!$B$54,0),0)</f>
        <v>6183</v>
      </c>
      <c r="T61" s="22" t="str">
        <f aca="false">IF(E61="Boss",G61,"—")</f>
        <v>—</v>
      </c>
      <c r="U61" s="37" t="n">
        <f aca="false">IF(E61="Dragon",0,(J61-IF(E61="Boss",1,0))*AVERAGEIFS(Monstres!$AL$7:$AL$98,Monstres!$B$7:$B$98,F61,Monstres!$G$7:$G$98,"Non"))</f>
        <v>0.45</v>
      </c>
      <c r="V61" s="74" t="n">
        <f aca="false">IF(E61="Boss",Butin!$E$10,IF(E61="Dragon",Butin!$E$11,0))</f>
        <v>0</v>
      </c>
      <c r="W61" s="37" t="n">
        <f aca="false">U61+V61</f>
        <v>0.45</v>
      </c>
      <c r="X61" s="77" t="n">
        <f aca="false">U61*INDEX(Butin!$E$15:$K$24,MATCH($A61,Éléments!$C$5:$C$14,1),1)+V61*IF(E61="Boss",INDEX(Butin!$E$28:$K$37,MATCH($A61,Éléments!$C$5:$C$14,1),1),IF(E61="Dragon",INDEX(Butin!$E$41:$K$50,MATCH($A61,Éléments!$C$5:$C$14,1),1),0))</f>
        <v>0.1215</v>
      </c>
      <c r="Y61" s="77" t="n">
        <f aca="false">U61*INDEX(Butin!$E$15:$K$24,MATCH($A61,Éléments!$C$5:$C$14,1),2)+V61*IF(E61="Boss",INDEX(Butin!$E$28:$K$37,MATCH($A61,Éléments!$C$5:$C$14,1),2),IF(E61="Dragon",INDEX(Butin!$E$41:$K$50,MATCH($A61,Éléments!$C$5:$C$14,1),2),0))</f>
        <v>0.135</v>
      </c>
      <c r="Z61" s="77" t="n">
        <f aca="false">U61*INDEX(Butin!$E$15:$K$24,MATCH($A61,Éléments!$C$5:$C$14,1),3)+V61*IF(E61="Boss",INDEX(Butin!$E$28:$K$37,MATCH($A61,Éléments!$C$5:$C$14,1),3),IF(E61="Dragon",INDEX(Butin!$E$41:$K$50,MATCH($A61,Éléments!$C$5:$C$14,1),3),0))</f>
        <v>0.1125</v>
      </c>
      <c r="AA61" s="77" t="n">
        <f aca="false">U61*INDEX(Butin!$E$15:$K$24,MATCH($A61,Éléments!$C$5:$C$14,1),4)+V61*IF(E61="Boss",INDEX(Butin!$E$28:$K$37,MATCH($A61,Éléments!$C$5:$C$14,1),4),IF(E61="Dragon",INDEX(Butin!$E$41:$K$50,MATCH($A61,Éléments!$C$5:$C$14,1),4),0))</f>
        <v>0.0576</v>
      </c>
      <c r="AB61" s="77" t="n">
        <f aca="false">U61*INDEX(Butin!$E$15:$K$24,MATCH($A61,Éléments!$C$5:$C$14,1),5)+V61*IF(E61="Boss",INDEX(Butin!$E$28:$K$37,MATCH($A61,Éléments!$C$5:$C$14,1),5),IF(E61="Dragon",INDEX(Butin!$E$41:$K$50,MATCH($A61,Éléments!$C$5:$C$14,1),5),0))</f>
        <v>0.02025</v>
      </c>
      <c r="AC61" s="77" t="n">
        <f aca="false">U61*INDEX(Butin!$E$15:$K$24,MATCH($A61,Éléments!$C$5:$C$14,1),6)+V61*IF(E61="Boss",INDEX(Butin!$E$28:$K$37,MATCH($A61,Éléments!$C$5:$C$14,1),6),IF(E61="Dragon",INDEX(Butin!$E$41:$K$50,MATCH($A61,Éléments!$C$5:$C$14,1),6),0))</f>
        <v>0.00225</v>
      </c>
      <c r="AD61" s="77" t="n">
        <f aca="false">U61*INDEX(Butin!$E$15:$K$24,MATCH($A61,Éléments!$C$5:$C$14,1),7)+V61*IF(E61="Boss",INDEX(Butin!$E$28:$K$37,MATCH($A61,Éléments!$C$5:$C$14,1),7),IF(E61="Dragon",INDEX(Butin!$E$41:$K$50,MATCH($A61,Éléments!$C$5:$C$14,1),7),0))</f>
        <v>0.0009</v>
      </c>
    </row>
    <row r="62" customFormat="false" ht="15.75" hidden="false" customHeight="true" outlineLevel="0" collapsed="false">
      <c r="A62" s="71" t="n">
        <v>57</v>
      </c>
      <c r="B62" s="23" t="n">
        <f aca="false">A62</f>
        <v>57</v>
      </c>
      <c r="C62" s="23" t="str">
        <f aca="false" t="array" ref="C62:C62">INDEX(Éléments!$B$5:$B$14,MATCH(A62,Éléments!$C$5:$C$14,1))</f>
        <v>Océan / Île</v>
      </c>
      <c r="D62" s="45" t="str">
        <f aca="false" t="array" ref="D62:D62">INDEX(Éléments!$A$5:$A$14,MATCH(A62,Éléments!$C$5:$C$14,1))</f>
        <v>Eau</v>
      </c>
      <c r="E62" s="23" t="str">
        <f aca="false">IF(MOD(A62,5)=0,"Boss",IF(MOD(A62,10)=9,"Dragon","Normal"))</f>
        <v>Normal</v>
      </c>
      <c r="F62" s="23" t="n">
        <f aca="false">IF(E62="Normal",5*ROUNDUP(A62/5,0),A62)</f>
        <v>60</v>
      </c>
      <c r="G62" s="22" t="str">
        <f aca="false" t="array" ref="G62:G62">INDEX(Zones!$B$6:$B$35,MATCH(F62,Zones!$A$6:$A$35,0))</f>
        <v>Palais des Atlantes</v>
      </c>
      <c r="H62" s="22" t="str">
        <f aca="false" t="array" ref="H62:H62">IF(E62="Normal","—",INDEX(Zones!$L$6:$L$35,MATCH(F62,Zones!$A$6:$A$35,0)))</f>
        <v>—</v>
      </c>
      <c r="I62" s="27" t="n">
        <f aca="false">IF(E62="Normal",Paramètres!$B$40,IF(E62="Boss",Paramètres!$B$41,1))</f>
        <v>3</v>
      </c>
      <c r="J62" s="23" t="n">
        <f aca="false">IF(E62="Normal",Paramètres!$B$40*Paramètres!$B$39,IF(E62="Boss",(Paramètres!$B$41-1)*Paramètres!$B$39+Paramètres!$B$42+1,1))</f>
        <v>9</v>
      </c>
      <c r="K62" s="33" t="n">
        <f aca="false" t="array" ref="K62:K62">IF(E62="Normal",Paramètres!$B$40*Paramètres!$B$39*(INDEX(Zones!$M$6:$M$35,MATCH(F62,Zones!$A$6:$A$35,0))*(1-Paramètres!$B$46)),IF(E62="Boss",((Paramètres!$B$41-1)*Paramètres!$B$39+Paramètres!$B$42)*(INDEX(Zones!$M$6:$M$35,MATCH(F62,Zones!$A$6:$A$35,0))*(1-Paramètres!$B$46))+INDEX(Zones!$P$6:$P$35,MATCH(F62,Zones!$A$6:$A$35,0)),INDEX(Zones!$P$6:$P$35,MATCH(F62,Zones!$A$6:$A$35,0))))</f>
        <v>11.925</v>
      </c>
      <c r="L62" s="27" t="n">
        <f aca="false">K62*Paramètres!$B$45+I62*Paramètres!$B$47</f>
        <v>71.625</v>
      </c>
      <c r="M62" s="30" t="n">
        <f aca="false" t="array" ref="M62:M62">IF(E62="Dragon",0,(INDEX(Zones!$N$6:$N$35,MATCH(F62,Zones!$A$6:$A$35,0))*Paramètres!$B$34*(INDEX(Zones!$M$6:$M$35,MATCH(F62,Zones!$A$6:$A$35,0))*(1-Paramètres!$B$46))*Paramètres!$B$39*(Paramètres!$B$39+1)/2))</f>
        <v>0.11330075</v>
      </c>
      <c r="N62" s="30" t="n">
        <f aca="false" t="array" ref="N62:N62">IF(E62="Normal",0,IF(E62="Dragon",INDEX(Zones!$Q$6:$Q$35,MATCH(F62,Zones!$A$6:$A$35,0))*Paramètres!$B$34*INDEX(Zones!$P$6:$P$35,MATCH(F62,Zones!$A$6:$A$35,0)),INDEX(Zones!$Q$6:$Q$35,MATCH(F62,Zones!$A$6:$A$35,0))*Paramètres!$B$34*(INDEX(Zones!$P$6:$P$35,MATCH(F62,Zones!$A$6:$A$35,0))+Paramètres!$B$42*(INDEX(Zones!$M$6:$M$35,MATCH(F62,Zones!$A$6:$A$35,0))*(1-Paramètres!$B$46)))+INDEX(Zones!$N$6:$N$35,MATCH(F62,Zones!$A$6:$A$35,0))*Paramètres!$B$34*(INDEX(Zones!$M$6:$M$35,MATCH(F62,Zones!$A$6:$A$35,0))*(1-Paramètres!$B$46))*(Paramètres!$B$42*(Paramètres!$B$42+1)/2)))</f>
        <v>0</v>
      </c>
      <c r="O62" s="75" t="n">
        <f aca="false">MAX(M62,N62)</f>
        <v>0.11330075</v>
      </c>
      <c r="P62" s="36" t="n">
        <f aca="false">IF(E62="Normal",M62*Paramètres!$B$40,IF(E62="Boss",M62*(Paramètres!$B$41-1)+N62,N62))</f>
        <v>0.33990225</v>
      </c>
      <c r="Q62" s="76" t="str">
        <f aca="false">IF(O62&gt;Paramètres!$B$37,"Trop dur","OK")</f>
        <v>OK</v>
      </c>
      <c r="R62" s="29" t="n">
        <f aca="false" t="array" ref="R62:R62">ROUND(IF(E62="Normal",J62*INDEX(Zones!$O$6:$O$35,MATCH(F62,Zones!$A$6:$A$35,0)),IF(E62="Boss",((Paramètres!$B$41-1)*Paramètres!$B$39+Paramètres!$B$42)*INDEX(Zones!$O$6:$O$35,MATCH(F62,Zones!$A$6:$A$35,0))+INDEX(Zones!$R$6:$R$35,MATCH(F62,Zones!$A$6:$A$35,0)),INDEX(Zones!$R$6:$R$35,MATCH(F62,Zones!$A$6:$A$35,0))))*ROUND(Paramètres!$B$49*B62^Paramètres!$B$50,0),0)</f>
        <v>8460</v>
      </c>
      <c r="S62" s="29" t="n">
        <f aca="false" t="array" ref="S62:S62">ROUND(IF(E62="Normal",J62*INDEX(Zones!$O$6:$O$35,MATCH(F62,Zones!$A$6:$A$35,0)),IF(E62="Boss",((Paramètres!$B$41-1)*Paramètres!$B$39+Paramètres!$B$42)*INDEX(Zones!$O$6:$O$35,MATCH(F62,Zones!$A$6:$A$35,0))+INDEX(Zones!$R$6:$R$35,MATCH(F62,Zones!$A$6:$A$35,0)),INDEX(Zones!$R$6:$R$35,MATCH(F62,Zones!$A$6:$A$35,0))))*ROUND(Paramètres!$B$53*B62^Paramètres!$B$54,0),0)</f>
        <v>6336</v>
      </c>
      <c r="T62" s="22" t="str">
        <f aca="false">IF(E62="Boss",G62,"—")</f>
        <v>—</v>
      </c>
      <c r="U62" s="37" t="n">
        <f aca="false">IF(E62="Dragon",0,(J62-IF(E62="Boss",1,0))*AVERAGEIFS(Monstres!$AL$7:$AL$98,Monstres!$B$7:$B$98,F62,Monstres!$G$7:$G$98,"Non"))</f>
        <v>0.45</v>
      </c>
      <c r="V62" s="74" t="n">
        <f aca="false">IF(E62="Boss",Butin!$E$10,IF(E62="Dragon",Butin!$E$11,0))</f>
        <v>0</v>
      </c>
      <c r="W62" s="37" t="n">
        <f aca="false">U62+V62</f>
        <v>0.45</v>
      </c>
      <c r="X62" s="77" t="n">
        <f aca="false">U62*INDEX(Butin!$E$15:$K$24,MATCH($A62,Éléments!$C$5:$C$14,1),1)+V62*IF(E62="Boss",INDEX(Butin!$E$28:$K$37,MATCH($A62,Éléments!$C$5:$C$14,1),1),IF(E62="Dragon",INDEX(Butin!$E$41:$K$50,MATCH($A62,Éléments!$C$5:$C$14,1),1),0))</f>
        <v>0.1215</v>
      </c>
      <c r="Y62" s="77" t="n">
        <f aca="false">U62*INDEX(Butin!$E$15:$K$24,MATCH($A62,Éléments!$C$5:$C$14,1),2)+V62*IF(E62="Boss",INDEX(Butin!$E$28:$K$37,MATCH($A62,Éléments!$C$5:$C$14,1),2),IF(E62="Dragon",INDEX(Butin!$E$41:$K$50,MATCH($A62,Éléments!$C$5:$C$14,1),2),0))</f>
        <v>0.135</v>
      </c>
      <c r="Z62" s="77" t="n">
        <f aca="false">U62*INDEX(Butin!$E$15:$K$24,MATCH($A62,Éléments!$C$5:$C$14,1),3)+V62*IF(E62="Boss",INDEX(Butin!$E$28:$K$37,MATCH($A62,Éléments!$C$5:$C$14,1),3),IF(E62="Dragon",INDEX(Butin!$E$41:$K$50,MATCH($A62,Éléments!$C$5:$C$14,1),3),0))</f>
        <v>0.1125</v>
      </c>
      <c r="AA62" s="77" t="n">
        <f aca="false">U62*INDEX(Butin!$E$15:$K$24,MATCH($A62,Éléments!$C$5:$C$14,1),4)+V62*IF(E62="Boss",INDEX(Butin!$E$28:$K$37,MATCH($A62,Éléments!$C$5:$C$14,1),4),IF(E62="Dragon",INDEX(Butin!$E$41:$K$50,MATCH($A62,Éléments!$C$5:$C$14,1),4),0))</f>
        <v>0.0576</v>
      </c>
      <c r="AB62" s="77" t="n">
        <f aca="false">U62*INDEX(Butin!$E$15:$K$24,MATCH($A62,Éléments!$C$5:$C$14,1),5)+V62*IF(E62="Boss",INDEX(Butin!$E$28:$K$37,MATCH($A62,Éléments!$C$5:$C$14,1),5),IF(E62="Dragon",INDEX(Butin!$E$41:$K$50,MATCH($A62,Éléments!$C$5:$C$14,1),5),0))</f>
        <v>0.02025</v>
      </c>
      <c r="AC62" s="77" t="n">
        <f aca="false">U62*INDEX(Butin!$E$15:$K$24,MATCH($A62,Éléments!$C$5:$C$14,1),6)+V62*IF(E62="Boss",INDEX(Butin!$E$28:$K$37,MATCH($A62,Éléments!$C$5:$C$14,1),6),IF(E62="Dragon",INDEX(Butin!$E$41:$K$50,MATCH($A62,Éléments!$C$5:$C$14,1),6),0))</f>
        <v>0.00225</v>
      </c>
      <c r="AD62" s="77" t="n">
        <f aca="false">U62*INDEX(Butin!$E$15:$K$24,MATCH($A62,Éléments!$C$5:$C$14,1),7)+V62*IF(E62="Boss",INDEX(Butin!$E$28:$K$37,MATCH($A62,Éléments!$C$5:$C$14,1),7),IF(E62="Dragon",INDEX(Butin!$E$41:$K$50,MATCH($A62,Éléments!$C$5:$C$14,1),7),0))</f>
        <v>0.0009</v>
      </c>
    </row>
    <row r="63" customFormat="false" ht="15.75" hidden="false" customHeight="true" outlineLevel="0" collapsed="false">
      <c r="A63" s="71" t="n">
        <v>58</v>
      </c>
      <c r="B63" s="23" t="n">
        <f aca="false">A63</f>
        <v>58</v>
      </c>
      <c r="C63" s="23" t="str">
        <f aca="false" t="array" ref="C63:C63">INDEX(Éléments!$B$5:$B$14,MATCH(A63,Éléments!$C$5:$C$14,1))</f>
        <v>Océan / Île</v>
      </c>
      <c r="D63" s="45" t="str">
        <f aca="false" t="array" ref="D63:D63">INDEX(Éléments!$A$5:$A$14,MATCH(A63,Éléments!$C$5:$C$14,1))</f>
        <v>Eau</v>
      </c>
      <c r="E63" s="23" t="str">
        <f aca="false">IF(MOD(A63,5)=0,"Boss",IF(MOD(A63,10)=9,"Dragon","Normal"))</f>
        <v>Normal</v>
      </c>
      <c r="F63" s="23" t="n">
        <f aca="false">IF(E63="Normal",5*ROUNDUP(A63/5,0),A63)</f>
        <v>60</v>
      </c>
      <c r="G63" s="22" t="str">
        <f aca="false" t="array" ref="G63:G63">INDEX(Zones!$B$6:$B$35,MATCH(F63,Zones!$A$6:$A$35,0))</f>
        <v>Palais des Atlantes</v>
      </c>
      <c r="H63" s="22" t="str">
        <f aca="false" t="array" ref="H63:H63">IF(E63="Normal","—",INDEX(Zones!$L$6:$L$35,MATCH(F63,Zones!$A$6:$A$35,0)))</f>
        <v>—</v>
      </c>
      <c r="I63" s="27" t="n">
        <f aca="false">IF(E63="Normal",Paramètres!$B$40,IF(E63="Boss",Paramètres!$B$41,1))</f>
        <v>3</v>
      </c>
      <c r="J63" s="23" t="n">
        <f aca="false">IF(E63="Normal",Paramètres!$B$40*Paramètres!$B$39,IF(E63="Boss",(Paramètres!$B$41-1)*Paramètres!$B$39+Paramètres!$B$42+1,1))</f>
        <v>9</v>
      </c>
      <c r="K63" s="33" t="n">
        <f aca="false" t="array" ref="K63:K63">IF(E63="Normal",Paramètres!$B$40*Paramètres!$B$39*(INDEX(Zones!$M$6:$M$35,MATCH(F63,Zones!$A$6:$A$35,0))*(1-Paramètres!$B$46)),IF(E63="Boss",((Paramètres!$B$41-1)*Paramètres!$B$39+Paramètres!$B$42)*(INDEX(Zones!$M$6:$M$35,MATCH(F63,Zones!$A$6:$A$35,0))*(1-Paramètres!$B$46))+INDEX(Zones!$P$6:$P$35,MATCH(F63,Zones!$A$6:$A$35,0)),INDEX(Zones!$P$6:$P$35,MATCH(F63,Zones!$A$6:$A$35,0))))</f>
        <v>11.925</v>
      </c>
      <c r="L63" s="27" t="n">
        <f aca="false">K63*Paramètres!$B$45+I63*Paramètres!$B$47</f>
        <v>71.625</v>
      </c>
      <c r="M63" s="30" t="n">
        <f aca="false" t="array" ref="M63:M63">IF(E63="Dragon",0,(INDEX(Zones!$N$6:$N$35,MATCH(F63,Zones!$A$6:$A$35,0))*Paramètres!$B$34*(INDEX(Zones!$M$6:$M$35,MATCH(F63,Zones!$A$6:$A$35,0))*(1-Paramètres!$B$46))*Paramètres!$B$39*(Paramètres!$B$39+1)/2))</f>
        <v>0.11330075</v>
      </c>
      <c r="N63" s="30" t="n">
        <f aca="false" t="array" ref="N63:N63">IF(E63="Normal",0,IF(E63="Dragon",INDEX(Zones!$Q$6:$Q$35,MATCH(F63,Zones!$A$6:$A$35,0))*Paramètres!$B$34*INDEX(Zones!$P$6:$P$35,MATCH(F63,Zones!$A$6:$A$35,0)),INDEX(Zones!$Q$6:$Q$35,MATCH(F63,Zones!$A$6:$A$35,0))*Paramètres!$B$34*(INDEX(Zones!$P$6:$P$35,MATCH(F63,Zones!$A$6:$A$35,0))+Paramètres!$B$42*(INDEX(Zones!$M$6:$M$35,MATCH(F63,Zones!$A$6:$A$35,0))*(1-Paramètres!$B$46)))+INDEX(Zones!$N$6:$N$35,MATCH(F63,Zones!$A$6:$A$35,0))*Paramètres!$B$34*(INDEX(Zones!$M$6:$M$35,MATCH(F63,Zones!$A$6:$A$35,0))*(1-Paramètres!$B$46))*(Paramètres!$B$42*(Paramètres!$B$42+1)/2)))</f>
        <v>0</v>
      </c>
      <c r="O63" s="75" t="n">
        <f aca="false">MAX(M63,N63)</f>
        <v>0.11330075</v>
      </c>
      <c r="P63" s="36" t="n">
        <f aca="false">IF(E63="Normal",M63*Paramètres!$B$40,IF(E63="Boss",M63*(Paramètres!$B$41-1)+N63,N63))</f>
        <v>0.33990225</v>
      </c>
      <c r="Q63" s="76" t="str">
        <f aca="false">IF(O63&gt;Paramètres!$B$37,"Trop dur","OK")</f>
        <v>OK</v>
      </c>
      <c r="R63" s="29" t="n">
        <f aca="false" t="array" ref="R63:R63">ROUND(IF(E63="Normal",J63*INDEX(Zones!$O$6:$O$35,MATCH(F63,Zones!$A$6:$A$35,0)),IF(E63="Boss",((Paramètres!$B$41-1)*Paramètres!$B$39+Paramètres!$B$42)*INDEX(Zones!$O$6:$O$35,MATCH(F63,Zones!$A$6:$A$35,0))+INDEX(Zones!$R$6:$R$35,MATCH(F63,Zones!$A$6:$A$35,0)),INDEX(Zones!$R$6:$R$35,MATCH(F63,Zones!$A$6:$A$35,0))))*ROUND(Paramètres!$B$49*B63^Paramètres!$B$50,0),0)</f>
        <v>8640</v>
      </c>
      <c r="S63" s="29" t="n">
        <f aca="false" t="array" ref="S63:S63">ROUND(IF(E63="Normal",J63*INDEX(Zones!$O$6:$O$35,MATCH(F63,Zones!$A$6:$A$35,0)),IF(E63="Boss",((Paramètres!$B$41-1)*Paramètres!$B$39+Paramètres!$B$42)*INDEX(Zones!$O$6:$O$35,MATCH(F63,Zones!$A$6:$A$35,0))+INDEX(Zones!$R$6:$R$35,MATCH(F63,Zones!$A$6:$A$35,0)),INDEX(Zones!$R$6:$R$35,MATCH(F63,Zones!$A$6:$A$35,0))))*ROUND(Paramètres!$B$53*B63^Paramètres!$B$54,0),0)</f>
        <v>6489</v>
      </c>
      <c r="T63" s="22" t="str">
        <f aca="false">IF(E63="Boss",G63,"—")</f>
        <v>—</v>
      </c>
      <c r="U63" s="37" t="n">
        <f aca="false">IF(E63="Dragon",0,(J63-IF(E63="Boss",1,0))*AVERAGEIFS(Monstres!$AL$7:$AL$98,Monstres!$B$7:$B$98,F63,Monstres!$G$7:$G$98,"Non"))</f>
        <v>0.45</v>
      </c>
      <c r="V63" s="74" t="n">
        <f aca="false">IF(E63="Boss",Butin!$E$10,IF(E63="Dragon",Butin!$E$11,0))</f>
        <v>0</v>
      </c>
      <c r="W63" s="37" t="n">
        <f aca="false">U63+V63</f>
        <v>0.45</v>
      </c>
      <c r="X63" s="77" t="n">
        <f aca="false">U63*INDEX(Butin!$E$15:$K$24,MATCH($A63,Éléments!$C$5:$C$14,1),1)+V63*IF(E63="Boss",INDEX(Butin!$E$28:$K$37,MATCH($A63,Éléments!$C$5:$C$14,1),1),IF(E63="Dragon",INDEX(Butin!$E$41:$K$50,MATCH($A63,Éléments!$C$5:$C$14,1),1),0))</f>
        <v>0.1215</v>
      </c>
      <c r="Y63" s="77" t="n">
        <f aca="false">U63*INDEX(Butin!$E$15:$K$24,MATCH($A63,Éléments!$C$5:$C$14,1),2)+V63*IF(E63="Boss",INDEX(Butin!$E$28:$K$37,MATCH($A63,Éléments!$C$5:$C$14,1),2),IF(E63="Dragon",INDEX(Butin!$E$41:$K$50,MATCH($A63,Éléments!$C$5:$C$14,1),2),0))</f>
        <v>0.135</v>
      </c>
      <c r="Z63" s="77" t="n">
        <f aca="false">U63*INDEX(Butin!$E$15:$K$24,MATCH($A63,Éléments!$C$5:$C$14,1),3)+V63*IF(E63="Boss",INDEX(Butin!$E$28:$K$37,MATCH($A63,Éléments!$C$5:$C$14,1),3),IF(E63="Dragon",INDEX(Butin!$E$41:$K$50,MATCH($A63,Éléments!$C$5:$C$14,1),3),0))</f>
        <v>0.1125</v>
      </c>
      <c r="AA63" s="77" t="n">
        <f aca="false">U63*INDEX(Butin!$E$15:$K$24,MATCH($A63,Éléments!$C$5:$C$14,1),4)+V63*IF(E63="Boss",INDEX(Butin!$E$28:$K$37,MATCH($A63,Éléments!$C$5:$C$14,1),4),IF(E63="Dragon",INDEX(Butin!$E$41:$K$50,MATCH($A63,Éléments!$C$5:$C$14,1),4),0))</f>
        <v>0.0576</v>
      </c>
      <c r="AB63" s="77" t="n">
        <f aca="false">U63*INDEX(Butin!$E$15:$K$24,MATCH($A63,Éléments!$C$5:$C$14,1),5)+V63*IF(E63="Boss",INDEX(Butin!$E$28:$K$37,MATCH($A63,Éléments!$C$5:$C$14,1),5),IF(E63="Dragon",INDEX(Butin!$E$41:$K$50,MATCH($A63,Éléments!$C$5:$C$14,1),5),0))</f>
        <v>0.02025</v>
      </c>
      <c r="AC63" s="77" t="n">
        <f aca="false">U63*INDEX(Butin!$E$15:$K$24,MATCH($A63,Éléments!$C$5:$C$14,1),6)+V63*IF(E63="Boss",INDEX(Butin!$E$28:$K$37,MATCH($A63,Éléments!$C$5:$C$14,1),6),IF(E63="Dragon",INDEX(Butin!$E$41:$K$50,MATCH($A63,Éléments!$C$5:$C$14,1),6),0))</f>
        <v>0.00225</v>
      </c>
      <c r="AD63" s="77" t="n">
        <f aca="false">U63*INDEX(Butin!$E$15:$K$24,MATCH($A63,Éléments!$C$5:$C$14,1),7)+V63*IF(E63="Boss",INDEX(Butin!$E$28:$K$37,MATCH($A63,Éléments!$C$5:$C$14,1),7),IF(E63="Dragon",INDEX(Butin!$E$41:$K$50,MATCH($A63,Éléments!$C$5:$C$14,1),7),0))</f>
        <v>0.0009</v>
      </c>
    </row>
    <row r="64" customFormat="false" ht="15.75" hidden="false" customHeight="true" outlineLevel="0" collapsed="false">
      <c r="A64" s="71" t="n">
        <v>59</v>
      </c>
      <c r="B64" s="23" t="n">
        <f aca="false">A64</f>
        <v>59</v>
      </c>
      <c r="C64" s="23" t="str">
        <f aca="false" t="array" ref="C64:C64">INDEX(Éléments!$B$5:$B$14,MATCH(A64,Éléments!$C$5:$C$14,1))</f>
        <v>Océan / Île</v>
      </c>
      <c r="D64" s="45" t="str">
        <f aca="false" t="array" ref="D64:D64">INDEX(Éléments!$A$5:$A$14,MATCH(A64,Éléments!$C$5:$C$14,1))</f>
        <v>Eau</v>
      </c>
      <c r="E64" s="23" t="str">
        <f aca="false">IF(MOD(A64,5)=0,"Boss",IF(MOD(A64,10)=9,"Dragon","Normal"))</f>
        <v>Dragon</v>
      </c>
      <c r="F64" s="23" t="n">
        <f aca="false">IF(E64="Normal",5*ROUNDUP(A64/5,0),A64)</f>
        <v>59</v>
      </c>
      <c r="G64" s="22" t="str">
        <f aca="false" t="array" ref="G64:G64">INDEX(Zones!$B$6:$B$35,MATCH(F64,Zones!$A$6:$A$35,0))</f>
        <v>Tannière du dragon (59)</v>
      </c>
      <c r="H64" s="22" t="str">
        <f aca="false" t="array" ref="H64:H64">IF(E64="Normal","—",INDEX(Zones!$L$6:$L$35,MATCH(F64,Zones!$A$6:$A$35,0)))</f>
        <v>Dragon (Eau)</v>
      </c>
      <c r="I64" s="23" t="n">
        <f aca="false">IF(E64="Normal",Paramètres!$B$40,IF(E64="Boss",Paramètres!$B$41,1))</f>
        <v>1</v>
      </c>
      <c r="J64" s="23" t="n">
        <f aca="false">IF(E64="Normal",Paramètres!$B$40*Paramètres!$B$39,IF(E64="Boss",(Paramètres!$B$41-1)*Paramètres!$B$39+Paramètres!$B$42+1,1))</f>
        <v>1</v>
      </c>
      <c r="K64" s="33" t="n">
        <f aca="false" t="array" ref="K64:K64">IF(E64="Normal",Paramètres!$B$40*Paramètres!$B$39*(INDEX(Zones!$M$6:$M$35,MATCH(F64,Zones!$A$6:$A$35,0))*(1-Paramètres!$B$46)),IF(E64="Boss",((Paramètres!$B$41-1)*Paramètres!$B$39+Paramètres!$B$42)*(INDEX(Zones!$M$6:$M$35,MATCH(F64,Zones!$A$6:$A$35,0))*(1-Paramètres!$B$46))+INDEX(Zones!$P$6:$P$35,MATCH(F64,Zones!$A$6:$A$35,0)),INDEX(Zones!$P$6:$P$35,MATCH(F64,Zones!$A$6:$A$35,0))))</f>
        <v>20</v>
      </c>
      <c r="L64" s="27" t="n">
        <f aca="false">K64*Paramètres!$B$45+I64*Paramètres!$B$47</f>
        <v>104</v>
      </c>
      <c r="M64" s="30" t="n">
        <f aca="false" t="array" ref="M64:M64">IF(E64="Dragon",0,(INDEX(Zones!$N$6:$N$35,MATCH(F64,Zones!$A$6:$A$35,0))*Paramètres!$B$34*(INDEX(Zones!$M$6:$M$35,MATCH(F64,Zones!$A$6:$A$35,0))*(1-Paramètres!$B$46))*Paramètres!$B$39*(Paramètres!$B$39+1)/2))</f>
        <v>0</v>
      </c>
      <c r="N64" s="30" t="n">
        <f aca="false" t="array" ref="N64:N64">IF(E64="Normal",0,IF(E64="Dragon",INDEX(Zones!$Q$6:$Q$35,MATCH(F64,Zones!$A$6:$A$35,0))*Paramètres!$B$34*INDEX(Zones!$P$6:$P$35,MATCH(F64,Zones!$A$6:$A$35,0)),INDEX(Zones!$Q$6:$Q$35,MATCH(F64,Zones!$A$6:$A$35,0))*Paramètres!$B$34*(INDEX(Zones!$P$6:$P$35,MATCH(F64,Zones!$A$6:$A$35,0))+Paramètres!$B$42*(INDEX(Zones!$M$6:$M$35,MATCH(F64,Zones!$A$6:$A$35,0))*(1-Paramètres!$B$46)))+INDEX(Zones!$N$6:$N$35,MATCH(F64,Zones!$A$6:$A$35,0))*Paramètres!$B$34*(INDEX(Zones!$M$6:$M$35,MATCH(F64,Zones!$A$6:$A$35,0))*(1-Paramètres!$B$46))*(Paramètres!$B$42*(Paramètres!$B$42+1)/2)))</f>
        <v>0.51</v>
      </c>
      <c r="O64" s="75" t="n">
        <f aca="false">MAX(M64,N64)</f>
        <v>0.51</v>
      </c>
      <c r="P64" s="36" t="n">
        <f aca="false">IF(E64="Normal",M64*Paramètres!$B$40,IF(E64="Boss",M64*(Paramètres!$B$41-1)+N64,N64))</f>
        <v>0.51</v>
      </c>
      <c r="Q64" s="76" t="str">
        <f aca="false">IF(O64&gt;Paramètres!$B$37,"Trop dur","OK")</f>
        <v>OK</v>
      </c>
      <c r="R64" s="29" t="n">
        <f aca="false" t="array" ref="R64:R64">ROUND(IF(E64="Normal",J64*INDEX(Zones!$O$6:$O$35,MATCH(F64,Zones!$A$6:$A$35,0)),IF(E64="Boss",((Paramètres!$B$41-1)*Paramètres!$B$39+Paramètres!$B$42)*INDEX(Zones!$O$6:$O$35,MATCH(F64,Zones!$A$6:$A$35,0))+INDEX(Zones!$R$6:$R$35,MATCH(F64,Zones!$A$6:$A$35,0)),INDEX(Zones!$R$6:$R$35,MATCH(F64,Zones!$A$6:$A$35,0))))*ROUND(Paramètres!$B$49*B64^Paramètres!$B$50,0),0)</f>
        <v>11772</v>
      </c>
      <c r="S64" s="29" t="n">
        <f aca="false" t="array" ref="S64:S64">ROUND(IF(E64="Normal",J64*INDEX(Zones!$O$6:$O$35,MATCH(F64,Zones!$A$6:$A$35,0)),IF(E64="Boss",((Paramètres!$B$41-1)*Paramètres!$B$39+Paramètres!$B$42)*INDEX(Zones!$O$6:$O$35,MATCH(F64,Zones!$A$6:$A$35,0))+INDEX(Zones!$R$6:$R$35,MATCH(F64,Zones!$A$6:$A$35,0)),INDEX(Zones!$R$6:$R$35,MATCH(F64,Zones!$A$6:$A$35,0))))*ROUND(Paramètres!$B$53*B64^Paramètres!$B$54,0),0)</f>
        <v>8856</v>
      </c>
      <c r="T64" s="22" t="str">
        <f aca="false">IF(E64="Boss",G64,"—")</f>
        <v>—</v>
      </c>
      <c r="U64" s="37" t="n">
        <f aca="false">IF(E64="Dragon",0,(J64-IF(E64="Boss",1,0))*AVERAGEIFS(Monstres!$AL$7:$AL$98,Monstres!$B$7:$B$98,F64,Monstres!$G$7:$G$98,"Non"))</f>
        <v>0</v>
      </c>
      <c r="V64" s="74" t="n">
        <f aca="false">IF(E64="Boss",Butin!$E$10,IF(E64="Dragon",Butin!$E$11,0))</f>
        <v>2.5</v>
      </c>
      <c r="W64" s="37" t="n">
        <f aca="false">U64+V64</f>
        <v>2.5</v>
      </c>
      <c r="X64" s="77" t="n">
        <f aca="false">U64*INDEX(Butin!$E$15:$K$24,MATCH($A64,Éléments!$C$5:$C$14,1),1)+V64*IF(E64="Boss",INDEX(Butin!$E$28:$K$37,MATCH($A64,Éléments!$C$5:$C$14,1),1),IF(E64="Dragon",INDEX(Butin!$E$41:$K$50,MATCH($A64,Éléments!$C$5:$C$14,1),1),0))</f>
        <v>0.05</v>
      </c>
      <c r="Y64" s="77" t="n">
        <f aca="false">U64*INDEX(Butin!$E$15:$K$24,MATCH($A64,Éléments!$C$5:$C$14,1),2)+V64*IF(E64="Boss",INDEX(Butin!$E$28:$K$37,MATCH($A64,Éléments!$C$5:$C$14,1),2),IF(E64="Dragon",INDEX(Butin!$E$41:$K$50,MATCH($A64,Éléments!$C$5:$C$14,1),2),0))</f>
        <v>0.325</v>
      </c>
      <c r="Z64" s="77" t="n">
        <f aca="false">U64*INDEX(Butin!$E$15:$K$24,MATCH($A64,Éléments!$C$5:$C$14,1),3)+V64*IF(E64="Boss",INDEX(Butin!$E$28:$K$37,MATCH($A64,Éléments!$C$5:$C$14,1),3),IF(E64="Dragon",INDEX(Butin!$E$41:$K$50,MATCH($A64,Éléments!$C$5:$C$14,1),3),0))</f>
        <v>0.65</v>
      </c>
      <c r="AA64" s="77" t="n">
        <f aca="false">U64*INDEX(Butin!$E$15:$K$24,MATCH($A64,Éléments!$C$5:$C$14,1),4)+V64*IF(E64="Boss",INDEX(Butin!$E$28:$K$37,MATCH($A64,Éléments!$C$5:$C$14,1),4),IF(E64="Dragon",INDEX(Butin!$E$41:$K$50,MATCH($A64,Éléments!$C$5:$C$14,1),4),0))</f>
        <v>0.75</v>
      </c>
      <c r="AB64" s="77" t="n">
        <f aca="false">U64*INDEX(Butin!$E$15:$K$24,MATCH($A64,Éléments!$C$5:$C$14,1),5)+V64*IF(E64="Boss",INDEX(Butin!$E$28:$K$37,MATCH($A64,Éléments!$C$5:$C$14,1),5),IF(E64="Dragon",INDEX(Butin!$E$41:$K$50,MATCH($A64,Éléments!$C$5:$C$14,1),5),0))</f>
        <v>0.425</v>
      </c>
      <c r="AC64" s="77" t="n">
        <f aca="false">U64*INDEX(Butin!$E$15:$K$24,MATCH($A64,Éléments!$C$5:$C$14,1),6)+V64*IF(E64="Boss",INDEX(Butin!$E$28:$K$37,MATCH($A64,Éléments!$C$5:$C$14,1),6),IF(E64="Dragon",INDEX(Butin!$E$41:$K$50,MATCH($A64,Éléments!$C$5:$C$14,1),6),0))</f>
        <v>0.125</v>
      </c>
      <c r="AD64" s="77" t="n">
        <f aca="false">U64*INDEX(Butin!$E$15:$K$24,MATCH($A64,Éléments!$C$5:$C$14,1),7)+V64*IF(E64="Boss",INDEX(Butin!$E$28:$K$37,MATCH($A64,Éléments!$C$5:$C$14,1),7),IF(E64="Dragon",INDEX(Butin!$E$41:$K$50,MATCH($A64,Éléments!$C$5:$C$14,1),7),0))</f>
        <v>0.175</v>
      </c>
    </row>
    <row r="65" customFormat="false" ht="15.75" hidden="false" customHeight="true" outlineLevel="0" collapsed="false">
      <c r="A65" s="71" t="n">
        <v>60</v>
      </c>
      <c r="B65" s="23" t="n">
        <f aca="false">A65</f>
        <v>60</v>
      </c>
      <c r="C65" s="23" t="str">
        <f aca="false" t="array" ref="C65:C65">INDEX(Éléments!$B$5:$B$14,MATCH(A65,Éléments!$C$5:$C$14,1))</f>
        <v>Océan / Île</v>
      </c>
      <c r="D65" s="45" t="str">
        <f aca="false" t="array" ref="D65:D65">INDEX(Éléments!$A$5:$A$14,MATCH(A65,Éléments!$C$5:$C$14,1))</f>
        <v>Eau</v>
      </c>
      <c r="E65" s="23" t="str">
        <f aca="false">IF(MOD(A65,5)=0,"Boss",IF(MOD(A65,10)=9,"Dragon","Normal"))</f>
        <v>Boss</v>
      </c>
      <c r="F65" s="23" t="n">
        <f aca="false">IF(E65="Normal",5*ROUNDUP(A65/5,0),A65)</f>
        <v>60</v>
      </c>
      <c r="G65" s="22" t="str">
        <f aca="false" t="array" ref="G65:G65">INDEX(Zones!$B$6:$B$35,MATCH(F65,Zones!$A$6:$A$35,0))</f>
        <v>Palais des Atlantes</v>
      </c>
      <c r="H65" s="22" t="str">
        <f aca="false" t="array" ref="H65:H65">IF(E65="Normal","—",INDEX(Zones!$L$6:$L$35,MATCH(F65,Zones!$A$6:$A$35,0)))</f>
        <v>Roi triton</v>
      </c>
      <c r="I65" s="27" t="n">
        <f aca="false">IF(E65="Normal",Paramètres!$B$40,IF(E65="Boss",Paramètres!$B$41,1))</f>
        <v>5</v>
      </c>
      <c r="J65" s="27" t="n">
        <f aca="false">IF(E65="Normal",Paramètres!$B$40*Paramètres!$B$39,IF(E65="Boss",(Paramètres!$B$41-1)*Paramètres!$B$39+Paramètres!$B$42+1,1))</f>
        <v>15</v>
      </c>
      <c r="K65" s="33" t="n">
        <f aca="false" t="array" ref="K65:K65">IF(E65="Normal",Paramètres!$B$40*Paramètres!$B$39*(INDEX(Zones!$M$6:$M$35,MATCH(F65,Zones!$A$6:$A$35,0))*(1-Paramètres!$B$46)),IF(E65="Boss",((Paramètres!$B$41-1)*Paramètres!$B$39+Paramètres!$B$42)*(INDEX(Zones!$M$6:$M$35,MATCH(F65,Zones!$A$6:$A$35,0))*(1-Paramètres!$B$46))+INDEX(Zones!$P$6:$P$35,MATCH(F65,Zones!$A$6:$A$35,0)),INDEX(Zones!$P$6:$P$35,MATCH(F65,Zones!$A$6:$A$35,0))))</f>
        <v>32.35</v>
      </c>
      <c r="L65" s="27" t="n">
        <f aca="false">K65*Paramètres!$B$45+I65*Paramètres!$B$47</f>
        <v>181.75</v>
      </c>
      <c r="M65" s="30" t="n">
        <f aca="false" t="array" ref="M65:M65">IF(E65="Dragon",0,(INDEX(Zones!$N$6:$N$35,MATCH(F65,Zones!$A$6:$A$35,0))*Paramètres!$B$34*(INDEX(Zones!$M$6:$M$35,MATCH(F65,Zones!$A$6:$A$35,0))*(1-Paramètres!$B$46))*Paramètres!$B$39*(Paramètres!$B$39+1)/2))</f>
        <v>0.11330075</v>
      </c>
      <c r="N65" s="30" t="n">
        <f aca="false" t="array" ref="N65:N65">IF(E65="Normal",0,IF(E65="Dragon",INDEX(Zones!$Q$6:$Q$35,MATCH(F65,Zones!$A$6:$A$35,0))*Paramètres!$B$34*INDEX(Zones!$P$6:$P$35,MATCH(F65,Zones!$A$6:$A$35,0)),INDEX(Zones!$Q$6:$Q$35,MATCH(F65,Zones!$A$6:$A$35,0))*Paramètres!$B$34*(INDEX(Zones!$P$6:$P$35,MATCH(F65,Zones!$A$6:$A$35,0))+Paramètres!$B$42*(INDEX(Zones!$M$6:$M$35,MATCH(F65,Zones!$A$6:$A$35,0))*(1-Paramètres!$B$46)))+INDEX(Zones!$N$6:$N$35,MATCH(F65,Zones!$A$6:$A$35,0))*Paramètres!$B$34*(INDEX(Zones!$M$6:$M$35,MATCH(F65,Zones!$A$6:$A$35,0))*(1-Paramètres!$B$46))*(Paramètres!$B$42*(Paramètres!$B$42+1)/2)))</f>
        <v>0.476125375</v>
      </c>
      <c r="O65" s="75" t="n">
        <f aca="false">MAX(M65,N65)</f>
        <v>0.476125375</v>
      </c>
      <c r="P65" s="36" t="n">
        <f aca="false">IF(E65="Normal",M65*Paramètres!$B$40,IF(E65="Boss",M65*(Paramètres!$B$41-1)+N65,N65))</f>
        <v>0.929328375</v>
      </c>
      <c r="Q65" s="76" t="str">
        <f aca="false">IF(O65&gt;Paramètres!$B$37,"Trop dur","OK")</f>
        <v>OK</v>
      </c>
      <c r="R65" s="29" t="n">
        <f aca="false" t="array" ref="R65:R65">ROUND(IF(E65="Normal",J65*INDEX(Zones!$O$6:$O$35,MATCH(F65,Zones!$A$6:$A$35,0)),IF(E65="Boss",((Paramètres!$B$41-1)*Paramètres!$B$39+Paramètres!$B$42)*INDEX(Zones!$O$6:$O$35,MATCH(F65,Zones!$A$6:$A$35,0))+INDEX(Zones!$R$6:$R$35,MATCH(F65,Zones!$A$6:$A$35,0)),INDEX(Zones!$R$6:$R$35,MATCH(F65,Zones!$A$6:$A$35,0))))*ROUND(Paramètres!$B$49*B65^Paramètres!$B$50,0),0)</f>
        <v>22044</v>
      </c>
      <c r="S65" s="29" t="n">
        <f aca="false" t="array" ref="S65:S65">ROUND(IF(E65="Normal",J65*INDEX(Zones!$O$6:$O$35,MATCH(F65,Zones!$A$6:$A$35,0)),IF(E65="Boss",((Paramètres!$B$41-1)*Paramètres!$B$39+Paramètres!$B$42)*INDEX(Zones!$O$6:$O$35,MATCH(F65,Zones!$A$6:$A$35,0))+INDEX(Zones!$R$6:$R$35,MATCH(F65,Zones!$A$6:$A$35,0)),INDEX(Zones!$R$6:$R$35,MATCH(F65,Zones!$A$6:$A$35,0))))*ROUND(Paramètres!$B$53*B65^Paramètres!$B$54,0),0)</f>
        <v>16588</v>
      </c>
      <c r="T65" s="22" t="str">
        <f aca="false">IF(E65="Boss",G65,"—")</f>
        <v>Palais des Atlantes</v>
      </c>
      <c r="U65" s="37" t="n">
        <f aca="false">IF(E65="Dragon",0,(J65-IF(E65="Boss",1,0))*AVERAGEIFS(Monstres!$AL$7:$AL$98,Monstres!$B$7:$B$98,F65,Monstres!$G$7:$G$98,"Non"))</f>
        <v>0.7</v>
      </c>
      <c r="V65" s="74" t="n">
        <f aca="false">IF(E65="Boss",Butin!$E$10,IF(E65="Dragon",Butin!$E$11,0))</f>
        <v>1.4</v>
      </c>
      <c r="W65" s="37" t="n">
        <f aca="false">U65+V65</f>
        <v>2.1</v>
      </c>
      <c r="X65" s="77" t="n">
        <f aca="false">U65*INDEX(Butin!$E$15:$K$24,MATCH($A65,Éléments!$C$5:$C$14,1),1)+V65*IF(E65="Boss",INDEX(Butin!$E$28:$K$37,MATCH($A65,Éléments!$C$5:$C$14,1),1),IF(E65="Dragon",INDEX(Butin!$E$41:$K$50,MATCH($A65,Éléments!$C$5:$C$14,1),1),0))</f>
        <v>0.259</v>
      </c>
      <c r="Y65" s="77" t="n">
        <f aca="false">U65*INDEX(Butin!$E$15:$K$24,MATCH($A65,Éléments!$C$5:$C$14,1),2)+V65*IF(E65="Boss",INDEX(Butin!$E$28:$K$37,MATCH($A65,Éléments!$C$5:$C$14,1),2),IF(E65="Dragon",INDEX(Butin!$E$41:$K$50,MATCH($A65,Éléments!$C$5:$C$14,1),2),0))</f>
        <v>0.448</v>
      </c>
      <c r="Z65" s="77" t="n">
        <f aca="false">U65*INDEX(Butin!$E$15:$K$24,MATCH($A65,Éléments!$C$5:$C$14,1),3)+V65*IF(E65="Boss",INDEX(Butin!$E$28:$K$37,MATCH($A65,Éléments!$C$5:$C$14,1),3),IF(E65="Dragon",INDEX(Butin!$E$41:$K$50,MATCH($A65,Éléments!$C$5:$C$14,1),3),0))</f>
        <v>0.581</v>
      </c>
      <c r="AA65" s="77" t="n">
        <f aca="false">U65*INDEX(Butin!$E$15:$K$24,MATCH($A65,Éléments!$C$5:$C$14,1),4)+V65*IF(E65="Boss",INDEX(Butin!$E$28:$K$37,MATCH($A65,Éléments!$C$5:$C$14,1),4),IF(E65="Dragon",INDEX(Butin!$E$41:$K$50,MATCH($A65,Éléments!$C$5:$C$14,1),4),0))</f>
        <v>0.4536</v>
      </c>
      <c r="AB65" s="77" t="n">
        <f aca="false">U65*INDEX(Butin!$E$15:$K$24,MATCH($A65,Éléments!$C$5:$C$14,1),5)+V65*IF(E65="Boss",INDEX(Butin!$E$28:$K$37,MATCH($A65,Éléments!$C$5:$C$14,1),5),IF(E65="Dragon",INDEX(Butin!$E$41:$K$50,MATCH($A65,Éléments!$C$5:$C$14,1),5),0))</f>
        <v>0.2275</v>
      </c>
      <c r="AC65" s="77" t="n">
        <f aca="false">U65*INDEX(Butin!$E$15:$K$24,MATCH($A65,Éléments!$C$5:$C$14,1),6)+V65*IF(E65="Boss",INDEX(Butin!$E$28:$K$37,MATCH($A65,Éléments!$C$5:$C$14,1),6),IF(E65="Dragon",INDEX(Butin!$E$41:$K$50,MATCH($A65,Éléments!$C$5:$C$14,1),6),0))</f>
        <v>0.0595</v>
      </c>
      <c r="AD65" s="77" t="n">
        <f aca="false">U65*INDEX(Butin!$E$15:$K$24,MATCH($A65,Éléments!$C$5:$C$14,1),7)+V65*IF(E65="Boss",INDEX(Butin!$E$28:$K$37,MATCH($A65,Éléments!$C$5:$C$14,1),7),IF(E65="Dragon",INDEX(Butin!$E$41:$K$50,MATCH($A65,Éléments!$C$5:$C$14,1),7),0))</f>
        <v>0.0714</v>
      </c>
    </row>
    <row r="66" customFormat="false" ht="15.75" hidden="false" customHeight="true" outlineLevel="0" collapsed="false">
      <c r="A66" s="71" t="n">
        <v>61</v>
      </c>
      <c r="B66" s="23" t="n">
        <f aca="false">A66</f>
        <v>61</v>
      </c>
      <c r="C66" s="23" t="str">
        <f aca="false" t="array" ref="C66:C66">INDEX(Éléments!$B$5:$B$14,MATCH(A66,Éléments!$C$5:$C$14,1))</f>
        <v>Iceberg</v>
      </c>
      <c r="D66" s="46" t="str">
        <f aca="false" t="array" ref="D66:D66">INDEX(Éléments!$A$5:$A$14,MATCH(A66,Éléments!$C$5:$C$14,1))</f>
        <v>Glace</v>
      </c>
      <c r="E66" s="23" t="str">
        <f aca="false">IF(MOD(A66,5)=0,"Boss",IF(MOD(A66,10)=9,"Dragon","Normal"))</f>
        <v>Normal</v>
      </c>
      <c r="F66" s="23" t="n">
        <f aca="false">IF(E66="Normal",5*ROUNDUP(A66/5,0),A66)</f>
        <v>65</v>
      </c>
      <c r="G66" s="22" t="str">
        <f aca="false" t="array" ref="G66:G66">INDEX(Zones!$B$6:$B$35,MATCH(F66,Zones!$A$6:$A$35,0))</f>
        <v>Plaine enneigée</v>
      </c>
      <c r="H66" s="22" t="str">
        <f aca="false" t="array" ref="H66:H66">IF(E66="Normal","—",INDEX(Zones!$L$6:$L$35,MATCH(F66,Zones!$A$6:$A$35,0)))</f>
        <v>—</v>
      </c>
      <c r="I66" s="27" t="n">
        <f aca="false">IF(E66="Normal",Paramètres!$B$40,IF(E66="Boss",Paramètres!$B$41,1))</f>
        <v>3</v>
      </c>
      <c r="J66" s="23" t="n">
        <f aca="false">IF(E66="Normal",Paramètres!$B$40*Paramètres!$B$39,IF(E66="Boss",(Paramètres!$B$41-1)*Paramètres!$B$39+Paramètres!$B$42+1,1))</f>
        <v>9</v>
      </c>
      <c r="K66" s="33" t="n">
        <f aca="false" t="array" ref="K66:K66">IF(E66="Normal",Paramètres!$B$40*Paramètres!$B$39*(INDEX(Zones!$M$6:$M$35,MATCH(F66,Zones!$A$6:$A$35,0))*(1-Paramètres!$B$46)),IF(E66="Boss",((Paramètres!$B$41-1)*Paramètres!$B$39+Paramètres!$B$42)*(INDEX(Zones!$M$6:$M$35,MATCH(F66,Zones!$A$6:$A$35,0))*(1-Paramètres!$B$46))+INDEX(Zones!$P$6:$P$35,MATCH(F66,Zones!$A$6:$A$35,0)),INDEX(Zones!$P$6:$P$35,MATCH(F66,Zones!$A$6:$A$35,0))))</f>
        <v>20.475</v>
      </c>
      <c r="L66" s="27" t="n">
        <f aca="false">K66*Paramètres!$B$45+I66*Paramètres!$B$47</f>
        <v>114.375</v>
      </c>
      <c r="M66" s="30" t="n">
        <f aca="false" t="array" ref="M66:M66">IF(E66="Dragon",0,(INDEX(Zones!$N$6:$N$35,MATCH(F66,Zones!$A$6:$A$35,0))*Paramètres!$B$34*(INDEX(Zones!$M$6:$M$35,MATCH(F66,Zones!$A$6:$A$35,0))*(1-Paramètres!$B$46))*Paramètres!$B$39*(Paramètres!$B$39+1)/2))</f>
        <v>0.1864135</v>
      </c>
      <c r="N66" s="30" t="n">
        <f aca="false" t="array" ref="N66:N66">IF(E66="Normal",0,IF(E66="Dragon",INDEX(Zones!$Q$6:$Q$35,MATCH(F66,Zones!$A$6:$A$35,0))*Paramètres!$B$34*INDEX(Zones!$P$6:$P$35,MATCH(F66,Zones!$A$6:$A$35,0)),INDEX(Zones!$Q$6:$Q$35,MATCH(F66,Zones!$A$6:$A$35,0))*Paramètres!$B$34*(INDEX(Zones!$P$6:$P$35,MATCH(F66,Zones!$A$6:$A$35,0))+Paramètres!$B$42*(INDEX(Zones!$M$6:$M$35,MATCH(F66,Zones!$A$6:$A$35,0))*(1-Paramètres!$B$46)))+INDEX(Zones!$N$6:$N$35,MATCH(F66,Zones!$A$6:$A$35,0))*Paramètres!$B$34*(INDEX(Zones!$M$6:$M$35,MATCH(F66,Zones!$A$6:$A$35,0))*(1-Paramètres!$B$46))*(Paramètres!$B$42*(Paramètres!$B$42+1)/2)))</f>
        <v>0</v>
      </c>
      <c r="O66" s="75" t="n">
        <f aca="false">MAX(M66,N66)</f>
        <v>0.1864135</v>
      </c>
      <c r="P66" s="36" t="n">
        <f aca="false">IF(E66="Normal",M66*Paramètres!$B$40,IF(E66="Boss",M66*(Paramètres!$B$41-1)+N66,N66))</f>
        <v>0.5592405</v>
      </c>
      <c r="Q66" s="76" t="str">
        <f aca="false">IF(O66&gt;Paramètres!$B$37,"Trop dur","OK")</f>
        <v>OK</v>
      </c>
      <c r="R66" s="29" t="n">
        <f aca="false" t="array" ref="R66:R66">ROUND(IF(E66="Normal",J66*INDEX(Zones!$O$6:$O$35,MATCH(F66,Zones!$A$6:$A$35,0)),IF(E66="Boss",((Paramètres!$B$41-1)*Paramètres!$B$39+Paramètres!$B$42)*INDEX(Zones!$O$6:$O$35,MATCH(F66,Zones!$A$6:$A$35,0))+INDEX(Zones!$R$6:$R$35,MATCH(F66,Zones!$A$6:$A$35,0)),INDEX(Zones!$R$6:$R$35,MATCH(F66,Zones!$A$6:$A$35,0))))*ROUND(Paramètres!$B$49*B66^Paramètres!$B$50,0),0)</f>
        <v>10435</v>
      </c>
      <c r="S66" s="29" t="n">
        <f aca="false" t="array" ref="S66:S66">ROUND(IF(E66="Normal",J66*INDEX(Zones!$O$6:$O$35,MATCH(F66,Zones!$A$6:$A$35,0)),IF(E66="Boss",((Paramètres!$B$41-1)*Paramètres!$B$39+Paramètres!$B$42)*INDEX(Zones!$O$6:$O$35,MATCH(F66,Zones!$A$6:$A$35,0))+INDEX(Zones!$R$6:$R$35,MATCH(F66,Zones!$A$6:$A$35,0)),INDEX(Zones!$R$6:$R$35,MATCH(F66,Zones!$A$6:$A$35,0))))*ROUND(Paramètres!$B$53*B66^Paramètres!$B$54,0),0)</f>
        <v>7864</v>
      </c>
      <c r="T66" s="22" t="str">
        <f aca="false">IF(E66="Boss",G66,"—")</f>
        <v>—</v>
      </c>
      <c r="U66" s="37" t="n">
        <f aca="false">IF(E66="Dragon",0,(J66-IF(E66="Boss",1,0))*AVERAGEIFS(Monstres!$AL$7:$AL$98,Monstres!$B$7:$B$98,F66,Monstres!$G$7:$G$98,"Non"))</f>
        <v>0.54</v>
      </c>
      <c r="V66" s="74" t="n">
        <f aca="false">IF(E66="Boss",Butin!$E$10,IF(E66="Dragon",Butin!$E$11,0))</f>
        <v>0</v>
      </c>
      <c r="W66" s="37" t="n">
        <f aca="false">U66+V66</f>
        <v>0.54</v>
      </c>
      <c r="X66" s="77" t="n">
        <f aca="false">U66*INDEX(Butin!$E$15:$K$24,MATCH($A66,Éléments!$C$5:$C$14,1),1)+V66*IF(E66="Boss",INDEX(Butin!$E$28:$K$37,MATCH($A66,Éléments!$C$5:$C$14,1),1),IF(E66="Dragon",INDEX(Butin!$E$41:$K$50,MATCH($A66,Éléments!$C$5:$C$14,1),1),0))</f>
        <v>0.1134</v>
      </c>
      <c r="Y66" s="77" t="n">
        <f aca="false">U66*INDEX(Butin!$E$15:$K$24,MATCH($A66,Éléments!$C$5:$C$14,1),2)+V66*IF(E66="Boss",INDEX(Butin!$E$28:$K$37,MATCH($A66,Éléments!$C$5:$C$14,1),2),IF(E66="Dragon",INDEX(Butin!$E$41:$K$50,MATCH($A66,Éléments!$C$5:$C$14,1),2),0))</f>
        <v>0.1512</v>
      </c>
      <c r="Z66" s="77" t="n">
        <f aca="false">U66*INDEX(Butin!$E$15:$K$24,MATCH($A66,Éléments!$C$5:$C$14,1),3)+V66*IF(E66="Boss",INDEX(Butin!$E$28:$K$37,MATCH($A66,Éléments!$C$5:$C$14,1),3),IF(E66="Dragon",INDEX(Butin!$E$41:$K$50,MATCH($A66,Éléments!$C$5:$C$14,1),3),0))</f>
        <v>0.1458</v>
      </c>
      <c r="AA66" s="77" t="n">
        <f aca="false">U66*INDEX(Butin!$E$15:$K$24,MATCH($A66,Éléments!$C$5:$C$14,1),4)+V66*IF(E66="Boss",INDEX(Butin!$E$28:$K$37,MATCH($A66,Éléments!$C$5:$C$14,1),4),IF(E66="Dragon",INDEX(Butin!$E$41:$K$50,MATCH($A66,Éléments!$C$5:$C$14,1),4),0))</f>
        <v>0.0864</v>
      </c>
      <c r="AB66" s="77" t="n">
        <f aca="false">U66*INDEX(Butin!$E$15:$K$24,MATCH($A66,Éléments!$C$5:$C$14,1),5)+V66*IF(E66="Boss",INDEX(Butin!$E$28:$K$37,MATCH($A66,Éléments!$C$5:$C$14,1),5),IF(E66="Dragon",INDEX(Butin!$E$41:$K$50,MATCH($A66,Éléments!$C$5:$C$14,1),5),0))</f>
        <v>0.0351</v>
      </c>
      <c r="AC66" s="77" t="n">
        <f aca="false">U66*INDEX(Butin!$E$15:$K$24,MATCH($A66,Éléments!$C$5:$C$14,1),6)+V66*IF(E66="Boss",INDEX(Butin!$E$28:$K$37,MATCH($A66,Éléments!$C$5:$C$14,1),6),IF(E66="Dragon",INDEX(Butin!$E$41:$K$50,MATCH($A66,Éléments!$C$5:$C$14,1),6),0))</f>
        <v>0.00648</v>
      </c>
      <c r="AD66" s="77" t="n">
        <f aca="false">U66*INDEX(Butin!$E$15:$K$24,MATCH($A66,Éléments!$C$5:$C$14,1),7)+V66*IF(E66="Boss",INDEX(Butin!$E$28:$K$37,MATCH($A66,Éléments!$C$5:$C$14,1),7),IF(E66="Dragon",INDEX(Butin!$E$41:$K$50,MATCH($A66,Éléments!$C$5:$C$14,1),7),0))</f>
        <v>0.00162</v>
      </c>
    </row>
    <row r="67" customFormat="false" ht="15.75" hidden="false" customHeight="true" outlineLevel="0" collapsed="false">
      <c r="A67" s="71" t="n">
        <v>62</v>
      </c>
      <c r="B67" s="23" t="n">
        <f aca="false">A67</f>
        <v>62</v>
      </c>
      <c r="C67" s="23" t="str">
        <f aca="false" t="array" ref="C67:C67">INDEX(Éléments!$B$5:$B$14,MATCH(A67,Éléments!$C$5:$C$14,1))</f>
        <v>Iceberg</v>
      </c>
      <c r="D67" s="46" t="str">
        <f aca="false" t="array" ref="D67:D67">INDEX(Éléments!$A$5:$A$14,MATCH(A67,Éléments!$C$5:$C$14,1))</f>
        <v>Glace</v>
      </c>
      <c r="E67" s="23" t="str">
        <f aca="false">IF(MOD(A67,5)=0,"Boss",IF(MOD(A67,10)=9,"Dragon","Normal"))</f>
        <v>Normal</v>
      </c>
      <c r="F67" s="23" t="n">
        <f aca="false">IF(E67="Normal",5*ROUNDUP(A67/5,0),A67)</f>
        <v>65</v>
      </c>
      <c r="G67" s="22" t="str">
        <f aca="false" t="array" ref="G67:G67">INDEX(Zones!$B$6:$B$35,MATCH(F67,Zones!$A$6:$A$35,0))</f>
        <v>Plaine enneigée</v>
      </c>
      <c r="H67" s="22" t="str">
        <f aca="false" t="array" ref="H67:H67">IF(E67="Normal","—",INDEX(Zones!$L$6:$L$35,MATCH(F67,Zones!$A$6:$A$35,0)))</f>
        <v>—</v>
      </c>
      <c r="I67" s="27" t="n">
        <f aca="false">IF(E67="Normal",Paramètres!$B$40,IF(E67="Boss",Paramètres!$B$41,1))</f>
        <v>3</v>
      </c>
      <c r="J67" s="23" t="n">
        <f aca="false">IF(E67="Normal",Paramètres!$B$40*Paramètres!$B$39,IF(E67="Boss",(Paramètres!$B$41-1)*Paramètres!$B$39+Paramètres!$B$42+1,1))</f>
        <v>9</v>
      </c>
      <c r="K67" s="33" t="n">
        <f aca="false" t="array" ref="K67:K67">IF(E67="Normal",Paramètres!$B$40*Paramètres!$B$39*(INDEX(Zones!$M$6:$M$35,MATCH(F67,Zones!$A$6:$A$35,0))*(1-Paramètres!$B$46)),IF(E67="Boss",((Paramètres!$B$41-1)*Paramètres!$B$39+Paramètres!$B$42)*(INDEX(Zones!$M$6:$M$35,MATCH(F67,Zones!$A$6:$A$35,0))*(1-Paramètres!$B$46))+INDEX(Zones!$P$6:$P$35,MATCH(F67,Zones!$A$6:$A$35,0)),INDEX(Zones!$P$6:$P$35,MATCH(F67,Zones!$A$6:$A$35,0))))</f>
        <v>20.475</v>
      </c>
      <c r="L67" s="27" t="n">
        <f aca="false">K67*Paramètres!$B$45+I67*Paramètres!$B$47</f>
        <v>114.375</v>
      </c>
      <c r="M67" s="30" t="n">
        <f aca="false" t="array" ref="M67:M67">IF(E67="Dragon",0,(INDEX(Zones!$N$6:$N$35,MATCH(F67,Zones!$A$6:$A$35,0))*Paramètres!$B$34*(INDEX(Zones!$M$6:$M$35,MATCH(F67,Zones!$A$6:$A$35,0))*(1-Paramètres!$B$46))*Paramètres!$B$39*(Paramètres!$B$39+1)/2))</f>
        <v>0.1864135</v>
      </c>
      <c r="N67" s="30" t="n">
        <f aca="false" t="array" ref="N67:N67">IF(E67="Normal",0,IF(E67="Dragon",INDEX(Zones!$Q$6:$Q$35,MATCH(F67,Zones!$A$6:$A$35,0))*Paramètres!$B$34*INDEX(Zones!$P$6:$P$35,MATCH(F67,Zones!$A$6:$A$35,0)),INDEX(Zones!$Q$6:$Q$35,MATCH(F67,Zones!$A$6:$A$35,0))*Paramètres!$B$34*(INDEX(Zones!$P$6:$P$35,MATCH(F67,Zones!$A$6:$A$35,0))+Paramètres!$B$42*(INDEX(Zones!$M$6:$M$35,MATCH(F67,Zones!$A$6:$A$35,0))*(1-Paramètres!$B$46)))+INDEX(Zones!$N$6:$N$35,MATCH(F67,Zones!$A$6:$A$35,0))*Paramètres!$B$34*(INDEX(Zones!$M$6:$M$35,MATCH(F67,Zones!$A$6:$A$35,0))*(1-Paramètres!$B$46))*(Paramètres!$B$42*(Paramètres!$B$42+1)/2)))</f>
        <v>0</v>
      </c>
      <c r="O67" s="75" t="n">
        <f aca="false">MAX(M67,N67)</f>
        <v>0.1864135</v>
      </c>
      <c r="P67" s="36" t="n">
        <f aca="false">IF(E67="Normal",M67*Paramètres!$B$40,IF(E67="Boss",M67*(Paramètres!$B$41-1)+N67,N67))</f>
        <v>0.5592405</v>
      </c>
      <c r="Q67" s="76" t="str">
        <f aca="false">IF(O67&gt;Paramètres!$B$37,"Trop dur","OK")</f>
        <v>OK</v>
      </c>
      <c r="R67" s="29" t="n">
        <f aca="false" t="array" ref="R67:R67">ROUND(IF(E67="Normal",J67*INDEX(Zones!$O$6:$O$35,MATCH(F67,Zones!$A$6:$A$35,0)),IF(E67="Boss",((Paramètres!$B$41-1)*Paramètres!$B$39+Paramètres!$B$42)*INDEX(Zones!$O$6:$O$35,MATCH(F67,Zones!$A$6:$A$35,0))+INDEX(Zones!$R$6:$R$35,MATCH(F67,Zones!$A$6:$A$35,0)),INDEX(Zones!$R$6:$R$35,MATCH(F67,Zones!$A$6:$A$35,0))))*ROUND(Paramètres!$B$49*B67^Paramètres!$B$50,0),0)</f>
        <v>10649</v>
      </c>
      <c r="S67" s="29" t="n">
        <f aca="false" t="array" ref="S67:S67">ROUND(IF(E67="Normal",J67*INDEX(Zones!$O$6:$O$35,MATCH(F67,Zones!$A$6:$A$35,0)),IF(E67="Boss",((Paramètres!$B$41-1)*Paramètres!$B$39+Paramètres!$B$42)*INDEX(Zones!$O$6:$O$35,MATCH(F67,Zones!$A$6:$A$35,0))+INDEX(Zones!$R$6:$R$35,MATCH(F67,Zones!$A$6:$A$35,0)),INDEX(Zones!$R$6:$R$35,MATCH(F67,Zones!$A$6:$A$35,0))))*ROUND(Paramètres!$B$53*B67^Paramètres!$B$54,0),0)</f>
        <v>8048</v>
      </c>
      <c r="T67" s="22" t="str">
        <f aca="false">IF(E67="Boss",G67,"—")</f>
        <v>—</v>
      </c>
      <c r="U67" s="37" t="n">
        <f aca="false">IF(E67="Dragon",0,(J67-IF(E67="Boss",1,0))*AVERAGEIFS(Monstres!$AL$7:$AL$98,Monstres!$B$7:$B$98,F67,Monstres!$G$7:$G$98,"Non"))</f>
        <v>0.54</v>
      </c>
      <c r="V67" s="74" t="n">
        <f aca="false">IF(E67="Boss",Butin!$E$10,IF(E67="Dragon",Butin!$E$11,0))</f>
        <v>0</v>
      </c>
      <c r="W67" s="37" t="n">
        <f aca="false">U67+V67</f>
        <v>0.54</v>
      </c>
      <c r="X67" s="77" t="n">
        <f aca="false">U67*INDEX(Butin!$E$15:$K$24,MATCH($A67,Éléments!$C$5:$C$14,1),1)+V67*IF(E67="Boss",INDEX(Butin!$E$28:$K$37,MATCH($A67,Éléments!$C$5:$C$14,1),1),IF(E67="Dragon",INDEX(Butin!$E$41:$K$50,MATCH($A67,Éléments!$C$5:$C$14,1),1),0))</f>
        <v>0.1134</v>
      </c>
      <c r="Y67" s="77" t="n">
        <f aca="false">U67*INDEX(Butin!$E$15:$K$24,MATCH($A67,Éléments!$C$5:$C$14,1),2)+V67*IF(E67="Boss",INDEX(Butin!$E$28:$K$37,MATCH($A67,Éléments!$C$5:$C$14,1),2),IF(E67="Dragon",INDEX(Butin!$E$41:$K$50,MATCH($A67,Éléments!$C$5:$C$14,1),2),0))</f>
        <v>0.1512</v>
      </c>
      <c r="Z67" s="77" t="n">
        <f aca="false">U67*INDEX(Butin!$E$15:$K$24,MATCH($A67,Éléments!$C$5:$C$14,1),3)+V67*IF(E67="Boss",INDEX(Butin!$E$28:$K$37,MATCH($A67,Éléments!$C$5:$C$14,1),3),IF(E67="Dragon",INDEX(Butin!$E$41:$K$50,MATCH($A67,Éléments!$C$5:$C$14,1),3),0))</f>
        <v>0.1458</v>
      </c>
      <c r="AA67" s="77" t="n">
        <f aca="false">U67*INDEX(Butin!$E$15:$K$24,MATCH($A67,Éléments!$C$5:$C$14,1),4)+V67*IF(E67="Boss",INDEX(Butin!$E$28:$K$37,MATCH($A67,Éléments!$C$5:$C$14,1),4),IF(E67="Dragon",INDEX(Butin!$E$41:$K$50,MATCH($A67,Éléments!$C$5:$C$14,1),4),0))</f>
        <v>0.0864</v>
      </c>
      <c r="AB67" s="77" t="n">
        <f aca="false">U67*INDEX(Butin!$E$15:$K$24,MATCH($A67,Éléments!$C$5:$C$14,1),5)+V67*IF(E67="Boss",INDEX(Butin!$E$28:$K$37,MATCH($A67,Éléments!$C$5:$C$14,1),5),IF(E67="Dragon",INDEX(Butin!$E$41:$K$50,MATCH($A67,Éléments!$C$5:$C$14,1),5),0))</f>
        <v>0.0351</v>
      </c>
      <c r="AC67" s="77" t="n">
        <f aca="false">U67*INDEX(Butin!$E$15:$K$24,MATCH($A67,Éléments!$C$5:$C$14,1),6)+V67*IF(E67="Boss",INDEX(Butin!$E$28:$K$37,MATCH($A67,Éléments!$C$5:$C$14,1),6),IF(E67="Dragon",INDEX(Butin!$E$41:$K$50,MATCH($A67,Éléments!$C$5:$C$14,1),6),0))</f>
        <v>0.00648</v>
      </c>
      <c r="AD67" s="77" t="n">
        <f aca="false">U67*INDEX(Butin!$E$15:$K$24,MATCH($A67,Éléments!$C$5:$C$14,1),7)+V67*IF(E67="Boss",INDEX(Butin!$E$28:$K$37,MATCH($A67,Éléments!$C$5:$C$14,1),7),IF(E67="Dragon",INDEX(Butin!$E$41:$K$50,MATCH($A67,Éléments!$C$5:$C$14,1),7),0))</f>
        <v>0.00162</v>
      </c>
    </row>
    <row r="68" customFormat="false" ht="15.75" hidden="false" customHeight="true" outlineLevel="0" collapsed="false">
      <c r="A68" s="71" t="n">
        <v>63</v>
      </c>
      <c r="B68" s="23" t="n">
        <f aca="false">A68</f>
        <v>63</v>
      </c>
      <c r="C68" s="23" t="str">
        <f aca="false" t="array" ref="C68:C68">INDEX(Éléments!$B$5:$B$14,MATCH(A68,Éléments!$C$5:$C$14,1))</f>
        <v>Iceberg</v>
      </c>
      <c r="D68" s="46" t="str">
        <f aca="false" t="array" ref="D68:D68">INDEX(Éléments!$A$5:$A$14,MATCH(A68,Éléments!$C$5:$C$14,1))</f>
        <v>Glace</v>
      </c>
      <c r="E68" s="23" t="str">
        <f aca="false">IF(MOD(A68,5)=0,"Boss",IF(MOD(A68,10)=9,"Dragon","Normal"))</f>
        <v>Normal</v>
      </c>
      <c r="F68" s="23" t="n">
        <f aca="false">IF(E68="Normal",5*ROUNDUP(A68/5,0),A68)</f>
        <v>65</v>
      </c>
      <c r="G68" s="22" t="str">
        <f aca="false" t="array" ref="G68:G68">INDEX(Zones!$B$6:$B$35,MATCH(F68,Zones!$A$6:$A$35,0))</f>
        <v>Plaine enneigée</v>
      </c>
      <c r="H68" s="22" t="str">
        <f aca="false" t="array" ref="H68:H68">IF(E68="Normal","—",INDEX(Zones!$L$6:$L$35,MATCH(F68,Zones!$A$6:$A$35,0)))</f>
        <v>—</v>
      </c>
      <c r="I68" s="27" t="n">
        <f aca="false">IF(E68="Normal",Paramètres!$B$40,IF(E68="Boss",Paramètres!$B$41,1))</f>
        <v>3</v>
      </c>
      <c r="J68" s="23" t="n">
        <f aca="false">IF(E68="Normal",Paramètres!$B$40*Paramètres!$B$39,IF(E68="Boss",(Paramètres!$B$41-1)*Paramètres!$B$39+Paramètres!$B$42+1,1))</f>
        <v>9</v>
      </c>
      <c r="K68" s="33" t="n">
        <f aca="false" t="array" ref="K68:K68">IF(E68="Normal",Paramètres!$B$40*Paramètres!$B$39*(INDEX(Zones!$M$6:$M$35,MATCH(F68,Zones!$A$6:$A$35,0))*(1-Paramètres!$B$46)),IF(E68="Boss",((Paramètres!$B$41-1)*Paramètres!$B$39+Paramètres!$B$42)*(INDEX(Zones!$M$6:$M$35,MATCH(F68,Zones!$A$6:$A$35,0))*(1-Paramètres!$B$46))+INDEX(Zones!$P$6:$P$35,MATCH(F68,Zones!$A$6:$A$35,0)),INDEX(Zones!$P$6:$P$35,MATCH(F68,Zones!$A$6:$A$35,0))))</f>
        <v>20.475</v>
      </c>
      <c r="L68" s="27" t="n">
        <f aca="false">K68*Paramètres!$B$45+I68*Paramètres!$B$47</f>
        <v>114.375</v>
      </c>
      <c r="M68" s="30" t="n">
        <f aca="false" t="array" ref="M68:M68">IF(E68="Dragon",0,(INDEX(Zones!$N$6:$N$35,MATCH(F68,Zones!$A$6:$A$35,0))*Paramètres!$B$34*(INDEX(Zones!$M$6:$M$35,MATCH(F68,Zones!$A$6:$A$35,0))*(1-Paramètres!$B$46))*Paramètres!$B$39*(Paramètres!$B$39+1)/2))</f>
        <v>0.1864135</v>
      </c>
      <c r="N68" s="30" t="n">
        <f aca="false" t="array" ref="N68:N68">IF(E68="Normal",0,IF(E68="Dragon",INDEX(Zones!$Q$6:$Q$35,MATCH(F68,Zones!$A$6:$A$35,0))*Paramètres!$B$34*INDEX(Zones!$P$6:$P$35,MATCH(F68,Zones!$A$6:$A$35,0)),INDEX(Zones!$Q$6:$Q$35,MATCH(F68,Zones!$A$6:$A$35,0))*Paramètres!$B$34*(INDEX(Zones!$P$6:$P$35,MATCH(F68,Zones!$A$6:$A$35,0))+Paramètres!$B$42*(INDEX(Zones!$M$6:$M$35,MATCH(F68,Zones!$A$6:$A$35,0))*(1-Paramètres!$B$46)))+INDEX(Zones!$N$6:$N$35,MATCH(F68,Zones!$A$6:$A$35,0))*Paramètres!$B$34*(INDEX(Zones!$M$6:$M$35,MATCH(F68,Zones!$A$6:$A$35,0))*(1-Paramètres!$B$46))*(Paramètres!$B$42*(Paramètres!$B$42+1)/2)))</f>
        <v>0</v>
      </c>
      <c r="O68" s="75" t="n">
        <f aca="false">MAX(M68,N68)</f>
        <v>0.1864135</v>
      </c>
      <c r="P68" s="36" t="n">
        <f aca="false">IF(E68="Normal",M68*Paramètres!$B$40,IF(E68="Boss",M68*(Paramètres!$B$41-1)+N68,N68))</f>
        <v>0.5592405</v>
      </c>
      <c r="Q68" s="76" t="str">
        <f aca="false">IF(O68&gt;Paramètres!$B$37,"Trop dur","OK")</f>
        <v>OK</v>
      </c>
      <c r="R68" s="29" t="n">
        <f aca="false" t="array" ref="R68:R68">ROUND(IF(E68="Normal",J68*INDEX(Zones!$O$6:$O$35,MATCH(F68,Zones!$A$6:$A$35,0)),IF(E68="Boss",((Paramètres!$B$41-1)*Paramètres!$B$39+Paramètres!$B$42)*INDEX(Zones!$O$6:$O$35,MATCH(F68,Zones!$A$6:$A$35,0))+INDEX(Zones!$R$6:$R$35,MATCH(F68,Zones!$A$6:$A$35,0)),INDEX(Zones!$R$6:$R$35,MATCH(F68,Zones!$A$6:$A$35,0))))*ROUND(Paramètres!$B$49*B68^Paramètres!$B$50,0),0)</f>
        <v>10863</v>
      </c>
      <c r="S68" s="29" t="n">
        <f aca="false" t="array" ref="S68:S68">ROUND(IF(E68="Normal",J68*INDEX(Zones!$O$6:$O$35,MATCH(F68,Zones!$A$6:$A$35,0)),IF(E68="Boss",((Paramètres!$B$41-1)*Paramètres!$B$39+Paramètres!$B$42)*INDEX(Zones!$O$6:$O$35,MATCH(F68,Zones!$A$6:$A$35,0))+INDEX(Zones!$R$6:$R$35,MATCH(F68,Zones!$A$6:$A$35,0)),INDEX(Zones!$R$6:$R$35,MATCH(F68,Zones!$A$6:$A$35,0))))*ROUND(Paramètres!$B$53*B68^Paramètres!$B$54,0),0)</f>
        <v>8221</v>
      </c>
      <c r="T68" s="22" t="str">
        <f aca="false">IF(E68="Boss",G68,"—")</f>
        <v>—</v>
      </c>
      <c r="U68" s="37" t="n">
        <f aca="false">IF(E68="Dragon",0,(J68-IF(E68="Boss",1,0))*AVERAGEIFS(Monstres!$AL$7:$AL$98,Monstres!$B$7:$B$98,F68,Monstres!$G$7:$G$98,"Non"))</f>
        <v>0.54</v>
      </c>
      <c r="V68" s="74" t="n">
        <f aca="false">IF(E68="Boss",Butin!$E$10,IF(E68="Dragon",Butin!$E$11,0))</f>
        <v>0</v>
      </c>
      <c r="W68" s="37" t="n">
        <f aca="false">U68+V68</f>
        <v>0.54</v>
      </c>
      <c r="X68" s="77" t="n">
        <f aca="false">U68*INDEX(Butin!$E$15:$K$24,MATCH($A68,Éléments!$C$5:$C$14,1),1)+V68*IF(E68="Boss",INDEX(Butin!$E$28:$K$37,MATCH($A68,Éléments!$C$5:$C$14,1),1),IF(E68="Dragon",INDEX(Butin!$E$41:$K$50,MATCH($A68,Éléments!$C$5:$C$14,1),1),0))</f>
        <v>0.1134</v>
      </c>
      <c r="Y68" s="77" t="n">
        <f aca="false">U68*INDEX(Butin!$E$15:$K$24,MATCH($A68,Éléments!$C$5:$C$14,1),2)+V68*IF(E68="Boss",INDEX(Butin!$E$28:$K$37,MATCH($A68,Éléments!$C$5:$C$14,1),2),IF(E68="Dragon",INDEX(Butin!$E$41:$K$50,MATCH($A68,Éléments!$C$5:$C$14,1),2),0))</f>
        <v>0.1512</v>
      </c>
      <c r="Z68" s="77" t="n">
        <f aca="false">U68*INDEX(Butin!$E$15:$K$24,MATCH($A68,Éléments!$C$5:$C$14,1),3)+V68*IF(E68="Boss",INDEX(Butin!$E$28:$K$37,MATCH($A68,Éléments!$C$5:$C$14,1),3),IF(E68="Dragon",INDEX(Butin!$E$41:$K$50,MATCH($A68,Éléments!$C$5:$C$14,1),3),0))</f>
        <v>0.1458</v>
      </c>
      <c r="AA68" s="77" t="n">
        <f aca="false">U68*INDEX(Butin!$E$15:$K$24,MATCH($A68,Éléments!$C$5:$C$14,1),4)+V68*IF(E68="Boss",INDEX(Butin!$E$28:$K$37,MATCH($A68,Éléments!$C$5:$C$14,1),4),IF(E68="Dragon",INDEX(Butin!$E$41:$K$50,MATCH($A68,Éléments!$C$5:$C$14,1),4),0))</f>
        <v>0.0864</v>
      </c>
      <c r="AB68" s="77" t="n">
        <f aca="false">U68*INDEX(Butin!$E$15:$K$24,MATCH($A68,Éléments!$C$5:$C$14,1),5)+V68*IF(E68="Boss",INDEX(Butin!$E$28:$K$37,MATCH($A68,Éléments!$C$5:$C$14,1),5),IF(E68="Dragon",INDEX(Butin!$E$41:$K$50,MATCH($A68,Éléments!$C$5:$C$14,1),5),0))</f>
        <v>0.0351</v>
      </c>
      <c r="AC68" s="77" t="n">
        <f aca="false">U68*INDEX(Butin!$E$15:$K$24,MATCH($A68,Éléments!$C$5:$C$14,1),6)+V68*IF(E68="Boss",INDEX(Butin!$E$28:$K$37,MATCH($A68,Éléments!$C$5:$C$14,1),6),IF(E68="Dragon",INDEX(Butin!$E$41:$K$50,MATCH($A68,Éléments!$C$5:$C$14,1),6),0))</f>
        <v>0.00648</v>
      </c>
      <c r="AD68" s="77" t="n">
        <f aca="false">U68*INDEX(Butin!$E$15:$K$24,MATCH($A68,Éléments!$C$5:$C$14,1),7)+V68*IF(E68="Boss",INDEX(Butin!$E$28:$K$37,MATCH($A68,Éléments!$C$5:$C$14,1),7),IF(E68="Dragon",INDEX(Butin!$E$41:$K$50,MATCH($A68,Éléments!$C$5:$C$14,1),7),0))</f>
        <v>0.00162</v>
      </c>
    </row>
    <row r="69" customFormat="false" ht="15.75" hidden="false" customHeight="true" outlineLevel="0" collapsed="false">
      <c r="A69" s="71" t="n">
        <v>64</v>
      </c>
      <c r="B69" s="23" t="n">
        <f aca="false">A69</f>
        <v>64</v>
      </c>
      <c r="C69" s="23" t="str">
        <f aca="false" t="array" ref="C69:C69">INDEX(Éléments!$B$5:$B$14,MATCH(A69,Éléments!$C$5:$C$14,1))</f>
        <v>Iceberg</v>
      </c>
      <c r="D69" s="46" t="str">
        <f aca="false" t="array" ref="D69:D69">INDEX(Éléments!$A$5:$A$14,MATCH(A69,Éléments!$C$5:$C$14,1))</f>
        <v>Glace</v>
      </c>
      <c r="E69" s="23" t="str">
        <f aca="false">IF(MOD(A69,5)=0,"Boss",IF(MOD(A69,10)=9,"Dragon","Normal"))</f>
        <v>Normal</v>
      </c>
      <c r="F69" s="23" t="n">
        <f aca="false">IF(E69="Normal",5*ROUNDUP(A69/5,0),A69)</f>
        <v>65</v>
      </c>
      <c r="G69" s="22" t="str">
        <f aca="false" t="array" ref="G69:G69">INDEX(Zones!$B$6:$B$35,MATCH(F69,Zones!$A$6:$A$35,0))</f>
        <v>Plaine enneigée</v>
      </c>
      <c r="H69" s="22" t="str">
        <f aca="false" t="array" ref="H69:H69">IF(E69="Normal","—",INDEX(Zones!$L$6:$L$35,MATCH(F69,Zones!$A$6:$A$35,0)))</f>
        <v>—</v>
      </c>
      <c r="I69" s="27" t="n">
        <f aca="false">IF(E69="Normal",Paramètres!$B$40,IF(E69="Boss",Paramètres!$B$41,1))</f>
        <v>3</v>
      </c>
      <c r="J69" s="23" t="n">
        <f aca="false">IF(E69="Normal",Paramètres!$B$40*Paramètres!$B$39,IF(E69="Boss",(Paramètres!$B$41-1)*Paramètres!$B$39+Paramètres!$B$42+1,1))</f>
        <v>9</v>
      </c>
      <c r="K69" s="33" t="n">
        <f aca="false" t="array" ref="K69:K69">IF(E69="Normal",Paramètres!$B$40*Paramètres!$B$39*(INDEX(Zones!$M$6:$M$35,MATCH(F69,Zones!$A$6:$A$35,0))*(1-Paramètres!$B$46)),IF(E69="Boss",((Paramètres!$B$41-1)*Paramètres!$B$39+Paramètres!$B$42)*(INDEX(Zones!$M$6:$M$35,MATCH(F69,Zones!$A$6:$A$35,0))*(1-Paramètres!$B$46))+INDEX(Zones!$P$6:$P$35,MATCH(F69,Zones!$A$6:$A$35,0)),INDEX(Zones!$P$6:$P$35,MATCH(F69,Zones!$A$6:$A$35,0))))</f>
        <v>20.475</v>
      </c>
      <c r="L69" s="27" t="n">
        <f aca="false">K69*Paramètres!$B$45+I69*Paramètres!$B$47</f>
        <v>114.375</v>
      </c>
      <c r="M69" s="30" t="n">
        <f aca="false" t="array" ref="M69:M69">IF(E69="Dragon",0,(INDEX(Zones!$N$6:$N$35,MATCH(F69,Zones!$A$6:$A$35,0))*Paramètres!$B$34*(INDEX(Zones!$M$6:$M$35,MATCH(F69,Zones!$A$6:$A$35,0))*(1-Paramètres!$B$46))*Paramètres!$B$39*(Paramètres!$B$39+1)/2))</f>
        <v>0.1864135</v>
      </c>
      <c r="N69" s="30" t="n">
        <f aca="false" t="array" ref="N69:N69">IF(E69="Normal",0,IF(E69="Dragon",INDEX(Zones!$Q$6:$Q$35,MATCH(F69,Zones!$A$6:$A$35,0))*Paramètres!$B$34*INDEX(Zones!$P$6:$P$35,MATCH(F69,Zones!$A$6:$A$35,0)),INDEX(Zones!$Q$6:$Q$35,MATCH(F69,Zones!$A$6:$A$35,0))*Paramètres!$B$34*(INDEX(Zones!$P$6:$P$35,MATCH(F69,Zones!$A$6:$A$35,0))+Paramètres!$B$42*(INDEX(Zones!$M$6:$M$35,MATCH(F69,Zones!$A$6:$A$35,0))*(1-Paramètres!$B$46)))+INDEX(Zones!$N$6:$N$35,MATCH(F69,Zones!$A$6:$A$35,0))*Paramètres!$B$34*(INDEX(Zones!$M$6:$M$35,MATCH(F69,Zones!$A$6:$A$35,0))*(1-Paramètres!$B$46))*(Paramètres!$B$42*(Paramètres!$B$42+1)/2)))</f>
        <v>0</v>
      </c>
      <c r="O69" s="75" t="n">
        <f aca="false">MAX(M69,N69)</f>
        <v>0.1864135</v>
      </c>
      <c r="P69" s="36" t="n">
        <f aca="false">IF(E69="Normal",M69*Paramètres!$B$40,IF(E69="Boss",M69*(Paramètres!$B$41-1)+N69,N69))</f>
        <v>0.5592405</v>
      </c>
      <c r="Q69" s="76" t="str">
        <f aca="false">IF(O69&gt;Paramètres!$B$37,"Trop dur","OK")</f>
        <v>OK</v>
      </c>
      <c r="R69" s="29" t="n">
        <f aca="false" t="array" ref="R69:R69">ROUND(IF(E69="Normal",J69*INDEX(Zones!$O$6:$O$35,MATCH(F69,Zones!$A$6:$A$35,0)),IF(E69="Boss",((Paramètres!$B$41-1)*Paramètres!$B$39+Paramètres!$B$42)*INDEX(Zones!$O$6:$O$35,MATCH(F69,Zones!$A$6:$A$35,0))+INDEX(Zones!$R$6:$R$35,MATCH(F69,Zones!$A$6:$A$35,0)),INDEX(Zones!$R$6:$R$35,MATCH(F69,Zones!$A$6:$A$35,0))))*ROUND(Paramètres!$B$49*B69^Paramètres!$B$50,0),0)</f>
        <v>11077</v>
      </c>
      <c r="S69" s="29" t="n">
        <f aca="false" t="array" ref="S69:S69">ROUND(IF(E69="Normal",J69*INDEX(Zones!$O$6:$O$35,MATCH(F69,Zones!$A$6:$A$35,0)),IF(E69="Boss",((Paramètres!$B$41-1)*Paramètres!$B$39+Paramètres!$B$42)*INDEX(Zones!$O$6:$O$35,MATCH(F69,Zones!$A$6:$A$35,0))+INDEX(Zones!$R$6:$R$35,MATCH(F69,Zones!$A$6:$A$35,0)),INDEX(Zones!$R$6:$R$35,MATCH(F69,Zones!$A$6:$A$35,0))))*ROUND(Paramètres!$B$53*B69^Paramètres!$B$54,0),0)</f>
        <v>8395</v>
      </c>
      <c r="T69" s="22" t="str">
        <f aca="false">IF(E69="Boss",G69,"—")</f>
        <v>—</v>
      </c>
      <c r="U69" s="37" t="n">
        <f aca="false">IF(E69="Dragon",0,(J69-IF(E69="Boss",1,0))*AVERAGEIFS(Monstres!$AL$7:$AL$98,Monstres!$B$7:$B$98,F69,Monstres!$G$7:$G$98,"Non"))</f>
        <v>0.54</v>
      </c>
      <c r="V69" s="74" t="n">
        <f aca="false">IF(E69="Boss",Butin!$E$10,IF(E69="Dragon",Butin!$E$11,0))</f>
        <v>0</v>
      </c>
      <c r="W69" s="37" t="n">
        <f aca="false">U69+V69</f>
        <v>0.54</v>
      </c>
      <c r="X69" s="77" t="n">
        <f aca="false">U69*INDEX(Butin!$E$15:$K$24,MATCH($A69,Éléments!$C$5:$C$14,1),1)+V69*IF(E69="Boss",INDEX(Butin!$E$28:$K$37,MATCH($A69,Éléments!$C$5:$C$14,1),1),IF(E69="Dragon",INDEX(Butin!$E$41:$K$50,MATCH($A69,Éléments!$C$5:$C$14,1),1),0))</f>
        <v>0.1134</v>
      </c>
      <c r="Y69" s="77" t="n">
        <f aca="false">U69*INDEX(Butin!$E$15:$K$24,MATCH($A69,Éléments!$C$5:$C$14,1),2)+V69*IF(E69="Boss",INDEX(Butin!$E$28:$K$37,MATCH($A69,Éléments!$C$5:$C$14,1),2),IF(E69="Dragon",INDEX(Butin!$E$41:$K$50,MATCH($A69,Éléments!$C$5:$C$14,1),2),0))</f>
        <v>0.1512</v>
      </c>
      <c r="Z69" s="77" t="n">
        <f aca="false">U69*INDEX(Butin!$E$15:$K$24,MATCH($A69,Éléments!$C$5:$C$14,1),3)+V69*IF(E69="Boss",INDEX(Butin!$E$28:$K$37,MATCH($A69,Éléments!$C$5:$C$14,1),3),IF(E69="Dragon",INDEX(Butin!$E$41:$K$50,MATCH($A69,Éléments!$C$5:$C$14,1),3),0))</f>
        <v>0.1458</v>
      </c>
      <c r="AA69" s="77" t="n">
        <f aca="false">U69*INDEX(Butin!$E$15:$K$24,MATCH($A69,Éléments!$C$5:$C$14,1),4)+V69*IF(E69="Boss",INDEX(Butin!$E$28:$K$37,MATCH($A69,Éléments!$C$5:$C$14,1),4),IF(E69="Dragon",INDEX(Butin!$E$41:$K$50,MATCH($A69,Éléments!$C$5:$C$14,1),4),0))</f>
        <v>0.0864</v>
      </c>
      <c r="AB69" s="77" t="n">
        <f aca="false">U69*INDEX(Butin!$E$15:$K$24,MATCH($A69,Éléments!$C$5:$C$14,1),5)+V69*IF(E69="Boss",INDEX(Butin!$E$28:$K$37,MATCH($A69,Éléments!$C$5:$C$14,1),5),IF(E69="Dragon",INDEX(Butin!$E$41:$K$50,MATCH($A69,Éléments!$C$5:$C$14,1),5),0))</f>
        <v>0.0351</v>
      </c>
      <c r="AC69" s="77" t="n">
        <f aca="false">U69*INDEX(Butin!$E$15:$K$24,MATCH($A69,Éléments!$C$5:$C$14,1),6)+V69*IF(E69="Boss",INDEX(Butin!$E$28:$K$37,MATCH($A69,Éléments!$C$5:$C$14,1),6),IF(E69="Dragon",INDEX(Butin!$E$41:$K$50,MATCH($A69,Éléments!$C$5:$C$14,1),6),0))</f>
        <v>0.00648</v>
      </c>
      <c r="AD69" s="77" t="n">
        <f aca="false">U69*INDEX(Butin!$E$15:$K$24,MATCH($A69,Éléments!$C$5:$C$14,1),7)+V69*IF(E69="Boss",INDEX(Butin!$E$28:$K$37,MATCH($A69,Éléments!$C$5:$C$14,1),7),IF(E69="Dragon",INDEX(Butin!$E$41:$K$50,MATCH($A69,Éléments!$C$5:$C$14,1),7),0))</f>
        <v>0.00162</v>
      </c>
    </row>
    <row r="70" customFormat="false" ht="15.75" hidden="false" customHeight="true" outlineLevel="0" collapsed="false">
      <c r="A70" s="71" t="n">
        <v>65</v>
      </c>
      <c r="B70" s="23" t="n">
        <f aca="false">A70</f>
        <v>65</v>
      </c>
      <c r="C70" s="23" t="str">
        <f aca="false" t="array" ref="C70:C70">INDEX(Éléments!$B$5:$B$14,MATCH(A70,Éléments!$C$5:$C$14,1))</f>
        <v>Iceberg</v>
      </c>
      <c r="D70" s="46" t="str">
        <f aca="false" t="array" ref="D70:D70">INDEX(Éléments!$A$5:$A$14,MATCH(A70,Éléments!$C$5:$C$14,1))</f>
        <v>Glace</v>
      </c>
      <c r="E70" s="23" t="str">
        <f aca="false">IF(MOD(A70,5)=0,"Boss",IF(MOD(A70,10)=9,"Dragon","Normal"))</f>
        <v>Boss</v>
      </c>
      <c r="F70" s="23" t="n">
        <f aca="false">IF(E70="Normal",5*ROUNDUP(A70/5,0),A70)</f>
        <v>65</v>
      </c>
      <c r="G70" s="22" t="str">
        <f aca="false" t="array" ref="G70:G70">INDEX(Zones!$B$6:$B$35,MATCH(F70,Zones!$A$6:$A$35,0))</f>
        <v>Plaine enneigée</v>
      </c>
      <c r="H70" s="22" t="str">
        <f aca="false" t="array" ref="H70:H70">IF(E70="Normal","—",INDEX(Zones!$L$6:$L$35,MATCH(F70,Zones!$A$6:$A$35,0)))</f>
        <v>Yéti</v>
      </c>
      <c r="I70" s="27" t="n">
        <f aca="false">IF(E70="Normal",Paramètres!$B$40,IF(E70="Boss",Paramètres!$B$41,1))</f>
        <v>5</v>
      </c>
      <c r="J70" s="27" t="n">
        <f aca="false">IF(E70="Normal",Paramètres!$B$40*Paramètres!$B$39,IF(E70="Boss",(Paramètres!$B$41-1)*Paramètres!$B$39+Paramètres!$B$42+1,1))</f>
        <v>15</v>
      </c>
      <c r="K70" s="33" t="n">
        <f aca="false" t="array" ref="K70:K70">IF(E70="Normal",Paramètres!$B$40*Paramètres!$B$39*(INDEX(Zones!$M$6:$M$35,MATCH(F70,Zones!$A$6:$A$35,0))*(1-Paramètres!$B$46)),IF(E70="Boss",((Paramètres!$B$41-1)*Paramètres!$B$39+Paramètres!$B$42)*(INDEX(Zones!$M$6:$M$35,MATCH(F70,Zones!$A$6:$A$35,0))*(1-Paramètres!$B$46))+INDEX(Zones!$P$6:$P$35,MATCH(F70,Zones!$A$6:$A$35,0)),INDEX(Zones!$P$6:$P$35,MATCH(F70,Zones!$A$6:$A$35,0))))</f>
        <v>49.85</v>
      </c>
      <c r="L70" s="27" t="n">
        <f aca="false">K70*Paramètres!$B$45+I70*Paramètres!$B$47</f>
        <v>269.25</v>
      </c>
      <c r="M70" s="30" t="n">
        <f aca="false" t="array" ref="M70:M70">IF(E70="Dragon",0,(INDEX(Zones!$N$6:$N$35,MATCH(F70,Zones!$A$6:$A$35,0))*Paramètres!$B$34*(INDEX(Zones!$M$6:$M$35,MATCH(F70,Zones!$A$6:$A$35,0))*(1-Paramètres!$B$46))*Paramètres!$B$39*(Paramètres!$B$39+1)/2))</f>
        <v>0.1864135</v>
      </c>
      <c r="N70" s="30" t="n">
        <f aca="false" t="array" ref="N70:N70">IF(E70="Normal",0,IF(E70="Dragon",INDEX(Zones!$Q$6:$Q$35,MATCH(F70,Zones!$A$6:$A$35,0))*Paramètres!$B$34*INDEX(Zones!$P$6:$P$35,MATCH(F70,Zones!$A$6:$A$35,0)),INDEX(Zones!$Q$6:$Q$35,MATCH(F70,Zones!$A$6:$A$35,0))*Paramètres!$B$34*(INDEX(Zones!$P$6:$P$35,MATCH(F70,Zones!$A$6:$A$35,0))+Paramètres!$B$42*(INDEX(Zones!$M$6:$M$35,MATCH(F70,Zones!$A$6:$A$35,0))*(1-Paramètres!$B$46)))+INDEX(Zones!$N$6:$N$35,MATCH(F70,Zones!$A$6:$A$35,0))*Paramètres!$B$34*(INDEX(Zones!$M$6:$M$35,MATCH(F70,Zones!$A$6:$A$35,0))*(1-Paramètres!$B$46))*(Paramètres!$B$42*(Paramètres!$B$42+1)/2)))</f>
        <v>0.6394805</v>
      </c>
      <c r="O70" s="75" t="n">
        <f aca="false">MAX(M70,N70)</f>
        <v>0.6394805</v>
      </c>
      <c r="P70" s="36" t="n">
        <f aca="false">IF(E70="Normal",M70*Paramètres!$B$40,IF(E70="Boss",M70*(Paramètres!$B$41-1)+N70,N70))</f>
        <v>1.3851345</v>
      </c>
      <c r="Q70" s="76" t="str">
        <f aca="false">IF(O70&gt;Paramètres!$B$37,"Trop dur","OK")</f>
        <v>OK</v>
      </c>
      <c r="R70" s="29" t="n">
        <f aca="false" t="array" ref="R70:R70">ROUND(IF(E70="Normal",J70*INDEX(Zones!$O$6:$O$35,MATCH(F70,Zones!$A$6:$A$35,0)),IF(E70="Boss",((Paramètres!$B$41-1)*Paramètres!$B$39+Paramètres!$B$42)*INDEX(Zones!$O$6:$O$35,MATCH(F70,Zones!$A$6:$A$35,0))+INDEX(Zones!$R$6:$R$35,MATCH(F70,Zones!$A$6:$A$35,0)),INDEX(Zones!$R$6:$R$35,MATCH(F70,Zones!$A$6:$A$35,0))))*ROUND(Paramètres!$B$49*B70^Paramètres!$B$50,0),0)</f>
        <v>26420</v>
      </c>
      <c r="S70" s="29" t="n">
        <f aca="false" t="array" ref="S70:S70">ROUND(IF(E70="Normal",J70*INDEX(Zones!$O$6:$O$35,MATCH(F70,Zones!$A$6:$A$35,0)),IF(E70="Boss",((Paramètres!$B$41-1)*Paramètres!$B$39+Paramètres!$B$42)*INDEX(Zones!$O$6:$O$35,MATCH(F70,Zones!$A$6:$A$35,0))+INDEX(Zones!$R$6:$R$35,MATCH(F70,Zones!$A$6:$A$35,0)),INDEX(Zones!$R$6:$R$35,MATCH(F70,Zones!$A$6:$A$35,0))))*ROUND(Paramètres!$B$53*B70^Paramètres!$B$54,0),0)</f>
        <v>20072</v>
      </c>
      <c r="T70" s="22" t="str">
        <f aca="false">IF(E70="Boss",G70,"—")</f>
        <v>Plaine enneigée</v>
      </c>
      <c r="U70" s="37" t="n">
        <f aca="false">IF(E70="Dragon",0,(J70-IF(E70="Boss",1,0))*AVERAGEIFS(Monstres!$AL$7:$AL$98,Monstres!$B$7:$B$98,F70,Monstres!$G$7:$G$98,"Non"))</f>
        <v>0.84</v>
      </c>
      <c r="V70" s="74" t="n">
        <f aca="false">IF(E70="Boss",Butin!$E$10,IF(E70="Dragon",Butin!$E$11,0))</f>
        <v>1.4</v>
      </c>
      <c r="W70" s="37" t="n">
        <f aca="false">U70+V70</f>
        <v>2.24</v>
      </c>
      <c r="X70" s="77" t="n">
        <f aca="false">U70*INDEX(Butin!$E$15:$K$24,MATCH($A70,Éléments!$C$5:$C$14,1),1)+V70*IF(E70="Boss",INDEX(Butin!$E$28:$K$37,MATCH($A70,Éléments!$C$5:$C$14,1),1),IF(E70="Dragon",INDEX(Butin!$E$41:$K$50,MATCH($A70,Éléments!$C$5:$C$14,1),1),0))</f>
        <v>0.2184</v>
      </c>
      <c r="Y70" s="77" t="n">
        <f aca="false">U70*INDEX(Butin!$E$15:$K$24,MATCH($A70,Éléments!$C$5:$C$14,1),2)+V70*IF(E70="Boss",INDEX(Butin!$E$28:$K$37,MATCH($A70,Éléments!$C$5:$C$14,1),2),IF(E70="Dragon",INDEX(Butin!$E$41:$K$50,MATCH($A70,Éléments!$C$5:$C$14,1),2),0))</f>
        <v>0.4172</v>
      </c>
      <c r="Z70" s="77" t="n">
        <f aca="false">U70*INDEX(Butin!$E$15:$K$24,MATCH($A70,Éléments!$C$5:$C$14,1),3)+V70*IF(E70="Boss",INDEX(Butin!$E$28:$K$37,MATCH($A70,Éléments!$C$5:$C$14,1),3),IF(E70="Dragon",INDEX(Butin!$E$41:$K$50,MATCH($A70,Éléments!$C$5:$C$14,1),3),0))</f>
        <v>0.6048</v>
      </c>
      <c r="AA70" s="77" t="n">
        <f aca="false">U70*INDEX(Butin!$E$15:$K$24,MATCH($A70,Éléments!$C$5:$C$14,1),4)+V70*IF(E70="Boss",INDEX(Butin!$E$28:$K$37,MATCH($A70,Éléments!$C$5:$C$14,1),4),IF(E70="Dragon",INDEX(Butin!$E$41:$K$50,MATCH($A70,Éléments!$C$5:$C$14,1),4),0))</f>
        <v>0.5264</v>
      </c>
      <c r="AB70" s="77" t="n">
        <f aca="false">U70*INDEX(Butin!$E$15:$K$24,MATCH($A70,Éléments!$C$5:$C$14,1),5)+V70*IF(E70="Boss",INDEX(Butin!$E$28:$K$37,MATCH($A70,Éléments!$C$5:$C$14,1),5),IF(E70="Dragon",INDEX(Butin!$E$41:$K$50,MATCH($A70,Éléments!$C$5:$C$14,1),5),0))</f>
        <v>0.2996</v>
      </c>
      <c r="AC70" s="77" t="n">
        <f aca="false">U70*INDEX(Butin!$E$15:$K$24,MATCH($A70,Éléments!$C$5:$C$14,1),6)+V70*IF(E70="Boss",INDEX(Butin!$E$28:$K$37,MATCH($A70,Éléments!$C$5:$C$14,1),6),IF(E70="Dragon",INDEX(Butin!$E$41:$K$50,MATCH($A70,Éléments!$C$5:$C$14,1),6),0))</f>
        <v>0.09408</v>
      </c>
      <c r="AD70" s="77" t="n">
        <f aca="false">U70*INDEX(Butin!$E$15:$K$24,MATCH($A70,Éléments!$C$5:$C$14,1),7)+V70*IF(E70="Boss",INDEX(Butin!$E$28:$K$37,MATCH($A70,Éléments!$C$5:$C$14,1),7),IF(E70="Dragon",INDEX(Butin!$E$41:$K$50,MATCH($A70,Éléments!$C$5:$C$14,1),7),0))</f>
        <v>0.07952</v>
      </c>
    </row>
    <row r="71" customFormat="false" ht="15.75" hidden="false" customHeight="true" outlineLevel="0" collapsed="false">
      <c r="A71" s="71" t="n">
        <v>66</v>
      </c>
      <c r="B71" s="23" t="n">
        <f aca="false">A71</f>
        <v>66</v>
      </c>
      <c r="C71" s="23" t="str">
        <f aca="false" t="array" ref="C71:C71">INDEX(Éléments!$B$5:$B$14,MATCH(A71,Éléments!$C$5:$C$14,1))</f>
        <v>Iceberg</v>
      </c>
      <c r="D71" s="46" t="str">
        <f aca="false" t="array" ref="D71:D71">INDEX(Éléments!$A$5:$A$14,MATCH(A71,Éléments!$C$5:$C$14,1))</f>
        <v>Glace</v>
      </c>
      <c r="E71" s="23" t="str">
        <f aca="false">IF(MOD(A71,5)=0,"Boss",IF(MOD(A71,10)=9,"Dragon","Normal"))</f>
        <v>Normal</v>
      </c>
      <c r="F71" s="23" t="n">
        <f aca="false">IF(E71="Normal",5*ROUNDUP(A71/5,0),A71)</f>
        <v>70</v>
      </c>
      <c r="G71" s="22" t="str">
        <f aca="false" t="array" ref="G71:G71">INDEX(Zones!$B$6:$B$35,MATCH(F71,Zones!$A$6:$A$35,0))</f>
        <v>Palais des glaces</v>
      </c>
      <c r="H71" s="22" t="str">
        <f aca="false" t="array" ref="H71:H71">IF(E71="Normal","—",INDEX(Zones!$L$6:$L$35,MATCH(F71,Zones!$A$6:$A$35,0)))</f>
        <v>—</v>
      </c>
      <c r="I71" s="27" t="n">
        <f aca="false">IF(E71="Normal",Paramètres!$B$40,IF(E71="Boss",Paramètres!$B$41,1))</f>
        <v>3</v>
      </c>
      <c r="J71" s="23" t="n">
        <f aca="false">IF(E71="Normal",Paramètres!$B$40*Paramètres!$B$39,IF(E71="Boss",(Paramètres!$B$41-1)*Paramètres!$B$39+Paramètres!$B$42+1,1))</f>
        <v>9</v>
      </c>
      <c r="K71" s="33" t="n">
        <f aca="false" t="array" ref="K71:K71">IF(E71="Normal",Paramètres!$B$40*Paramètres!$B$39*(INDEX(Zones!$M$6:$M$35,MATCH(F71,Zones!$A$6:$A$35,0))*(1-Paramètres!$B$46)),IF(E71="Boss",((Paramètres!$B$41-1)*Paramètres!$B$39+Paramètres!$B$42)*(INDEX(Zones!$M$6:$M$35,MATCH(F71,Zones!$A$6:$A$35,0))*(1-Paramètres!$B$46))+INDEX(Zones!$P$6:$P$35,MATCH(F71,Zones!$A$6:$A$35,0)),INDEX(Zones!$P$6:$P$35,MATCH(F71,Zones!$A$6:$A$35,0))))</f>
        <v>11.475</v>
      </c>
      <c r="L71" s="27" t="n">
        <f aca="false">K71*Paramètres!$B$45+I71*Paramètres!$B$47</f>
        <v>69.375</v>
      </c>
      <c r="M71" s="30" t="n">
        <f aca="false" t="array" ref="M71:M71">IF(E71="Dragon",0,(INDEX(Zones!$N$6:$N$35,MATCH(F71,Zones!$A$6:$A$35,0))*Paramètres!$B$34*(INDEX(Zones!$M$6:$M$35,MATCH(F71,Zones!$A$6:$A$35,0))*(1-Paramètres!$B$46))*Paramètres!$B$39*(Paramètres!$B$39+1)/2))</f>
        <v>0.1110301875</v>
      </c>
      <c r="N71" s="30" t="n">
        <f aca="false" t="array" ref="N71:N71">IF(E71="Normal",0,IF(E71="Dragon",INDEX(Zones!$Q$6:$Q$35,MATCH(F71,Zones!$A$6:$A$35,0))*Paramètres!$B$34*INDEX(Zones!$P$6:$P$35,MATCH(F71,Zones!$A$6:$A$35,0)),INDEX(Zones!$Q$6:$Q$35,MATCH(F71,Zones!$A$6:$A$35,0))*Paramètres!$B$34*(INDEX(Zones!$P$6:$P$35,MATCH(F71,Zones!$A$6:$A$35,0))+Paramètres!$B$42*(INDEX(Zones!$M$6:$M$35,MATCH(F71,Zones!$A$6:$A$35,0))*(1-Paramètres!$B$46)))+INDEX(Zones!$N$6:$N$35,MATCH(F71,Zones!$A$6:$A$35,0))*Paramètres!$B$34*(INDEX(Zones!$M$6:$M$35,MATCH(F71,Zones!$A$6:$A$35,0))*(1-Paramètres!$B$46))*(Paramètres!$B$42*(Paramètres!$B$42+1)/2)))</f>
        <v>0</v>
      </c>
      <c r="O71" s="75" t="n">
        <f aca="false">MAX(M71,N71)</f>
        <v>0.1110301875</v>
      </c>
      <c r="P71" s="36" t="n">
        <f aca="false">IF(E71="Normal",M71*Paramètres!$B$40,IF(E71="Boss",M71*(Paramètres!$B$41-1)+N71,N71))</f>
        <v>0.3330905625</v>
      </c>
      <c r="Q71" s="76" t="str">
        <f aca="false">IF(O71&gt;Paramètres!$B$37,"Trop dur","OK")</f>
        <v>OK</v>
      </c>
      <c r="R71" s="29" t="n">
        <f aca="false" t="array" ref="R71:R71">ROUND(IF(E71="Normal",J71*INDEX(Zones!$O$6:$O$35,MATCH(F71,Zones!$A$6:$A$35,0)),IF(E71="Boss",((Paramètres!$B$41-1)*Paramètres!$B$39+Paramètres!$B$42)*INDEX(Zones!$O$6:$O$35,MATCH(F71,Zones!$A$6:$A$35,0))+INDEX(Zones!$R$6:$R$35,MATCH(F71,Zones!$A$6:$A$35,0)),INDEX(Zones!$R$6:$R$35,MATCH(F71,Zones!$A$6:$A$35,0))))*ROUND(Paramètres!$B$49*B71^Paramètres!$B$50,0),0)</f>
        <v>10161</v>
      </c>
      <c r="S71" s="29" t="n">
        <f aca="false" t="array" ref="S71:S71">ROUND(IF(E71="Normal",J71*INDEX(Zones!$O$6:$O$35,MATCH(F71,Zones!$A$6:$A$35,0)),IF(E71="Boss",((Paramètres!$B$41-1)*Paramètres!$B$39+Paramètres!$B$42)*INDEX(Zones!$O$6:$O$35,MATCH(F71,Zones!$A$6:$A$35,0))+INDEX(Zones!$R$6:$R$35,MATCH(F71,Zones!$A$6:$A$35,0)),INDEX(Zones!$R$6:$R$35,MATCH(F71,Zones!$A$6:$A$35,0))))*ROUND(Paramètres!$B$53*B71^Paramètres!$B$54,0),0)</f>
        <v>7722</v>
      </c>
      <c r="T71" s="22" t="str">
        <f aca="false">IF(E71="Boss",G71,"—")</f>
        <v>—</v>
      </c>
      <c r="U71" s="37" t="n">
        <f aca="false">IF(E71="Dragon",0,(J71-IF(E71="Boss",1,0))*AVERAGEIFS(Monstres!$AL$7:$AL$98,Monstres!$B$7:$B$98,F71,Monstres!$G$7:$G$98,"Non"))</f>
        <v>0.45</v>
      </c>
      <c r="V71" s="74" t="n">
        <f aca="false">IF(E71="Boss",Butin!$E$10,IF(E71="Dragon",Butin!$E$11,0))</f>
        <v>0</v>
      </c>
      <c r="W71" s="37" t="n">
        <f aca="false">U71+V71</f>
        <v>0.45</v>
      </c>
      <c r="X71" s="77" t="n">
        <f aca="false">U71*INDEX(Butin!$E$15:$K$24,MATCH($A71,Éléments!$C$5:$C$14,1),1)+V71*IF(E71="Boss",INDEX(Butin!$E$28:$K$37,MATCH($A71,Éléments!$C$5:$C$14,1),1),IF(E71="Dragon",INDEX(Butin!$E$41:$K$50,MATCH($A71,Éléments!$C$5:$C$14,1),1),0))</f>
        <v>0.0945</v>
      </c>
      <c r="Y71" s="77" t="n">
        <f aca="false">U71*INDEX(Butin!$E$15:$K$24,MATCH($A71,Éléments!$C$5:$C$14,1),2)+V71*IF(E71="Boss",INDEX(Butin!$E$28:$K$37,MATCH($A71,Éléments!$C$5:$C$14,1),2),IF(E71="Dragon",INDEX(Butin!$E$41:$K$50,MATCH($A71,Éléments!$C$5:$C$14,1),2),0))</f>
        <v>0.126</v>
      </c>
      <c r="Z71" s="77" t="n">
        <f aca="false">U71*INDEX(Butin!$E$15:$K$24,MATCH($A71,Éléments!$C$5:$C$14,1),3)+V71*IF(E71="Boss",INDEX(Butin!$E$28:$K$37,MATCH($A71,Éléments!$C$5:$C$14,1),3),IF(E71="Dragon",INDEX(Butin!$E$41:$K$50,MATCH($A71,Éléments!$C$5:$C$14,1),3),0))</f>
        <v>0.1215</v>
      </c>
      <c r="AA71" s="77" t="n">
        <f aca="false">U71*INDEX(Butin!$E$15:$K$24,MATCH($A71,Éléments!$C$5:$C$14,1),4)+V71*IF(E71="Boss",INDEX(Butin!$E$28:$K$37,MATCH($A71,Éléments!$C$5:$C$14,1),4),IF(E71="Dragon",INDEX(Butin!$E$41:$K$50,MATCH($A71,Éléments!$C$5:$C$14,1),4),0))</f>
        <v>0.072</v>
      </c>
      <c r="AB71" s="77" t="n">
        <f aca="false">U71*INDEX(Butin!$E$15:$K$24,MATCH($A71,Éléments!$C$5:$C$14,1),5)+V71*IF(E71="Boss",INDEX(Butin!$E$28:$K$37,MATCH($A71,Éléments!$C$5:$C$14,1),5),IF(E71="Dragon",INDEX(Butin!$E$41:$K$50,MATCH($A71,Éléments!$C$5:$C$14,1),5),0))</f>
        <v>0.02925</v>
      </c>
      <c r="AC71" s="77" t="n">
        <f aca="false">U71*INDEX(Butin!$E$15:$K$24,MATCH($A71,Éléments!$C$5:$C$14,1),6)+V71*IF(E71="Boss",INDEX(Butin!$E$28:$K$37,MATCH($A71,Éléments!$C$5:$C$14,1),6),IF(E71="Dragon",INDEX(Butin!$E$41:$K$50,MATCH($A71,Éléments!$C$5:$C$14,1),6),0))</f>
        <v>0.0054</v>
      </c>
      <c r="AD71" s="77" t="n">
        <f aca="false">U71*INDEX(Butin!$E$15:$K$24,MATCH($A71,Éléments!$C$5:$C$14,1),7)+V71*IF(E71="Boss",INDEX(Butin!$E$28:$K$37,MATCH($A71,Éléments!$C$5:$C$14,1),7),IF(E71="Dragon",INDEX(Butin!$E$41:$K$50,MATCH($A71,Éléments!$C$5:$C$14,1),7),0))</f>
        <v>0.00135</v>
      </c>
    </row>
    <row r="72" customFormat="false" ht="15.75" hidden="false" customHeight="true" outlineLevel="0" collapsed="false">
      <c r="A72" s="71" t="n">
        <v>67</v>
      </c>
      <c r="B72" s="23" t="n">
        <f aca="false">A72</f>
        <v>67</v>
      </c>
      <c r="C72" s="23" t="str">
        <f aca="false" t="array" ref="C72:C72">INDEX(Éléments!$B$5:$B$14,MATCH(A72,Éléments!$C$5:$C$14,1))</f>
        <v>Iceberg</v>
      </c>
      <c r="D72" s="46" t="str">
        <f aca="false" t="array" ref="D72:D72">INDEX(Éléments!$A$5:$A$14,MATCH(A72,Éléments!$C$5:$C$14,1))</f>
        <v>Glace</v>
      </c>
      <c r="E72" s="23" t="str">
        <f aca="false">IF(MOD(A72,5)=0,"Boss",IF(MOD(A72,10)=9,"Dragon","Normal"))</f>
        <v>Normal</v>
      </c>
      <c r="F72" s="23" t="n">
        <f aca="false">IF(E72="Normal",5*ROUNDUP(A72/5,0),A72)</f>
        <v>70</v>
      </c>
      <c r="G72" s="22" t="str">
        <f aca="false" t="array" ref="G72:G72">INDEX(Zones!$B$6:$B$35,MATCH(F72,Zones!$A$6:$A$35,0))</f>
        <v>Palais des glaces</v>
      </c>
      <c r="H72" s="22" t="str">
        <f aca="false" t="array" ref="H72:H72">IF(E72="Normal","—",INDEX(Zones!$L$6:$L$35,MATCH(F72,Zones!$A$6:$A$35,0)))</f>
        <v>—</v>
      </c>
      <c r="I72" s="27" t="n">
        <f aca="false">IF(E72="Normal",Paramètres!$B$40,IF(E72="Boss",Paramètres!$B$41,1))</f>
        <v>3</v>
      </c>
      <c r="J72" s="23" t="n">
        <f aca="false">IF(E72="Normal",Paramètres!$B$40*Paramètres!$B$39,IF(E72="Boss",(Paramètres!$B$41-1)*Paramètres!$B$39+Paramètres!$B$42+1,1))</f>
        <v>9</v>
      </c>
      <c r="K72" s="33" t="n">
        <f aca="false" t="array" ref="K72:K72">IF(E72="Normal",Paramètres!$B$40*Paramètres!$B$39*(INDEX(Zones!$M$6:$M$35,MATCH(F72,Zones!$A$6:$A$35,0))*(1-Paramètres!$B$46)),IF(E72="Boss",((Paramètres!$B$41-1)*Paramètres!$B$39+Paramètres!$B$42)*(INDEX(Zones!$M$6:$M$35,MATCH(F72,Zones!$A$6:$A$35,0))*(1-Paramètres!$B$46))+INDEX(Zones!$P$6:$P$35,MATCH(F72,Zones!$A$6:$A$35,0)),INDEX(Zones!$P$6:$P$35,MATCH(F72,Zones!$A$6:$A$35,0))))</f>
        <v>11.475</v>
      </c>
      <c r="L72" s="27" t="n">
        <f aca="false">K72*Paramètres!$B$45+I72*Paramètres!$B$47</f>
        <v>69.375</v>
      </c>
      <c r="M72" s="30" t="n">
        <f aca="false" t="array" ref="M72:M72">IF(E72="Dragon",0,(INDEX(Zones!$N$6:$N$35,MATCH(F72,Zones!$A$6:$A$35,0))*Paramètres!$B$34*(INDEX(Zones!$M$6:$M$35,MATCH(F72,Zones!$A$6:$A$35,0))*(1-Paramètres!$B$46))*Paramètres!$B$39*(Paramètres!$B$39+1)/2))</f>
        <v>0.1110301875</v>
      </c>
      <c r="N72" s="30" t="n">
        <f aca="false" t="array" ref="N72:N72">IF(E72="Normal",0,IF(E72="Dragon",INDEX(Zones!$Q$6:$Q$35,MATCH(F72,Zones!$A$6:$A$35,0))*Paramètres!$B$34*INDEX(Zones!$P$6:$P$35,MATCH(F72,Zones!$A$6:$A$35,0)),INDEX(Zones!$Q$6:$Q$35,MATCH(F72,Zones!$A$6:$A$35,0))*Paramètres!$B$34*(INDEX(Zones!$P$6:$P$35,MATCH(F72,Zones!$A$6:$A$35,0))+Paramètres!$B$42*(INDEX(Zones!$M$6:$M$35,MATCH(F72,Zones!$A$6:$A$35,0))*(1-Paramètres!$B$46)))+INDEX(Zones!$N$6:$N$35,MATCH(F72,Zones!$A$6:$A$35,0))*Paramètres!$B$34*(INDEX(Zones!$M$6:$M$35,MATCH(F72,Zones!$A$6:$A$35,0))*(1-Paramètres!$B$46))*(Paramètres!$B$42*(Paramètres!$B$42+1)/2)))</f>
        <v>0</v>
      </c>
      <c r="O72" s="75" t="n">
        <f aca="false">MAX(M72,N72)</f>
        <v>0.1110301875</v>
      </c>
      <c r="P72" s="36" t="n">
        <f aca="false">IF(E72="Normal",M72*Paramètres!$B$40,IF(E72="Boss",M72*(Paramètres!$B$41-1)+N72,N72))</f>
        <v>0.3330905625</v>
      </c>
      <c r="Q72" s="76" t="str">
        <f aca="false">IF(O72&gt;Paramètres!$B$37,"Trop dur","OK")</f>
        <v>OK</v>
      </c>
      <c r="R72" s="29" t="n">
        <f aca="false" t="array" ref="R72:R72">ROUND(IF(E72="Normal",J72*INDEX(Zones!$O$6:$O$35,MATCH(F72,Zones!$A$6:$A$35,0)),IF(E72="Boss",((Paramètres!$B$41-1)*Paramètres!$B$39+Paramètres!$B$42)*INDEX(Zones!$O$6:$O$35,MATCH(F72,Zones!$A$6:$A$35,0))+INDEX(Zones!$R$6:$R$35,MATCH(F72,Zones!$A$6:$A$35,0)),INDEX(Zones!$R$6:$R$35,MATCH(F72,Zones!$A$6:$A$35,0))))*ROUND(Paramètres!$B$49*B72^Paramètres!$B$50,0),0)</f>
        <v>10350</v>
      </c>
      <c r="S72" s="29" t="n">
        <f aca="false" t="array" ref="S72:S72">ROUND(IF(E72="Normal",J72*INDEX(Zones!$O$6:$O$35,MATCH(F72,Zones!$A$6:$A$35,0)),IF(E72="Boss",((Paramètres!$B$41-1)*Paramètres!$B$39+Paramètres!$B$42)*INDEX(Zones!$O$6:$O$35,MATCH(F72,Zones!$A$6:$A$35,0))+INDEX(Zones!$R$6:$R$35,MATCH(F72,Zones!$A$6:$A$35,0)),INDEX(Zones!$R$6:$R$35,MATCH(F72,Zones!$A$6:$A$35,0))))*ROUND(Paramètres!$B$53*B72^Paramètres!$B$54,0),0)</f>
        <v>7884</v>
      </c>
      <c r="T72" s="22" t="str">
        <f aca="false">IF(E72="Boss",G72,"—")</f>
        <v>—</v>
      </c>
      <c r="U72" s="37" t="n">
        <f aca="false">IF(E72="Dragon",0,(J72-IF(E72="Boss",1,0))*AVERAGEIFS(Monstres!$AL$7:$AL$98,Monstres!$B$7:$B$98,F72,Monstres!$G$7:$G$98,"Non"))</f>
        <v>0.45</v>
      </c>
      <c r="V72" s="74" t="n">
        <f aca="false">IF(E72="Boss",Butin!$E$10,IF(E72="Dragon",Butin!$E$11,0))</f>
        <v>0</v>
      </c>
      <c r="W72" s="37" t="n">
        <f aca="false">U72+V72</f>
        <v>0.45</v>
      </c>
      <c r="X72" s="77" t="n">
        <f aca="false">U72*INDEX(Butin!$E$15:$K$24,MATCH($A72,Éléments!$C$5:$C$14,1),1)+V72*IF(E72="Boss",INDEX(Butin!$E$28:$K$37,MATCH($A72,Éléments!$C$5:$C$14,1),1),IF(E72="Dragon",INDEX(Butin!$E$41:$K$50,MATCH($A72,Éléments!$C$5:$C$14,1),1),0))</f>
        <v>0.0945</v>
      </c>
      <c r="Y72" s="77" t="n">
        <f aca="false">U72*INDEX(Butin!$E$15:$K$24,MATCH($A72,Éléments!$C$5:$C$14,1),2)+V72*IF(E72="Boss",INDEX(Butin!$E$28:$K$37,MATCH($A72,Éléments!$C$5:$C$14,1),2),IF(E72="Dragon",INDEX(Butin!$E$41:$K$50,MATCH($A72,Éléments!$C$5:$C$14,1),2),0))</f>
        <v>0.126</v>
      </c>
      <c r="Z72" s="77" t="n">
        <f aca="false">U72*INDEX(Butin!$E$15:$K$24,MATCH($A72,Éléments!$C$5:$C$14,1),3)+V72*IF(E72="Boss",INDEX(Butin!$E$28:$K$37,MATCH($A72,Éléments!$C$5:$C$14,1),3),IF(E72="Dragon",INDEX(Butin!$E$41:$K$50,MATCH($A72,Éléments!$C$5:$C$14,1),3),0))</f>
        <v>0.1215</v>
      </c>
      <c r="AA72" s="77" t="n">
        <f aca="false">U72*INDEX(Butin!$E$15:$K$24,MATCH($A72,Éléments!$C$5:$C$14,1),4)+V72*IF(E72="Boss",INDEX(Butin!$E$28:$K$37,MATCH($A72,Éléments!$C$5:$C$14,1),4),IF(E72="Dragon",INDEX(Butin!$E$41:$K$50,MATCH($A72,Éléments!$C$5:$C$14,1),4),0))</f>
        <v>0.072</v>
      </c>
      <c r="AB72" s="77" t="n">
        <f aca="false">U72*INDEX(Butin!$E$15:$K$24,MATCH($A72,Éléments!$C$5:$C$14,1),5)+V72*IF(E72="Boss",INDEX(Butin!$E$28:$K$37,MATCH($A72,Éléments!$C$5:$C$14,1),5),IF(E72="Dragon",INDEX(Butin!$E$41:$K$50,MATCH($A72,Éléments!$C$5:$C$14,1),5),0))</f>
        <v>0.02925</v>
      </c>
      <c r="AC72" s="77" t="n">
        <f aca="false">U72*INDEX(Butin!$E$15:$K$24,MATCH($A72,Éléments!$C$5:$C$14,1),6)+V72*IF(E72="Boss",INDEX(Butin!$E$28:$K$37,MATCH($A72,Éléments!$C$5:$C$14,1),6),IF(E72="Dragon",INDEX(Butin!$E$41:$K$50,MATCH($A72,Éléments!$C$5:$C$14,1),6),0))</f>
        <v>0.0054</v>
      </c>
      <c r="AD72" s="77" t="n">
        <f aca="false">U72*INDEX(Butin!$E$15:$K$24,MATCH($A72,Éléments!$C$5:$C$14,1),7)+V72*IF(E72="Boss",INDEX(Butin!$E$28:$K$37,MATCH($A72,Éléments!$C$5:$C$14,1),7),IF(E72="Dragon",INDEX(Butin!$E$41:$K$50,MATCH($A72,Éléments!$C$5:$C$14,1),7),0))</f>
        <v>0.00135</v>
      </c>
    </row>
    <row r="73" customFormat="false" ht="15.75" hidden="false" customHeight="true" outlineLevel="0" collapsed="false">
      <c r="A73" s="71" t="n">
        <v>68</v>
      </c>
      <c r="B73" s="23" t="n">
        <f aca="false">A73</f>
        <v>68</v>
      </c>
      <c r="C73" s="23" t="str">
        <f aca="false" t="array" ref="C73:C73">INDEX(Éléments!$B$5:$B$14,MATCH(A73,Éléments!$C$5:$C$14,1))</f>
        <v>Iceberg</v>
      </c>
      <c r="D73" s="46" t="str">
        <f aca="false" t="array" ref="D73:D73">INDEX(Éléments!$A$5:$A$14,MATCH(A73,Éléments!$C$5:$C$14,1))</f>
        <v>Glace</v>
      </c>
      <c r="E73" s="23" t="str">
        <f aca="false">IF(MOD(A73,5)=0,"Boss",IF(MOD(A73,10)=9,"Dragon","Normal"))</f>
        <v>Normal</v>
      </c>
      <c r="F73" s="23" t="n">
        <f aca="false">IF(E73="Normal",5*ROUNDUP(A73/5,0),A73)</f>
        <v>70</v>
      </c>
      <c r="G73" s="22" t="str">
        <f aca="false" t="array" ref="G73:G73">INDEX(Zones!$B$6:$B$35,MATCH(F73,Zones!$A$6:$A$35,0))</f>
        <v>Palais des glaces</v>
      </c>
      <c r="H73" s="22" t="str">
        <f aca="false" t="array" ref="H73:H73">IF(E73="Normal","—",INDEX(Zones!$L$6:$L$35,MATCH(F73,Zones!$A$6:$A$35,0)))</f>
        <v>—</v>
      </c>
      <c r="I73" s="27" t="n">
        <f aca="false">IF(E73="Normal",Paramètres!$B$40,IF(E73="Boss",Paramètres!$B$41,1))</f>
        <v>3</v>
      </c>
      <c r="J73" s="23" t="n">
        <f aca="false">IF(E73="Normal",Paramètres!$B$40*Paramètres!$B$39,IF(E73="Boss",(Paramètres!$B$41-1)*Paramètres!$B$39+Paramètres!$B$42+1,1))</f>
        <v>9</v>
      </c>
      <c r="K73" s="33" t="n">
        <f aca="false" t="array" ref="K73:K73">IF(E73="Normal",Paramètres!$B$40*Paramètres!$B$39*(INDEX(Zones!$M$6:$M$35,MATCH(F73,Zones!$A$6:$A$35,0))*(1-Paramètres!$B$46)),IF(E73="Boss",((Paramètres!$B$41-1)*Paramètres!$B$39+Paramètres!$B$42)*(INDEX(Zones!$M$6:$M$35,MATCH(F73,Zones!$A$6:$A$35,0))*(1-Paramètres!$B$46))+INDEX(Zones!$P$6:$P$35,MATCH(F73,Zones!$A$6:$A$35,0)),INDEX(Zones!$P$6:$P$35,MATCH(F73,Zones!$A$6:$A$35,0))))</f>
        <v>11.475</v>
      </c>
      <c r="L73" s="27" t="n">
        <f aca="false">K73*Paramètres!$B$45+I73*Paramètres!$B$47</f>
        <v>69.375</v>
      </c>
      <c r="M73" s="30" t="n">
        <f aca="false" t="array" ref="M73:M73">IF(E73="Dragon",0,(INDEX(Zones!$N$6:$N$35,MATCH(F73,Zones!$A$6:$A$35,0))*Paramètres!$B$34*(INDEX(Zones!$M$6:$M$35,MATCH(F73,Zones!$A$6:$A$35,0))*(1-Paramètres!$B$46))*Paramètres!$B$39*(Paramètres!$B$39+1)/2))</f>
        <v>0.1110301875</v>
      </c>
      <c r="N73" s="30" t="n">
        <f aca="false" t="array" ref="N73:N73">IF(E73="Normal",0,IF(E73="Dragon",INDEX(Zones!$Q$6:$Q$35,MATCH(F73,Zones!$A$6:$A$35,0))*Paramètres!$B$34*INDEX(Zones!$P$6:$P$35,MATCH(F73,Zones!$A$6:$A$35,0)),INDEX(Zones!$Q$6:$Q$35,MATCH(F73,Zones!$A$6:$A$35,0))*Paramètres!$B$34*(INDEX(Zones!$P$6:$P$35,MATCH(F73,Zones!$A$6:$A$35,0))+Paramètres!$B$42*(INDEX(Zones!$M$6:$M$35,MATCH(F73,Zones!$A$6:$A$35,0))*(1-Paramètres!$B$46)))+INDEX(Zones!$N$6:$N$35,MATCH(F73,Zones!$A$6:$A$35,0))*Paramètres!$B$34*(INDEX(Zones!$M$6:$M$35,MATCH(F73,Zones!$A$6:$A$35,0))*(1-Paramètres!$B$46))*(Paramètres!$B$42*(Paramètres!$B$42+1)/2)))</f>
        <v>0</v>
      </c>
      <c r="O73" s="75" t="n">
        <f aca="false">MAX(M73,N73)</f>
        <v>0.1110301875</v>
      </c>
      <c r="P73" s="36" t="n">
        <f aca="false">IF(E73="Normal",M73*Paramètres!$B$40,IF(E73="Boss",M73*(Paramètres!$B$41-1)+N73,N73))</f>
        <v>0.3330905625</v>
      </c>
      <c r="Q73" s="76" t="str">
        <f aca="false">IF(O73&gt;Paramètres!$B$37,"Trop dur","OK")</f>
        <v>OK</v>
      </c>
      <c r="R73" s="29" t="n">
        <f aca="false" t="array" ref="R73:R73">ROUND(IF(E73="Normal",J73*INDEX(Zones!$O$6:$O$35,MATCH(F73,Zones!$A$6:$A$35,0)),IF(E73="Boss",((Paramètres!$B$41-1)*Paramètres!$B$39+Paramètres!$B$42)*INDEX(Zones!$O$6:$O$35,MATCH(F73,Zones!$A$6:$A$35,0))+INDEX(Zones!$R$6:$R$35,MATCH(F73,Zones!$A$6:$A$35,0)),INDEX(Zones!$R$6:$R$35,MATCH(F73,Zones!$A$6:$A$35,0))))*ROUND(Paramètres!$B$49*B73^Paramètres!$B$50,0),0)</f>
        <v>10548</v>
      </c>
      <c r="S73" s="29" t="n">
        <f aca="false" t="array" ref="S73:S73">ROUND(IF(E73="Normal",J73*INDEX(Zones!$O$6:$O$35,MATCH(F73,Zones!$A$6:$A$35,0)),IF(E73="Boss",((Paramètres!$B$41-1)*Paramètres!$B$39+Paramètres!$B$42)*INDEX(Zones!$O$6:$O$35,MATCH(F73,Zones!$A$6:$A$35,0))+INDEX(Zones!$R$6:$R$35,MATCH(F73,Zones!$A$6:$A$35,0)),INDEX(Zones!$R$6:$R$35,MATCH(F73,Zones!$A$6:$A$35,0))))*ROUND(Paramètres!$B$53*B73^Paramètres!$B$54,0),0)</f>
        <v>8037</v>
      </c>
      <c r="T73" s="22" t="str">
        <f aca="false">IF(E73="Boss",G73,"—")</f>
        <v>—</v>
      </c>
      <c r="U73" s="37" t="n">
        <f aca="false">IF(E73="Dragon",0,(J73-IF(E73="Boss",1,0))*AVERAGEIFS(Monstres!$AL$7:$AL$98,Monstres!$B$7:$B$98,F73,Monstres!$G$7:$G$98,"Non"))</f>
        <v>0.45</v>
      </c>
      <c r="V73" s="74" t="n">
        <f aca="false">IF(E73="Boss",Butin!$E$10,IF(E73="Dragon",Butin!$E$11,0))</f>
        <v>0</v>
      </c>
      <c r="W73" s="37" t="n">
        <f aca="false">U73+V73</f>
        <v>0.45</v>
      </c>
      <c r="X73" s="77" t="n">
        <f aca="false">U73*INDEX(Butin!$E$15:$K$24,MATCH($A73,Éléments!$C$5:$C$14,1),1)+V73*IF(E73="Boss",INDEX(Butin!$E$28:$K$37,MATCH($A73,Éléments!$C$5:$C$14,1),1),IF(E73="Dragon",INDEX(Butin!$E$41:$K$50,MATCH($A73,Éléments!$C$5:$C$14,1),1),0))</f>
        <v>0.0945</v>
      </c>
      <c r="Y73" s="77" t="n">
        <f aca="false">U73*INDEX(Butin!$E$15:$K$24,MATCH($A73,Éléments!$C$5:$C$14,1),2)+V73*IF(E73="Boss",INDEX(Butin!$E$28:$K$37,MATCH($A73,Éléments!$C$5:$C$14,1),2),IF(E73="Dragon",INDEX(Butin!$E$41:$K$50,MATCH($A73,Éléments!$C$5:$C$14,1),2),0))</f>
        <v>0.126</v>
      </c>
      <c r="Z73" s="77" t="n">
        <f aca="false">U73*INDEX(Butin!$E$15:$K$24,MATCH($A73,Éléments!$C$5:$C$14,1),3)+V73*IF(E73="Boss",INDEX(Butin!$E$28:$K$37,MATCH($A73,Éléments!$C$5:$C$14,1),3),IF(E73="Dragon",INDEX(Butin!$E$41:$K$50,MATCH($A73,Éléments!$C$5:$C$14,1),3),0))</f>
        <v>0.1215</v>
      </c>
      <c r="AA73" s="77" t="n">
        <f aca="false">U73*INDEX(Butin!$E$15:$K$24,MATCH($A73,Éléments!$C$5:$C$14,1),4)+V73*IF(E73="Boss",INDEX(Butin!$E$28:$K$37,MATCH($A73,Éléments!$C$5:$C$14,1),4),IF(E73="Dragon",INDEX(Butin!$E$41:$K$50,MATCH($A73,Éléments!$C$5:$C$14,1),4),0))</f>
        <v>0.072</v>
      </c>
      <c r="AB73" s="77" t="n">
        <f aca="false">U73*INDEX(Butin!$E$15:$K$24,MATCH($A73,Éléments!$C$5:$C$14,1),5)+V73*IF(E73="Boss",INDEX(Butin!$E$28:$K$37,MATCH($A73,Éléments!$C$5:$C$14,1),5),IF(E73="Dragon",INDEX(Butin!$E$41:$K$50,MATCH($A73,Éléments!$C$5:$C$14,1),5),0))</f>
        <v>0.02925</v>
      </c>
      <c r="AC73" s="77" t="n">
        <f aca="false">U73*INDEX(Butin!$E$15:$K$24,MATCH($A73,Éléments!$C$5:$C$14,1),6)+V73*IF(E73="Boss",INDEX(Butin!$E$28:$K$37,MATCH($A73,Éléments!$C$5:$C$14,1),6),IF(E73="Dragon",INDEX(Butin!$E$41:$K$50,MATCH($A73,Éléments!$C$5:$C$14,1),6),0))</f>
        <v>0.0054</v>
      </c>
      <c r="AD73" s="77" t="n">
        <f aca="false">U73*INDEX(Butin!$E$15:$K$24,MATCH($A73,Éléments!$C$5:$C$14,1),7)+V73*IF(E73="Boss",INDEX(Butin!$E$28:$K$37,MATCH($A73,Éléments!$C$5:$C$14,1),7),IF(E73="Dragon",INDEX(Butin!$E$41:$K$50,MATCH($A73,Éléments!$C$5:$C$14,1),7),0))</f>
        <v>0.00135</v>
      </c>
    </row>
    <row r="74" customFormat="false" ht="15.75" hidden="false" customHeight="true" outlineLevel="0" collapsed="false">
      <c r="A74" s="71" t="n">
        <v>69</v>
      </c>
      <c r="B74" s="23" t="n">
        <f aca="false">A74</f>
        <v>69</v>
      </c>
      <c r="C74" s="23" t="str">
        <f aca="false" t="array" ref="C74:C74">INDEX(Éléments!$B$5:$B$14,MATCH(A74,Éléments!$C$5:$C$14,1))</f>
        <v>Iceberg</v>
      </c>
      <c r="D74" s="46" t="str">
        <f aca="false" t="array" ref="D74:D74">INDEX(Éléments!$A$5:$A$14,MATCH(A74,Éléments!$C$5:$C$14,1))</f>
        <v>Glace</v>
      </c>
      <c r="E74" s="23" t="str">
        <f aca="false">IF(MOD(A74,5)=0,"Boss",IF(MOD(A74,10)=9,"Dragon","Normal"))</f>
        <v>Dragon</v>
      </c>
      <c r="F74" s="23" t="n">
        <f aca="false">IF(E74="Normal",5*ROUNDUP(A74/5,0),A74)</f>
        <v>69</v>
      </c>
      <c r="G74" s="22" t="str">
        <f aca="false" t="array" ref="G74:G74">INDEX(Zones!$B$6:$B$35,MATCH(F74,Zones!$A$6:$A$35,0))</f>
        <v>Tannière du dragon (69)</v>
      </c>
      <c r="H74" s="22" t="str">
        <f aca="false" t="array" ref="H74:H74">IF(E74="Normal","—",INDEX(Zones!$L$6:$L$35,MATCH(F74,Zones!$A$6:$A$35,0)))</f>
        <v>Dragon (Glace)</v>
      </c>
      <c r="I74" s="23" t="n">
        <f aca="false">IF(E74="Normal",Paramètres!$B$40,IF(E74="Boss",Paramètres!$B$41,1))</f>
        <v>1</v>
      </c>
      <c r="J74" s="23" t="n">
        <f aca="false">IF(E74="Normal",Paramètres!$B$40*Paramètres!$B$39,IF(E74="Boss",(Paramètres!$B$41-1)*Paramètres!$B$39+Paramètres!$B$42+1,1))</f>
        <v>1</v>
      </c>
      <c r="K74" s="33" t="n">
        <f aca="false" t="array" ref="K74:K74">IF(E74="Normal",Paramètres!$B$40*Paramètres!$B$39*(INDEX(Zones!$M$6:$M$35,MATCH(F74,Zones!$A$6:$A$35,0))*(1-Paramètres!$B$46)),IF(E74="Boss",((Paramètres!$B$41-1)*Paramètres!$B$39+Paramètres!$B$42)*(INDEX(Zones!$M$6:$M$35,MATCH(F74,Zones!$A$6:$A$35,0))*(1-Paramètres!$B$46))+INDEX(Zones!$P$6:$P$35,MATCH(F74,Zones!$A$6:$A$35,0)),INDEX(Zones!$P$6:$P$35,MATCH(F74,Zones!$A$6:$A$35,0))))</f>
        <v>20</v>
      </c>
      <c r="L74" s="27" t="n">
        <f aca="false">K74*Paramètres!$B$45+I74*Paramètres!$B$47</f>
        <v>104</v>
      </c>
      <c r="M74" s="30" t="n">
        <f aca="false" t="array" ref="M74:M74">IF(E74="Dragon",0,(INDEX(Zones!$N$6:$N$35,MATCH(F74,Zones!$A$6:$A$35,0))*Paramètres!$B$34*(INDEX(Zones!$M$6:$M$35,MATCH(F74,Zones!$A$6:$A$35,0))*(1-Paramètres!$B$46))*Paramètres!$B$39*(Paramètres!$B$39+1)/2))</f>
        <v>0</v>
      </c>
      <c r="N74" s="30" t="n">
        <f aca="false" t="array" ref="N74:N74">IF(E74="Normal",0,IF(E74="Dragon",INDEX(Zones!$Q$6:$Q$35,MATCH(F74,Zones!$A$6:$A$35,0))*Paramètres!$B$34*INDEX(Zones!$P$6:$P$35,MATCH(F74,Zones!$A$6:$A$35,0)),INDEX(Zones!$Q$6:$Q$35,MATCH(F74,Zones!$A$6:$A$35,0))*Paramètres!$B$34*(INDEX(Zones!$P$6:$P$35,MATCH(F74,Zones!$A$6:$A$35,0))+Paramètres!$B$42*(INDEX(Zones!$M$6:$M$35,MATCH(F74,Zones!$A$6:$A$35,0))*(1-Paramètres!$B$46)))+INDEX(Zones!$N$6:$N$35,MATCH(F74,Zones!$A$6:$A$35,0))*Paramètres!$B$34*(INDEX(Zones!$M$6:$M$35,MATCH(F74,Zones!$A$6:$A$35,0))*(1-Paramètres!$B$46))*(Paramètres!$B$42*(Paramètres!$B$42+1)/2)))</f>
        <v>0.51</v>
      </c>
      <c r="O74" s="75" t="n">
        <f aca="false">MAX(M74,N74)</f>
        <v>0.51</v>
      </c>
      <c r="P74" s="36" t="n">
        <f aca="false">IF(E74="Normal",M74*Paramètres!$B$40,IF(E74="Boss",M74*(Paramètres!$B$41-1)+N74,N74))</f>
        <v>0.51</v>
      </c>
      <c r="Q74" s="76" t="str">
        <f aca="false">IF(O74&gt;Paramètres!$B$37,"Trop dur","OK")</f>
        <v>OK</v>
      </c>
      <c r="R74" s="29" t="n">
        <f aca="false" t="array" ref="R74:R74">ROUND(IF(E74="Normal",J74*INDEX(Zones!$O$6:$O$35,MATCH(F74,Zones!$A$6:$A$35,0)),IF(E74="Boss",((Paramètres!$B$41-1)*Paramètres!$B$39+Paramètres!$B$42)*INDEX(Zones!$O$6:$O$35,MATCH(F74,Zones!$A$6:$A$35,0))+INDEX(Zones!$R$6:$R$35,MATCH(F74,Zones!$A$6:$A$35,0)),INDEX(Zones!$R$6:$R$35,MATCH(F74,Zones!$A$6:$A$35,0))))*ROUND(Paramètres!$B$49*B74^Paramètres!$B$50,0),0)</f>
        <v>14316</v>
      </c>
      <c r="S74" s="29" t="n">
        <f aca="false" t="array" ref="S74:S74">ROUND(IF(E74="Normal",J74*INDEX(Zones!$O$6:$O$35,MATCH(F74,Zones!$A$6:$A$35,0)),IF(E74="Boss",((Paramètres!$B$41-1)*Paramètres!$B$39+Paramètres!$B$42)*INDEX(Zones!$O$6:$O$35,MATCH(F74,Zones!$A$6:$A$35,0))+INDEX(Zones!$R$6:$R$35,MATCH(F74,Zones!$A$6:$A$35,0)),INDEX(Zones!$R$6:$R$35,MATCH(F74,Zones!$A$6:$A$35,0))))*ROUND(Paramètres!$B$53*B74^Paramètres!$B$54,0),0)</f>
        <v>10932</v>
      </c>
      <c r="T74" s="22" t="str">
        <f aca="false">IF(E74="Boss",G74,"—")</f>
        <v>—</v>
      </c>
      <c r="U74" s="37" t="n">
        <f aca="false">IF(E74="Dragon",0,(J74-IF(E74="Boss",1,0))*AVERAGEIFS(Monstres!$AL$7:$AL$98,Monstres!$B$7:$B$98,F74,Monstres!$G$7:$G$98,"Non"))</f>
        <v>0</v>
      </c>
      <c r="V74" s="74" t="n">
        <f aca="false">IF(E74="Boss",Butin!$E$10,IF(E74="Dragon",Butin!$E$11,0))</f>
        <v>2.5</v>
      </c>
      <c r="W74" s="37" t="n">
        <f aca="false">U74+V74</f>
        <v>2.5</v>
      </c>
      <c r="X74" s="77" t="n">
        <f aca="false">U74*INDEX(Butin!$E$15:$K$24,MATCH($A74,Éléments!$C$5:$C$14,1),1)+V74*IF(E74="Boss",INDEX(Butin!$E$28:$K$37,MATCH($A74,Éléments!$C$5:$C$14,1),1),IF(E74="Dragon",INDEX(Butin!$E$41:$K$50,MATCH($A74,Éléments!$C$5:$C$14,1),1),0))</f>
        <v>0.025</v>
      </c>
      <c r="Y74" s="77" t="n">
        <f aca="false">U74*INDEX(Butin!$E$15:$K$24,MATCH($A74,Éléments!$C$5:$C$14,1),2)+V74*IF(E74="Boss",INDEX(Butin!$E$28:$K$37,MATCH($A74,Éléments!$C$5:$C$14,1),2),IF(E74="Dragon",INDEX(Butin!$E$41:$K$50,MATCH($A74,Éléments!$C$5:$C$14,1),2),0))</f>
        <v>0.225</v>
      </c>
      <c r="Z74" s="77" t="n">
        <f aca="false">U74*INDEX(Butin!$E$15:$K$24,MATCH($A74,Éléments!$C$5:$C$14,1),3)+V74*IF(E74="Boss",INDEX(Butin!$E$28:$K$37,MATCH($A74,Éléments!$C$5:$C$14,1),3),IF(E74="Dragon",INDEX(Butin!$E$41:$K$50,MATCH($A74,Éléments!$C$5:$C$14,1),3),0))</f>
        <v>0.55</v>
      </c>
      <c r="AA74" s="77" t="n">
        <f aca="false">U74*INDEX(Butin!$E$15:$K$24,MATCH($A74,Éléments!$C$5:$C$14,1),4)+V74*IF(E74="Boss",INDEX(Butin!$E$28:$K$37,MATCH($A74,Éléments!$C$5:$C$14,1),4),IF(E74="Dragon",INDEX(Butin!$E$41:$K$50,MATCH($A74,Éléments!$C$5:$C$14,1),4),0))</f>
        <v>0.8</v>
      </c>
      <c r="AB74" s="77" t="n">
        <f aca="false">U74*INDEX(Butin!$E$15:$K$24,MATCH($A74,Éléments!$C$5:$C$14,1),5)+V74*IF(E74="Boss",INDEX(Butin!$E$28:$K$37,MATCH($A74,Éléments!$C$5:$C$14,1),5),IF(E74="Dragon",INDEX(Butin!$E$41:$K$50,MATCH($A74,Éléments!$C$5:$C$14,1),5),0))</f>
        <v>0.525</v>
      </c>
      <c r="AC74" s="77" t="n">
        <f aca="false">U74*INDEX(Butin!$E$15:$K$24,MATCH($A74,Éléments!$C$5:$C$14,1),6)+V74*IF(E74="Boss",INDEX(Butin!$E$28:$K$37,MATCH($A74,Éléments!$C$5:$C$14,1),6),IF(E74="Dragon",INDEX(Butin!$E$41:$K$50,MATCH($A74,Éléments!$C$5:$C$14,1),6),0))</f>
        <v>0.175</v>
      </c>
      <c r="AD74" s="77" t="n">
        <f aca="false">U74*INDEX(Butin!$E$15:$K$24,MATCH($A74,Éléments!$C$5:$C$14,1),7)+V74*IF(E74="Boss",INDEX(Butin!$E$28:$K$37,MATCH($A74,Éléments!$C$5:$C$14,1),7),IF(E74="Dragon",INDEX(Butin!$E$41:$K$50,MATCH($A74,Éléments!$C$5:$C$14,1),7),0))</f>
        <v>0.2</v>
      </c>
    </row>
    <row r="75" customFormat="false" ht="15.75" hidden="false" customHeight="true" outlineLevel="0" collapsed="false">
      <c r="A75" s="71" t="n">
        <v>70</v>
      </c>
      <c r="B75" s="23" t="n">
        <f aca="false">A75</f>
        <v>70</v>
      </c>
      <c r="C75" s="23" t="str">
        <f aca="false" t="array" ref="C75:C75">INDEX(Éléments!$B$5:$B$14,MATCH(A75,Éléments!$C$5:$C$14,1))</f>
        <v>Iceberg</v>
      </c>
      <c r="D75" s="46" t="str">
        <f aca="false" t="array" ref="D75:D75">INDEX(Éléments!$A$5:$A$14,MATCH(A75,Éléments!$C$5:$C$14,1))</f>
        <v>Glace</v>
      </c>
      <c r="E75" s="23" t="str">
        <f aca="false">IF(MOD(A75,5)=0,"Boss",IF(MOD(A75,10)=9,"Dragon","Normal"))</f>
        <v>Boss</v>
      </c>
      <c r="F75" s="23" t="n">
        <f aca="false">IF(E75="Normal",5*ROUNDUP(A75/5,0),A75)</f>
        <v>70</v>
      </c>
      <c r="G75" s="22" t="str">
        <f aca="false" t="array" ref="G75:G75">INDEX(Zones!$B$6:$B$35,MATCH(F75,Zones!$A$6:$A$35,0))</f>
        <v>Palais des glaces</v>
      </c>
      <c r="H75" s="22" t="str">
        <f aca="false" t="array" ref="H75:H75">IF(E75="Normal","—",INDEX(Zones!$L$6:$L$35,MATCH(F75,Zones!$A$6:$A$35,0)))</f>
        <v>Roi elfique</v>
      </c>
      <c r="I75" s="27" t="n">
        <f aca="false">IF(E75="Normal",Paramètres!$B$40,IF(E75="Boss",Paramètres!$B$41,1))</f>
        <v>5</v>
      </c>
      <c r="J75" s="27" t="n">
        <f aca="false">IF(E75="Normal",Paramètres!$B$40*Paramètres!$B$39,IF(E75="Boss",(Paramètres!$B$41-1)*Paramètres!$B$39+Paramètres!$B$42+1,1))</f>
        <v>15</v>
      </c>
      <c r="K75" s="33" t="n">
        <f aca="false" t="array" ref="K75:K75">IF(E75="Normal",Paramètres!$B$40*Paramètres!$B$39*(INDEX(Zones!$M$6:$M$35,MATCH(F75,Zones!$A$6:$A$35,0))*(1-Paramètres!$B$46)),IF(E75="Boss",((Paramètres!$B$41-1)*Paramètres!$B$39+Paramètres!$B$42)*(INDEX(Zones!$M$6:$M$35,MATCH(F75,Zones!$A$6:$A$35,0))*(1-Paramètres!$B$46))+INDEX(Zones!$P$6:$P$35,MATCH(F75,Zones!$A$6:$A$35,0)),INDEX(Zones!$P$6:$P$35,MATCH(F75,Zones!$A$6:$A$35,0))))</f>
        <v>26.25</v>
      </c>
      <c r="L75" s="27" t="n">
        <f aca="false">K75*Paramètres!$B$45+I75*Paramètres!$B$47</f>
        <v>151.25</v>
      </c>
      <c r="M75" s="30" t="n">
        <f aca="false" t="array" ref="M75:M75">IF(E75="Dragon",0,(INDEX(Zones!$N$6:$N$35,MATCH(F75,Zones!$A$6:$A$35,0))*Paramètres!$B$34*(INDEX(Zones!$M$6:$M$35,MATCH(F75,Zones!$A$6:$A$35,0))*(1-Paramètres!$B$46))*Paramètres!$B$39*(Paramètres!$B$39+1)/2))</f>
        <v>0.1110301875</v>
      </c>
      <c r="N75" s="30" t="n">
        <f aca="false" t="array" ref="N75:N75">IF(E75="Normal",0,IF(E75="Dragon",INDEX(Zones!$Q$6:$Q$35,MATCH(F75,Zones!$A$6:$A$35,0))*Paramètres!$B$34*INDEX(Zones!$P$6:$P$35,MATCH(F75,Zones!$A$6:$A$35,0)),INDEX(Zones!$Q$6:$Q$35,MATCH(F75,Zones!$A$6:$A$35,0))*Paramètres!$B$34*(INDEX(Zones!$P$6:$P$35,MATCH(F75,Zones!$A$6:$A$35,0))+Paramètres!$B$42*(INDEX(Zones!$M$6:$M$35,MATCH(F75,Zones!$A$6:$A$35,0))*(1-Paramètres!$B$46)))+INDEX(Zones!$N$6:$N$35,MATCH(F75,Zones!$A$6:$A$35,0))*Paramètres!$B$34*(INDEX(Zones!$M$6:$M$35,MATCH(F75,Zones!$A$6:$A$35,0))*(1-Paramètres!$B$46))*(Paramètres!$B$42*(Paramètres!$B$42+1)/2)))</f>
        <v>0.40454634375</v>
      </c>
      <c r="O75" s="75" t="n">
        <f aca="false">MAX(M75,N75)</f>
        <v>0.40454634375</v>
      </c>
      <c r="P75" s="36" t="n">
        <f aca="false">IF(E75="Normal",M75*Paramètres!$B$40,IF(E75="Boss",M75*(Paramètres!$B$41-1)+N75,N75))</f>
        <v>0.84866709375</v>
      </c>
      <c r="Q75" s="76" t="str">
        <f aca="false">IF(O75&gt;Paramètres!$B$37,"Trop dur","OK")</f>
        <v>OK</v>
      </c>
      <c r="R75" s="29" t="n">
        <f aca="false" t="array" ref="R75:R75">ROUND(IF(E75="Normal",J75*INDEX(Zones!$O$6:$O$35,MATCH(F75,Zones!$A$6:$A$35,0)),IF(E75="Boss",((Paramètres!$B$41-1)*Paramètres!$B$39+Paramètres!$B$42)*INDEX(Zones!$O$6:$O$35,MATCH(F75,Zones!$A$6:$A$35,0))+INDEX(Zones!$R$6:$R$35,MATCH(F75,Zones!$A$6:$A$35,0)),INDEX(Zones!$R$6:$R$35,MATCH(F75,Zones!$A$6:$A$35,0))))*ROUND(Paramètres!$B$49*B75^Paramètres!$B$50,0),0)</f>
        <v>26730</v>
      </c>
      <c r="S75" s="29" t="n">
        <f aca="false" t="array" ref="S75:S75">ROUND(IF(E75="Normal",J75*INDEX(Zones!$O$6:$O$35,MATCH(F75,Zones!$A$6:$A$35,0)),IF(E75="Boss",((Paramètres!$B$41-1)*Paramètres!$B$39+Paramètres!$B$42)*INDEX(Zones!$O$6:$O$35,MATCH(F75,Zones!$A$6:$A$35,0))+INDEX(Zones!$R$6:$R$35,MATCH(F75,Zones!$A$6:$A$35,0)),INDEX(Zones!$R$6:$R$35,MATCH(F75,Zones!$A$6:$A$35,0))))*ROUND(Paramètres!$B$53*B75^Paramètres!$B$54,0),0)</f>
        <v>20438</v>
      </c>
      <c r="T75" s="22" t="str">
        <f aca="false">IF(E75="Boss",G75,"—")</f>
        <v>Palais des glaces</v>
      </c>
      <c r="U75" s="37" t="n">
        <f aca="false">IF(E75="Dragon",0,(J75-IF(E75="Boss",1,0))*AVERAGEIFS(Monstres!$AL$7:$AL$98,Monstres!$B$7:$B$98,F75,Monstres!$G$7:$G$98,"Non"))</f>
        <v>0.7</v>
      </c>
      <c r="V75" s="74" t="n">
        <f aca="false">IF(E75="Boss",Butin!$E$10,IF(E75="Dragon",Butin!$E$11,0))</f>
        <v>1.4</v>
      </c>
      <c r="W75" s="37" t="n">
        <f aca="false">U75+V75</f>
        <v>2.1</v>
      </c>
      <c r="X75" s="77" t="n">
        <f aca="false">U75*INDEX(Butin!$E$15:$K$24,MATCH($A75,Éléments!$C$5:$C$14,1),1)+V75*IF(E75="Boss",INDEX(Butin!$E$28:$K$37,MATCH($A75,Éléments!$C$5:$C$14,1),1),IF(E75="Dragon",INDEX(Butin!$E$41:$K$50,MATCH($A75,Éléments!$C$5:$C$14,1),1),0))</f>
        <v>0.189</v>
      </c>
      <c r="Y75" s="77" t="n">
        <f aca="false">U75*INDEX(Butin!$E$15:$K$24,MATCH($A75,Éléments!$C$5:$C$14,1),2)+V75*IF(E75="Boss",INDEX(Butin!$E$28:$K$37,MATCH($A75,Éléments!$C$5:$C$14,1),2),IF(E75="Dragon",INDEX(Butin!$E$41:$K$50,MATCH($A75,Éléments!$C$5:$C$14,1),2),0))</f>
        <v>0.378</v>
      </c>
      <c r="Z75" s="77" t="n">
        <f aca="false">U75*INDEX(Butin!$E$15:$K$24,MATCH($A75,Éléments!$C$5:$C$14,1),3)+V75*IF(E75="Boss",INDEX(Butin!$E$28:$K$37,MATCH($A75,Éléments!$C$5:$C$14,1),3),IF(E75="Dragon",INDEX(Butin!$E$41:$K$50,MATCH($A75,Éléments!$C$5:$C$14,1),3),0))</f>
        <v>0.567</v>
      </c>
      <c r="AA75" s="77" t="n">
        <f aca="false">U75*INDEX(Butin!$E$15:$K$24,MATCH($A75,Éléments!$C$5:$C$14,1),4)+V75*IF(E75="Boss",INDEX(Butin!$E$28:$K$37,MATCH($A75,Éléments!$C$5:$C$14,1),4),IF(E75="Dragon",INDEX(Butin!$E$41:$K$50,MATCH($A75,Éléments!$C$5:$C$14,1),4),0))</f>
        <v>0.504</v>
      </c>
      <c r="AB75" s="77" t="n">
        <f aca="false">U75*INDEX(Butin!$E$15:$K$24,MATCH($A75,Éléments!$C$5:$C$14,1),5)+V75*IF(E75="Boss",INDEX(Butin!$E$28:$K$37,MATCH($A75,Éléments!$C$5:$C$14,1),5),IF(E75="Dragon",INDEX(Butin!$E$41:$K$50,MATCH($A75,Éléments!$C$5:$C$14,1),5),0))</f>
        <v>0.2905</v>
      </c>
      <c r="AC75" s="77" t="n">
        <f aca="false">U75*INDEX(Butin!$E$15:$K$24,MATCH($A75,Éléments!$C$5:$C$14,1),6)+V75*IF(E75="Boss",INDEX(Butin!$E$28:$K$37,MATCH($A75,Éléments!$C$5:$C$14,1),6),IF(E75="Dragon",INDEX(Butin!$E$41:$K$50,MATCH($A75,Éléments!$C$5:$C$14,1),6),0))</f>
        <v>0.0924</v>
      </c>
      <c r="AD75" s="77" t="n">
        <f aca="false">U75*INDEX(Butin!$E$15:$K$24,MATCH($A75,Éléments!$C$5:$C$14,1),7)+V75*IF(E75="Boss",INDEX(Butin!$E$28:$K$37,MATCH($A75,Éléments!$C$5:$C$14,1),7),IF(E75="Dragon",INDEX(Butin!$E$41:$K$50,MATCH($A75,Éléments!$C$5:$C$14,1),7),0))</f>
        <v>0.0791</v>
      </c>
    </row>
    <row r="76" customFormat="false" ht="15.75" hidden="false" customHeight="true" outlineLevel="0" collapsed="false">
      <c r="A76" s="71" t="n">
        <v>71</v>
      </c>
      <c r="B76" s="23" t="n">
        <f aca="false">A76</f>
        <v>71</v>
      </c>
      <c r="C76" s="23" t="str">
        <f aca="false" t="array" ref="C76:C76">INDEX(Éléments!$B$5:$B$14,MATCH(A76,Éléments!$C$5:$C$14,1))</f>
        <v>Haute montagne</v>
      </c>
      <c r="D76" s="47" t="str">
        <f aca="false" t="array" ref="D76:D76">INDEX(Éléments!$A$5:$A$14,MATCH(A76,Éléments!$C$5:$C$14,1))</f>
        <v>Électricité</v>
      </c>
      <c r="E76" s="23" t="str">
        <f aca="false">IF(MOD(A76,5)=0,"Boss",IF(MOD(A76,10)=9,"Dragon","Normal"))</f>
        <v>Normal</v>
      </c>
      <c r="F76" s="23" t="n">
        <f aca="false">IF(E76="Normal",5*ROUNDUP(A76/5,0),A76)</f>
        <v>75</v>
      </c>
      <c r="G76" s="22" t="str">
        <f aca="false" t="array" ref="G76:G76">INDEX(Zones!$B$6:$B$35,MATCH(F76,Zones!$A$6:$A$35,0))</f>
        <v>Sommet des montagnes</v>
      </c>
      <c r="H76" s="22" t="str">
        <f aca="false" t="array" ref="H76:H76">IF(E76="Normal","—",INDEX(Zones!$L$6:$L$35,MATCH(F76,Zones!$A$6:$A$35,0)))</f>
        <v>—</v>
      </c>
      <c r="I76" s="27" t="n">
        <f aca="false">IF(E76="Normal",Paramètres!$B$40,IF(E76="Boss",Paramètres!$B$41,1))</f>
        <v>3</v>
      </c>
      <c r="J76" s="23" t="n">
        <f aca="false">IF(E76="Normal",Paramètres!$B$40*Paramètres!$B$39,IF(E76="Boss",(Paramètres!$B$41-1)*Paramètres!$B$39+Paramètres!$B$42+1,1))</f>
        <v>9</v>
      </c>
      <c r="K76" s="33" t="n">
        <f aca="false" t="array" ref="K76:K76">IF(E76="Normal",Paramètres!$B$40*Paramètres!$B$39*(INDEX(Zones!$M$6:$M$35,MATCH(F76,Zones!$A$6:$A$35,0))*(1-Paramètres!$B$46)),IF(E76="Boss",((Paramètres!$B$41-1)*Paramètres!$B$39+Paramètres!$B$42)*(INDEX(Zones!$M$6:$M$35,MATCH(F76,Zones!$A$6:$A$35,0))*(1-Paramètres!$B$46))+INDEX(Zones!$P$6:$P$35,MATCH(F76,Zones!$A$6:$A$35,0)),INDEX(Zones!$P$6:$P$35,MATCH(F76,Zones!$A$6:$A$35,0))))</f>
        <v>19.575</v>
      </c>
      <c r="L76" s="27" t="n">
        <f aca="false">K76*Paramètres!$B$45+I76*Paramètres!$B$47</f>
        <v>109.875</v>
      </c>
      <c r="M76" s="30" t="n">
        <f aca="false" t="array" ref="M76:M76">IF(E76="Dragon",0,(INDEX(Zones!$N$6:$N$35,MATCH(F76,Zones!$A$6:$A$35,0))*Paramètres!$B$34*(INDEX(Zones!$M$6:$M$35,MATCH(F76,Zones!$A$6:$A$35,0))*(1-Paramètres!$B$46))*Paramètres!$B$39*(Paramètres!$B$39+1)/2))</f>
        <v>0.19190025</v>
      </c>
      <c r="N76" s="30" t="n">
        <f aca="false" t="array" ref="N76:N76">IF(E76="Normal",0,IF(E76="Dragon",INDEX(Zones!$Q$6:$Q$35,MATCH(F76,Zones!$A$6:$A$35,0))*Paramètres!$B$34*INDEX(Zones!$P$6:$P$35,MATCH(F76,Zones!$A$6:$A$35,0)),INDEX(Zones!$Q$6:$Q$35,MATCH(F76,Zones!$A$6:$A$35,0))*Paramètres!$B$34*(INDEX(Zones!$P$6:$P$35,MATCH(F76,Zones!$A$6:$A$35,0))+Paramètres!$B$42*(INDEX(Zones!$M$6:$M$35,MATCH(F76,Zones!$A$6:$A$35,0))*(1-Paramètres!$B$46)))+INDEX(Zones!$N$6:$N$35,MATCH(F76,Zones!$A$6:$A$35,0))*Paramètres!$B$34*(INDEX(Zones!$M$6:$M$35,MATCH(F76,Zones!$A$6:$A$35,0))*(1-Paramètres!$B$46))*(Paramètres!$B$42*(Paramètres!$B$42+1)/2)))</f>
        <v>0</v>
      </c>
      <c r="O76" s="75" t="n">
        <f aca="false">MAX(M76,N76)</f>
        <v>0.19190025</v>
      </c>
      <c r="P76" s="36" t="n">
        <f aca="false">IF(E76="Normal",M76*Paramètres!$B$40,IF(E76="Boss",M76*(Paramètres!$B$41-1)+N76,N76))</f>
        <v>0.57570075</v>
      </c>
      <c r="Q76" s="76" t="str">
        <f aca="false">IF(O76&gt;Paramètres!$B$37,"Trop dur","OK")</f>
        <v>OK</v>
      </c>
      <c r="R76" s="29" t="n">
        <f aca="false" t="array" ref="R76:R76">ROUND(IF(E76="Normal",J76*INDEX(Zones!$O$6:$O$35,MATCH(F76,Zones!$A$6:$A$35,0)),IF(E76="Boss",((Paramètres!$B$41-1)*Paramètres!$B$39+Paramètres!$B$42)*INDEX(Zones!$O$6:$O$35,MATCH(F76,Zones!$A$6:$A$35,0))+INDEX(Zones!$R$6:$R$35,MATCH(F76,Zones!$A$6:$A$35,0)),INDEX(Zones!$R$6:$R$35,MATCH(F76,Zones!$A$6:$A$35,0))))*ROUND(Paramètres!$B$49*B76^Paramètres!$B$50,0),0)</f>
        <v>13360</v>
      </c>
      <c r="S76" s="29" t="n">
        <f aca="false" t="array" ref="S76:S76">ROUND(IF(E76="Normal",J76*INDEX(Zones!$O$6:$O$35,MATCH(F76,Zones!$A$6:$A$35,0)),IF(E76="Boss",((Paramètres!$B$41-1)*Paramètres!$B$39+Paramètres!$B$42)*INDEX(Zones!$O$6:$O$35,MATCH(F76,Zones!$A$6:$A$35,0))+INDEX(Zones!$R$6:$R$35,MATCH(F76,Zones!$A$6:$A$35,0)),INDEX(Zones!$R$6:$R$35,MATCH(F76,Zones!$A$6:$A$35,0))))*ROUND(Paramètres!$B$53*B76^Paramètres!$B$54,0),0)</f>
        <v>10228</v>
      </c>
      <c r="T76" s="22" t="str">
        <f aca="false">IF(E76="Boss",G76,"—")</f>
        <v>—</v>
      </c>
      <c r="U76" s="37" t="n">
        <f aca="false">IF(E76="Dragon",0,(J76-IF(E76="Boss",1,0))*AVERAGEIFS(Monstres!$AL$7:$AL$98,Monstres!$B$7:$B$98,F76,Monstres!$G$7:$G$98,"Non"))</f>
        <v>0.585</v>
      </c>
      <c r="V76" s="74" t="n">
        <f aca="false">IF(E76="Boss",Butin!$E$10,IF(E76="Dragon",Butin!$E$11,0))</f>
        <v>0</v>
      </c>
      <c r="W76" s="37" t="n">
        <f aca="false">U76+V76</f>
        <v>0.585</v>
      </c>
      <c r="X76" s="77" t="n">
        <f aca="false">U76*INDEX(Butin!$E$15:$K$24,MATCH($A76,Éléments!$C$5:$C$14,1),1)+V76*IF(E76="Boss",INDEX(Butin!$E$28:$K$37,MATCH($A76,Éléments!$C$5:$C$14,1),1),IF(E76="Dragon",INDEX(Butin!$E$41:$K$50,MATCH($A76,Éléments!$C$5:$C$14,1),1),0))</f>
        <v>0.0936</v>
      </c>
      <c r="Y76" s="77" t="n">
        <f aca="false">U76*INDEX(Butin!$E$15:$K$24,MATCH($A76,Éléments!$C$5:$C$14,1),2)+V76*IF(E76="Boss",INDEX(Butin!$E$28:$K$37,MATCH($A76,Éléments!$C$5:$C$14,1),2),IF(E76="Dragon",INDEX(Butin!$E$41:$K$50,MATCH($A76,Éléments!$C$5:$C$14,1),2),0))</f>
        <v>0.14625</v>
      </c>
      <c r="Z76" s="77" t="n">
        <f aca="false">U76*INDEX(Butin!$E$15:$K$24,MATCH($A76,Éléments!$C$5:$C$14,1),3)+V76*IF(E76="Boss",INDEX(Butin!$E$28:$K$37,MATCH($A76,Éléments!$C$5:$C$14,1),3),IF(E76="Dragon",INDEX(Butin!$E$41:$K$50,MATCH($A76,Éléments!$C$5:$C$14,1),3),0))</f>
        <v>0.1638</v>
      </c>
      <c r="AA76" s="77" t="n">
        <f aca="false">U76*INDEX(Butin!$E$15:$K$24,MATCH($A76,Éléments!$C$5:$C$14,1),4)+V76*IF(E76="Boss",INDEX(Butin!$E$28:$K$37,MATCH($A76,Éléments!$C$5:$C$14,1),4),IF(E76="Dragon",INDEX(Butin!$E$41:$K$50,MATCH($A76,Éléments!$C$5:$C$14,1),4),0))</f>
        <v>0.11115</v>
      </c>
      <c r="AB76" s="77" t="n">
        <f aca="false">U76*INDEX(Butin!$E$15:$K$24,MATCH($A76,Éléments!$C$5:$C$14,1),5)+V76*IF(E76="Boss",INDEX(Butin!$E$28:$K$37,MATCH($A76,Éléments!$C$5:$C$14,1),5),IF(E76="Dragon",INDEX(Butin!$E$41:$K$50,MATCH($A76,Éléments!$C$5:$C$14,1),5),0))</f>
        <v>0.05382</v>
      </c>
      <c r="AC76" s="77" t="n">
        <f aca="false">U76*INDEX(Butin!$E$15:$K$24,MATCH($A76,Éléments!$C$5:$C$14,1),6)+V76*IF(E76="Boss",INDEX(Butin!$E$28:$K$37,MATCH($A76,Éléments!$C$5:$C$14,1),6),IF(E76="Dragon",INDEX(Butin!$E$41:$K$50,MATCH($A76,Éléments!$C$5:$C$14,1),6),0))</f>
        <v>0.01404</v>
      </c>
      <c r="AD76" s="77" t="n">
        <f aca="false">U76*INDEX(Butin!$E$15:$K$24,MATCH($A76,Éléments!$C$5:$C$14,1),7)+V76*IF(E76="Boss",INDEX(Butin!$E$28:$K$37,MATCH($A76,Éléments!$C$5:$C$14,1),7),IF(E76="Dragon",INDEX(Butin!$E$41:$K$50,MATCH($A76,Éléments!$C$5:$C$14,1),7),0))</f>
        <v>0.00234</v>
      </c>
    </row>
    <row r="77" customFormat="false" ht="15.75" hidden="false" customHeight="true" outlineLevel="0" collapsed="false">
      <c r="A77" s="71" t="n">
        <v>72</v>
      </c>
      <c r="B77" s="23" t="n">
        <f aca="false">A77</f>
        <v>72</v>
      </c>
      <c r="C77" s="23" t="str">
        <f aca="false" t="array" ref="C77:C77">INDEX(Éléments!$B$5:$B$14,MATCH(A77,Éléments!$C$5:$C$14,1))</f>
        <v>Haute montagne</v>
      </c>
      <c r="D77" s="47" t="str">
        <f aca="false" t="array" ref="D77:D77">INDEX(Éléments!$A$5:$A$14,MATCH(A77,Éléments!$C$5:$C$14,1))</f>
        <v>Électricité</v>
      </c>
      <c r="E77" s="23" t="str">
        <f aca="false">IF(MOD(A77,5)=0,"Boss",IF(MOD(A77,10)=9,"Dragon","Normal"))</f>
        <v>Normal</v>
      </c>
      <c r="F77" s="23" t="n">
        <f aca="false">IF(E77="Normal",5*ROUNDUP(A77/5,0),A77)</f>
        <v>75</v>
      </c>
      <c r="G77" s="22" t="str">
        <f aca="false" t="array" ref="G77:G77">INDEX(Zones!$B$6:$B$35,MATCH(F77,Zones!$A$6:$A$35,0))</f>
        <v>Sommet des montagnes</v>
      </c>
      <c r="H77" s="22" t="str">
        <f aca="false" t="array" ref="H77:H77">IF(E77="Normal","—",INDEX(Zones!$L$6:$L$35,MATCH(F77,Zones!$A$6:$A$35,0)))</f>
        <v>—</v>
      </c>
      <c r="I77" s="27" t="n">
        <f aca="false">IF(E77="Normal",Paramètres!$B$40,IF(E77="Boss",Paramètres!$B$41,1))</f>
        <v>3</v>
      </c>
      <c r="J77" s="23" t="n">
        <f aca="false">IF(E77="Normal",Paramètres!$B$40*Paramètres!$B$39,IF(E77="Boss",(Paramètres!$B$41-1)*Paramètres!$B$39+Paramètres!$B$42+1,1))</f>
        <v>9</v>
      </c>
      <c r="K77" s="33" t="n">
        <f aca="false" t="array" ref="K77:K77">IF(E77="Normal",Paramètres!$B$40*Paramètres!$B$39*(INDEX(Zones!$M$6:$M$35,MATCH(F77,Zones!$A$6:$A$35,0))*(1-Paramètres!$B$46)),IF(E77="Boss",((Paramètres!$B$41-1)*Paramètres!$B$39+Paramètres!$B$42)*(INDEX(Zones!$M$6:$M$35,MATCH(F77,Zones!$A$6:$A$35,0))*(1-Paramètres!$B$46))+INDEX(Zones!$P$6:$P$35,MATCH(F77,Zones!$A$6:$A$35,0)),INDEX(Zones!$P$6:$P$35,MATCH(F77,Zones!$A$6:$A$35,0))))</f>
        <v>19.575</v>
      </c>
      <c r="L77" s="27" t="n">
        <f aca="false">K77*Paramètres!$B$45+I77*Paramètres!$B$47</f>
        <v>109.875</v>
      </c>
      <c r="M77" s="30" t="n">
        <f aca="false" t="array" ref="M77:M77">IF(E77="Dragon",0,(INDEX(Zones!$N$6:$N$35,MATCH(F77,Zones!$A$6:$A$35,0))*Paramètres!$B$34*(INDEX(Zones!$M$6:$M$35,MATCH(F77,Zones!$A$6:$A$35,0))*(1-Paramètres!$B$46))*Paramètres!$B$39*(Paramètres!$B$39+1)/2))</f>
        <v>0.19190025</v>
      </c>
      <c r="N77" s="30" t="n">
        <f aca="false" t="array" ref="N77:N77">IF(E77="Normal",0,IF(E77="Dragon",INDEX(Zones!$Q$6:$Q$35,MATCH(F77,Zones!$A$6:$A$35,0))*Paramètres!$B$34*INDEX(Zones!$P$6:$P$35,MATCH(F77,Zones!$A$6:$A$35,0)),INDEX(Zones!$Q$6:$Q$35,MATCH(F77,Zones!$A$6:$A$35,0))*Paramètres!$B$34*(INDEX(Zones!$P$6:$P$35,MATCH(F77,Zones!$A$6:$A$35,0))+Paramètres!$B$42*(INDEX(Zones!$M$6:$M$35,MATCH(F77,Zones!$A$6:$A$35,0))*(1-Paramètres!$B$46)))+INDEX(Zones!$N$6:$N$35,MATCH(F77,Zones!$A$6:$A$35,0))*Paramètres!$B$34*(INDEX(Zones!$M$6:$M$35,MATCH(F77,Zones!$A$6:$A$35,0))*(1-Paramètres!$B$46))*(Paramètres!$B$42*(Paramètres!$B$42+1)/2)))</f>
        <v>0</v>
      </c>
      <c r="O77" s="75" t="n">
        <f aca="false">MAX(M77,N77)</f>
        <v>0.19190025</v>
      </c>
      <c r="P77" s="36" t="n">
        <f aca="false">IF(E77="Normal",M77*Paramètres!$B$40,IF(E77="Boss",M77*(Paramètres!$B$41-1)+N77,N77))</f>
        <v>0.57570075</v>
      </c>
      <c r="Q77" s="76" t="str">
        <f aca="false">IF(O77&gt;Paramètres!$B$37,"Trop dur","OK")</f>
        <v>OK</v>
      </c>
      <c r="R77" s="29" t="n">
        <f aca="false" t="array" ref="R77:R77">ROUND(IF(E77="Normal",J77*INDEX(Zones!$O$6:$O$35,MATCH(F77,Zones!$A$6:$A$35,0)),IF(E77="Boss",((Paramètres!$B$41-1)*Paramètres!$B$39+Paramètres!$B$42)*INDEX(Zones!$O$6:$O$35,MATCH(F77,Zones!$A$6:$A$35,0))+INDEX(Zones!$R$6:$R$35,MATCH(F77,Zones!$A$6:$A$35,0)),INDEX(Zones!$R$6:$R$35,MATCH(F77,Zones!$A$6:$A$35,0))))*ROUND(Paramètres!$B$49*B77^Paramètres!$B$50,0),0)</f>
        <v>13586</v>
      </c>
      <c r="S77" s="29" t="n">
        <f aca="false" t="array" ref="S77:S77">ROUND(IF(E77="Normal",J77*INDEX(Zones!$O$6:$O$35,MATCH(F77,Zones!$A$6:$A$35,0)),IF(E77="Boss",((Paramètres!$B$41-1)*Paramètres!$B$39+Paramètres!$B$42)*INDEX(Zones!$O$6:$O$35,MATCH(F77,Zones!$A$6:$A$35,0))+INDEX(Zones!$R$6:$R$35,MATCH(F77,Zones!$A$6:$A$35,0)),INDEX(Zones!$R$6:$R$35,MATCH(F77,Zones!$A$6:$A$35,0))))*ROUND(Paramètres!$B$53*B77^Paramètres!$B$54,0),0)</f>
        <v>10422</v>
      </c>
      <c r="T77" s="22" t="str">
        <f aca="false">IF(E77="Boss",G77,"—")</f>
        <v>—</v>
      </c>
      <c r="U77" s="37" t="n">
        <f aca="false">IF(E77="Dragon",0,(J77-IF(E77="Boss",1,0))*AVERAGEIFS(Monstres!$AL$7:$AL$98,Monstres!$B$7:$B$98,F77,Monstres!$G$7:$G$98,"Non"))</f>
        <v>0.585</v>
      </c>
      <c r="V77" s="74" t="n">
        <f aca="false">IF(E77="Boss",Butin!$E$10,IF(E77="Dragon",Butin!$E$11,0))</f>
        <v>0</v>
      </c>
      <c r="W77" s="37" t="n">
        <f aca="false">U77+V77</f>
        <v>0.585</v>
      </c>
      <c r="X77" s="77" t="n">
        <f aca="false">U77*INDEX(Butin!$E$15:$K$24,MATCH($A77,Éléments!$C$5:$C$14,1),1)+V77*IF(E77="Boss",INDEX(Butin!$E$28:$K$37,MATCH($A77,Éléments!$C$5:$C$14,1),1),IF(E77="Dragon",INDEX(Butin!$E$41:$K$50,MATCH($A77,Éléments!$C$5:$C$14,1),1),0))</f>
        <v>0.0936</v>
      </c>
      <c r="Y77" s="77" t="n">
        <f aca="false">U77*INDEX(Butin!$E$15:$K$24,MATCH($A77,Éléments!$C$5:$C$14,1),2)+V77*IF(E77="Boss",INDEX(Butin!$E$28:$K$37,MATCH($A77,Éléments!$C$5:$C$14,1),2),IF(E77="Dragon",INDEX(Butin!$E$41:$K$50,MATCH($A77,Éléments!$C$5:$C$14,1),2),0))</f>
        <v>0.14625</v>
      </c>
      <c r="Z77" s="77" t="n">
        <f aca="false">U77*INDEX(Butin!$E$15:$K$24,MATCH($A77,Éléments!$C$5:$C$14,1),3)+V77*IF(E77="Boss",INDEX(Butin!$E$28:$K$37,MATCH($A77,Éléments!$C$5:$C$14,1),3),IF(E77="Dragon",INDEX(Butin!$E$41:$K$50,MATCH($A77,Éléments!$C$5:$C$14,1),3),0))</f>
        <v>0.1638</v>
      </c>
      <c r="AA77" s="77" t="n">
        <f aca="false">U77*INDEX(Butin!$E$15:$K$24,MATCH($A77,Éléments!$C$5:$C$14,1),4)+V77*IF(E77="Boss",INDEX(Butin!$E$28:$K$37,MATCH($A77,Éléments!$C$5:$C$14,1),4),IF(E77="Dragon",INDEX(Butin!$E$41:$K$50,MATCH($A77,Éléments!$C$5:$C$14,1),4),0))</f>
        <v>0.11115</v>
      </c>
      <c r="AB77" s="77" t="n">
        <f aca="false">U77*INDEX(Butin!$E$15:$K$24,MATCH($A77,Éléments!$C$5:$C$14,1),5)+V77*IF(E77="Boss",INDEX(Butin!$E$28:$K$37,MATCH($A77,Éléments!$C$5:$C$14,1),5),IF(E77="Dragon",INDEX(Butin!$E$41:$K$50,MATCH($A77,Éléments!$C$5:$C$14,1),5),0))</f>
        <v>0.05382</v>
      </c>
      <c r="AC77" s="77" t="n">
        <f aca="false">U77*INDEX(Butin!$E$15:$K$24,MATCH($A77,Éléments!$C$5:$C$14,1),6)+V77*IF(E77="Boss",INDEX(Butin!$E$28:$K$37,MATCH($A77,Éléments!$C$5:$C$14,1),6),IF(E77="Dragon",INDEX(Butin!$E$41:$K$50,MATCH($A77,Éléments!$C$5:$C$14,1),6),0))</f>
        <v>0.01404</v>
      </c>
      <c r="AD77" s="77" t="n">
        <f aca="false">U77*INDEX(Butin!$E$15:$K$24,MATCH($A77,Éléments!$C$5:$C$14,1),7)+V77*IF(E77="Boss",INDEX(Butin!$E$28:$K$37,MATCH($A77,Éléments!$C$5:$C$14,1),7),IF(E77="Dragon",INDEX(Butin!$E$41:$K$50,MATCH($A77,Éléments!$C$5:$C$14,1),7),0))</f>
        <v>0.00234</v>
      </c>
    </row>
    <row r="78" customFormat="false" ht="15.75" hidden="false" customHeight="true" outlineLevel="0" collapsed="false">
      <c r="A78" s="71" t="n">
        <v>73</v>
      </c>
      <c r="B78" s="23" t="n">
        <f aca="false">A78</f>
        <v>73</v>
      </c>
      <c r="C78" s="23" t="str">
        <f aca="false" t="array" ref="C78:C78">INDEX(Éléments!$B$5:$B$14,MATCH(A78,Éléments!$C$5:$C$14,1))</f>
        <v>Haute montagne</v>
      </c>
      <c r="D78" s="47" t="str">
        <f aca="false" t="array" ref="D78:D78">INDEX(Éléments!$A$5:$A$14,MATCH(A78,Éléments!$C$5:$C$14,1))</f>
        <v>Électricité</v>
      </c>
      <c r="E78" s="23" t="str">
        <f aca="false">IF(MOD(A78,5)=0,"Boss",IF(MOD(A78,10)=9,"Dragon","Normal"))</f>
        <v>Normal</v>
      </c>
      <c r="F78" s="23" t="n">
        <f aca="false">IF(E78="Normal",5*ROUNDUP(A78/5,0),A78)</f>
        <v>75</v>
      </c>
      <c r="G78" s="22" t="str">
        <f aca="false" t="array" ref="G78:G78">INDEX(Zones!$B$6:$B$35,MATCH(F78,Zones!$A$6:$A$35,0))</f>
        <v>Sommet des montagnes</v>
      </c>
      <c r="H78" s="22" t="str">
        <f aca="false" t="array" ref="H78:H78">IF(E78="Normal","—",INDEX(Zones!$L$6:$L$35,MATCH(F78,Zones!$A$6:$A$35,0)))</f>
        <v>—</v>
      </c>
      <c r="I78" s="27" t="n">
        <f aca="false">IF(E78="Normal",Paramètres!$B$40,IF(E78="Boss",Paramètres!$B$41,1))</f>
        <v>3</v>
      </c>
      <c r="J78" s="23" t="n">
        <f aca="false">IF(E78="Normal",Paramètres!$B$40*Paramètres!$B$39,IF(E78="Boss",(Paramètres!$B$41-1)*Paramètres!$B$39+Paramètres!$B$42+1,1))</f>
        <v>9</v>
      </c>
      <c r="K78" s="33" t="n">
        <f aca="false" t="array" ref="K78:K78">IF(E78="Normal",Paramètres!$B$40*Paramètres!$B$39*(INDEX(Zones!$M$6:$M$35,MATCH(F78,Zones!$A$6:$A$35,0))*(1-Paramètres!$B$46)),IF(E78="Boss",((Paramètres!$B$41-1)*Paramètres!$B$39+Paramètres!$B$42)*(INDEX(Zones!$M$6:$M$35,MATCH(F78,Zones!$A$6:$A$35,0))*(1-Paramètres!$B$46))+INDEX(Zones!$P$6:$P$35,MATCH(F78,Zones!$A$6:$A$35,0)),INDEX(Zones!$P$6:$P$35,MATCH(F78,Zones!$A$6:$A$35,0))))</f>
        <v>19.575</v>
      </c>
      <c r="L78" s="27" t="n">
        <f aca="false">K78*Paramètres!$B$45+I78*Paramètres!$B$47</f>
        <v>109.875</v>
      </c>
      <c r="M78" s="30" t="n">
        <f aca="false" t="array" ref="M78:M78">IF(E78="Dragon",0,(INDEX(Zones!$N$6:$N$35,MATCH(F78,Zones!$A$6:$A$35,0))*Paramètres!$B$34*(INDEX(Zones!$M$6:$M$35,MATCH(F78,Zones!$A$6:$A$35,0))*(1-Paramètres!$B$46))*Paramètres!$B$39*(Paramètres!$B$39+1)/2))</f>
        <v>0.19190025</v>
      </c>
      <c r="N78" s="30" t="n">
        <f aca="false" t="array" ref="N78:N78">IF(E78="Normal",0,IF(E78="Dragon",INDEX(Zones!$Q$6:$Q$35,MATCH(F78,Zones!$A$6:$A$35,0))*Paramètres!$B$34*INDEX(Zones!$P$6:$P$35,MATCH(F78,Zones!$A$6:$A$35,0)),INDEX(Zones!$Q$6:$Q$35,MATCH(F78,Zones!$A$6:$A$35,0))*Paramètres!$B$34*(INDEX(Zones!$P$6:$P$35,MATCH(F78,Zones!$A$6:$A$35,0))+Paramètres!$B$42*(INDEX(Zones!$M$6:$M$35,MATCH(F78,Zones!$A$6:$A$35,0))*(1-Paramètres!$B$46)))+INDEX(Zones!$N$6:$N$35,MATCH(F78,Zones!$A$6:$A$35,0))*Paramètres!$B$34*(INDEX(Zones!$M$6:$M$35,MATCH(F78,Zones!$A$6:$A$35,0))*(1-Paramètres!$B$46))*(Paramètres!$B$42*(Paramètres!$B$42+1)/2)))</f>
        <v>0</v>
      </c>
      <c r="O78" s="75" t="n">
        <f aca="false">MAX(M78,N78)</f>
        <v>0.19190025</v>
      </c>
      <c r="P78" s="36" t="n">
        <f aca="false">IF(E78="Normal",M78*Paramètres!$B$40,IF(E78="Boss",M78*(Paramètres!$B$41-1)+N78,N78))</f>
        <v>0.57570075</v>
      </c>
      <c r="Q78" s="76" t="str">
        <f aca="false">IF(O78&gt;Paramètres!$B$37,"Trop dur","OK")</f>
        <v>OK</v>
      </c>
      <c r="R78" s="29" t="n">
        <f aca="false" t="array" ref="R78:R78">ROUND(IF(E78="Normal",J78*INDEX(Zones!$O$6:$O$35,MATCH(F78,Zones!$A$6:$A$35,0)),IF(E78="Boss",((Paramètres!$B$41-1)*Paramètres!$B$39+Paramètres!$B$42)*INDEX(Zones!$O$6:$O$35,MATCH(F78,Zones!$A$6:$A$35,0))+INDEX(Zones!$R$6:$R$35,MATCH(F78,Zones!$A$6:$A$35,0)),INDEX(Zones!$R$6:$R$35,MATCH(F78,Zones!$A$6:$A$35,0))))*ROUND(Paramètres!$B$49*B78^Paramètres!$B$50,0),0)</f>
        <v>13824</v>
      </c>
      <c r="S78" s="29" t="n">
        <f aca="false" t="array" ref="S78:S78">ROUND(IF(E78="Normal",J78*INDEX(Zones!$O$6:$O$35,MATCH(F78,Zones!$A$6:$A$35,0)),IF(E78="Boss",((Paramètres!$B$41-1)*Paramètres!$B$39+Paramètres!$B$42)*INDEX(Zones!$O$6:$O$35,MATCH(F78,Zones!$A$6:$A$35,0))+INDEX(Zones!$R$6:$R$35,MATCH(F78,Zones!$A$6:$A$35,0)),INDEX(Zones!$R$6:$R$35,MATCH(F78,Zones!$A$6:$A$35,0))))*ROUND(Paramètres!$B$53*B78^Paramètres!$B$54,0),0)</f>
        <v>10616</v>
      </c>
      <c r="T78" s="22" t="str">
        <f aca="false">IF(E78="Boss",G78,"—")</f>
        <v>—</v>
      </c>
      <c r="U78" s="37" t="n">
        <f aca="false">IF(E78="Dragon",0,(J78-IF(E78="Boss",1,0))*AVERAGEIFS(Monstres!$AL$7:$AL$98,Monstres!$B$7:$B$98,F78,Monstres!$G$7:$G$98,"Non"))</f>
        <v>0.585</v>
      </c>
      <c r="V78" s="74" t="n">
        <f aca="false">IF(E78="Boss",Butin!$E$10,IF(E78="Dragon",Butin!$E$11,0))</f>
        <v>0</v>
      </c>
      <c r="W78" s="37" t="n">
        <f aca="false">U78+V78</f>
        <v>0.585</v>
      </c>
      <c r="X78" s="77" t="n">
        <f aca="false">U78*INDEX(Butin!$E$15:$K$24,MATCH($A78,Éléments!$C$5:$C$14,1),1)+V78*IF(E78="Boss",INDEX(Butin!$E$28:$K$37,MATCH($A78,Éléments!$C$5:$C$14,1),1),IF(E78="Dragon",INDEX(Butin!$E$41:$K$50,MATCH($A78,Éléments!$C$5:$C$14,1),1),0))</f>
        <v>0.0936</v>
      </c>
      <c r="Y78" s="77" t="n">
        <f aca="false">U78*INDEX(Butin!$E$15:$K$24,MATCH($A78,Éléments!$C$5:$C$14,1),2)+V78*IF(E78="Boss",INDEX(Butin!$E$28:$K$37,MATCH($A78,Éléments!$C$5:$C$14,1),2),IF(E78="Dragon",INDEX(Butin!$E$41:$K$50,MATCH($A78,Éléments!$C$5:$C$14,1),2),0))</f>
        <v>0.14625</v>
      </c>
      <c r="Z78" s="77" t="n">
        <f aca="false">U78*INDEX(Butin!$E$15:$K$24,MATCH($A78,Éléments!$C$5:$C$14,1),3)+V78*IF(E78="Boss",INDEX(Butin!$E$28:$K$37,MATCH($A78,Éléments!$C$5:$C$14,1),3),IF(E78="Dragon",INDEX(Butin!$E$41:$K$50,MATCH($A78,Éléments!$C$5:$C$14,1),3),0))</f>
        <v>0.1638</v>
      </c>
      <c r="AA78" s="77" t="n">
        <f aca="false">U78*INDEX(Butin!$E$15:$K$24,MATCH($A78,Éléments!$C$5:$C$14,1),4)+V78*IF(E78="Boss",INDEX(Butin!$E$28:$K$37,MATCH($A78,Éléments!$C$5:$C$14,1),4),IF(E78="Dragon",INDEX(Butin!$E$41:$K$50,MATCH($A78,Éléments!$C$5:$C$14,1),4),0))</f>
        <v>0.11115</v>
      </c>
      <c r="AB78" s="77" t="n">
        <f aca="false">U78*INDEX(Butin!$E$15:$K$24,MATCH($A78,Éléments!$C$5:$C$14,1),5)+V78*IF(E78="Boss",INDEX(Butin!$E$28:$K$37,MATCH($A78,Éléments!$C$5:$C$14,1),5),IF(E78="Dragon",INDEX(Butin!$E$41:$K$50,MATCH($A78,Éléments!$C$5:$C$14,1),5),0))</f>
        <v>0.05382</v>
      </c>
      <c r="AC78" s="77" t="n">
        <f aca="false">U78*INDEX(Butin!$E$15:$K$24,MATCH($A78,Éléments!$C$5:$C$14,1),6)+V78*IF(E78="Boss",INDEX(Butin!$E$28:$K$37,MATCH($A78,Éléments!$C$5:$C$14,1),6),IF(E78="Dragon",INDEX(Butin!$E$41:$K$50,MATCH($A78,Éléments!$C$5:$C$14,1),6),0))</f>
        <v>0.01404</v>
      </c>
      <c r="AD78" s="77" t="n">
        <f aca="false">U78*INDEX(Butin!$E$15:$K$24,MATCH($A78,Éléments!$C$5:$C$14,1),7)+V78*IF(E78="Boss",INDEX(Butin!$E$28:$K$37,MATCH($A78,Éléments!$C$5:$C$14,1),7),IF(E78="Dragon",INDEX(Butin!$E$41:$K$50,MATCH($A78,Éléments!$C$5:$C$14,1),7),0))</f>
        <v>0.00234</v>
      </c>
    </row>
    <row r="79" customFormat="false" ht="15.75" hidden="false" customHeight="true" outlineLevel="0" collapsed="false">
      <c r="A79" s="71" t="n">
        <v>74</v>
      </c>
      <c r="B79" s="23" t="n">
        <f aca="false">A79</f>
        <v>74</v>
      </c>
      <c r="C79" s="23" t="str">
        <f aca="false" t="array" ref="C79:C79">INDEX(Éléments!$B$5:$B$14,MATCH(A79,Éléments!$C$5:$C$14,1))</f>
        <v>Haute montagne</v>
      </c>
      <c r="D79" s="47" t="str">
        <f aca="false" t="array" ref="D79:D79">INDEX(Éléments!$A$5:$A$14,MATCH(A79,Éléments!$C$5:$C$14,1))</f>
        <v>Électricité</v>
      </c>
      <c r="E79" s="23" t="str">
        <f aca="false">IF(MOD(A79,5)=0,"Boss",IF(MOD(A79,10)=9,"Dragon","Normal"))</f>
        <v>Normal</v>
      </c>
      <c r="F79" s="23" t="n">
        <f aca="false">IF(E79="Normal",5*ROUNDUP(A79/5,0),A79)</f>
        <v>75</v>
      </c>
      <c r="G79" s="22" t="str">
        <f aca="false" t="array" ref="G79:G79">INDEX(Zones!$B$6:$B$35,MATCH(F79,Zones!$A$6:$A$35,0))</f>
        <v>Sommet des montagnes</v>
      </c>
      <c r="H79" s="22" t="str">
        <f aca="false" t="array" ref="H79:H79">IF(E79="Normal","—",INDEX(Zones!$L$6:$L$35,MATCH(F79,Zones!$A$6:$A$35,0)))</f>
        <v>—</v>
      </c>
      <c r="I79" s="27" t="n">
        <f aca="false">IF(E79="Normal",Paramètres!$B$40,IF(E79="Boss",Paramètres!$B$41,1))</f>
        <v>3</v>
      </c>
      <c r="J79" s="23" t="n">
        <f aca="false">IF(E79="Normal",Paramètres!$B$40*Paramètres!$B$39,IF(E79="Boss",(Paramètres!$B$41-1)*Paramètres!$B$39+Paramètres!$B$42+1,1))</f>
        <v>9</v>
      </c>
      <c r="K79" s="33" t="n">
        <f aca="false" t="array" ref="K79:K79">IF(E79="Normal",Paramètres!$B$40*Paramètres!$B$39*(INDEX(Zones!$M$6:$M$35,MATCH(F79,Zones!$A$6:$A$35,0))*(1-Paramètres!$B$46)),IF(E79="Boss",((Paramètres!$B$41-1)*Paramètres!$B$39+Paramètres!$B$42)*(INDEX(Zones!$M$6:$M$35,MATCH(F79,Zones!$A$6:$A$35,0))*(1-Paramètres!$B$46))+INDEX(Zones!$P$6:$P$35,MATCH(F79,Zones!$A$6:$A$35,0)),INDEX(Zones!$P$6:$P$35,MATCH(F79,Zones!$A$6:$A$35,0))))</f>
        <v>19.575</v>
      </c>
      <c r="L79" s="27" t="n">
        <f aca="false">K79*Paramètres!$B$45+I79*Paramètres!$B$47</f>
        <v>109.875</v>
      </c>
      <c r="M79" s="30" t="n">
        <f aca="false" t="array" ref="M79:M79">IF(E79="Dragon",0,(INDEX(Zones!$N$6:$N$35,MATCH(F79,Zones!$A$6:$A$35,0))*Paramètres!$B$34*(INDEX(Zones!$M$6:$M$35,MATCH(F79,Zones!$A$6:$A$35,0))*(1-Paramètres!$B$46))*Paramètres!$B$39*(Paramètres!$B$39+1)/2))</f>
        <v>0.19190025</v>
      </c>
      <c r="N79" s="30" t="n">
        <f aca="false" t="array" ref="N79:N79">IF(E79="Normal",0,IF(E79="Dragon",INDEX(Zones!$Q$6:$Q$35,MATCH(F79,Zones!$A$6:$A$35,0))*Paramètres!$B$34*INDEX(Zones!$P$6:$P$35,MATCH(F79,Zones!$A$6:$A$35,0)),INDEX(Zones!$Q$6:$Q$35,MATCH(F79,Zones!$A$6:$A$35,0))*Paramètres!$B$34*(INDEX(Zones!$P$6:$P$35,MATCH(F79,Zones!$A$6:$A$35,0))+Paramètres!$B$42*(INDEX(Zones!$M$6:$M$35,MATCH(F79,Zones!$A$6:$A$35,0))*(1-Paramètres!$B$46)))+INDEX(Zones!$N$6:$N$35,MATCH(F79,Zones!$A$6:$A$35,0))*Paramètres!$B$34*(INDEX(Zones!$M$6:$M$35,MATCH(F79,Zones!$A$6:$A$35,0))*(1-Paramètres!$B$46))*(Paramètres!$B$42*(Paramètres!$B$42+1)/2)))</f>
        <v>0</v>
      </c>
      <c r="O79" s="75" t="n">
        <f aca="false">MAX(M79,N79)</f>
        <v>0.19190025</v>
      </c>
      <c r="P79" s="36" t="n">
        <f aca="false">IF(E79="Normal",M79*Paramètres!$B$40,IF(E79="Boss",M79*(Paramètres!$B$41-1)+N79,N79))</f>
        <v>0.57570075</v>
      </c>
      <c r="Q79" s="76" t="str">
        <f aca="false">IF(O79&gt;Paramètres!$B$37,"Trop dur","OK")</f>
        <v>OK</v>
      </c>
      <c r="R79" s="29" t="n">
        <f aca="false" t="array" ref="R79:R79">ROUND(IF(E79="Normal",J79*INDEX(Zones!$O$6:$O$35,MATCH(F79,Zones!$A$6:$A$35,0)),IF(E79="Boss",((Paramètres!$B$41-1)*Paramètres!$B$39+Paramètres!$B$42)*INDEX(Zones!$O$6:$O$35,MATCH(F79,Zones!$A$6:$A$35,0))+INDEX(Zones!$R$6:$R$35,MATCH(F79,Zones!$A$6:$A$35,0)),INDEX(Zones!$R$6:$R$35,MATCH(F79,Zones!$A$6:$A$35,0))))*ROUND(Paramètres!$B$49*B79^Paramètres!$B$50,0),0)</f>
        <v>14062</v>
      </c>
      <c r="S79" s="29" t="n">
        <f aca="false" t="array" ref="S79:S79">ROUND(IF(E79="Normal",J79*INDEX(Zones!$O$6:$O$35,MATCH(F79,Zones!$A$6:$A$35,0)),IF(E79="Boss",((Paramètres!$B$41-1)*Paramètres!$B$39+Paramètres!$B$42)*INDEX(Zones!$O$6:$O$35,MATCH(F79,Zones!$A$6:$A$35,0))+INDEX(Zones!$R$6:$R$35,MATCH(F79,Zones!$A$6:$A$35,0)),INDEX(Zones!$R$6:$R$35,MATCH(F79,Zones!$A$6:$A$35,0))))*ROUND(Paramètres!$B$53*B79^Paramètres!$B$54,0),0)</f>
        <v>10811</v>
      </c>
      <c r="T79" s="22" t="str">
        <f aca="false">IF(E79="Boss",G79,"—")</f>
        <v>—</v>
      </c>
      <c r="U79" s="37" t="n">
        <f aca="false">IF(E79="Dragon",0,(J79-IF(E79="Boss",1,0))*AVERAGEIFS(Monstres!$AL$7:$AL$98,Monstres!$B$7:$B$98,F79,Monstres!$G$7:$G$98,"Non"))</f>
        <v>0.585</v>
      </c>
      <c r="V79" s="74" t="n">
        <f aca="false">IF(E79="Boss",Butin!$E$10,IF(E79="Dragon",Butin!$E$11,0))</f>
        <v>0</v>
      </c>
      <c r="W79" s="37" t="n">
        <f aca="false">U79+V79</f>
        <v>0.585</v>
      </c>
      <c r="X79" s="77" t="n">
        <f aca="false">U79*INDEX(Butin!$E$15:$K$24,MATCH($A79,Éléments!$C$5:$C$14,1),1)+V79*IF(E79="Boss",INDEX(Butin!$E$28:$K$37,MATCH($A79,Éléments!$C$5:$C$14,1),1),IF(E79="Dragon",INDEX(Butin!$E$41:$K$50,MATCH($A79,Éléments!$C$5:$C$14,1),1),0))</f>
        <v>0.0936</v>
      </c>
      <c r="Y79" s="77" t="n">
        <f aca="false">U79*INDEX(Butin!$E$15:$K$24,MATCH($A79,Éléments!$C$5:$C$14,1),2)+V79*IF(E79="Boss",INDEX(Butin!$E$28:$K$37,MATCH($A79,Éléments!$C$5:$C$14,1),2),IF(E79="Dragon",INDEX(Butin!$E$41:$K$50,MATCH($A79,Éléments!$C$5:$C$14,1),2),0))</f>
        <v>0.14625</v>
      </c>
      <c r="Z79" s="77" t="n">
        <f aca="false">U79*INDEX(Butin!$E$15:$K$24,MATCH($A79,Éléments!$C$5:$C$14,1),3)+V79*IF(E79="Boss",INDEX(Butin!$E$28:$K$37,MATCH($A79,Éléments!$C$5:$C$14,1),3),IF(E79="Dragon",INDEX(Butin!$E$41:$K$50,MATCH($A79,Éléments!$C$5:$C$14,1),3),0))</f>
        <v>0.1638</v>
      </c>
      <c r="AA79" s="77" t="n">
        <f aca="false">U79*INDEX(Butin!$E$15:$K$24,MATCH($A79,Éléments!$C$5:$C$14,1),4)+V79*IF(E79="Boss",INDEX(Butin!$E$28:$K$37,MATCH($A79,Éléments!$C$5:$C$14,1),4),IF(E79="Dragon",INDEX(Butin!$E$41:$K$50,MATCH($A79,Éléments!$C$5:$C$14,1),4),0))</f>
        <v>0.11115</v>
      </c>
      <c r="AB79" s="77" t="n">
        <f aca="false">U79*INDEX(Butin!$E$15:$K$24,MATCH($A79,Éléments!$C$5:$C$14,1),5)+V79*IF(E79="Boss",INDEX(Butin!$E$28:$K$37,MATCH($A79,Éléments!$C$5:$C$14,1),5),IF(E79="Dragon",INDEX(Butin!$E$41:$K$50,MATCH($A79,Éléments!$C$5:$C$14,1),5),0))</f>
        <v>0.05382</v>
      </c>
      <c r="AC79" s="77" t="n">
        <f aca="false">U79*INDEX(Butin!$E$15:$K$24,MATCH($A79,Éléments!$C$5:$C$14,1),6)+V79*IF(E79="Boss",INDEX(Butin!$E$28:$K$37,MATCH($A79,Éléments!$C$5:$C$14,1),6),IF(E79="Dragon",INDEX(Butin!$E$41:$K$50,MATCH($A79,Éléments!$C$5:$C$14,1),6),0))</f>
        <v>0.01404</v>
      </c>
      <c r="AD79" s="77" t="n">
        <f aca="false">U79*INDEX(Butin!$E$15:$K$24,MATCH($A79,Éléments!$C$5:$C$14,1),7)+V79*IF(E79="Boss",INDEX(Butin!$E$28:$K$37,MATCH($A79,Éléments!$C$5:$C$14,1),7),IF(E79="Dragon",INDEX(Butin!$E$41:$K$50,MATCH($A79,Éléments!$C$5:$C$14,1),7),0))</f>
        <v>0.00234</v>
      </c>
    </row>
    <row r="80" customFormat="false" ht="15.75" hidden="false" customHeight="true" outlineLevel="0" collapsed="false">
      <c r="A80" s="71" t="n">
        <v>75</v>
      </c>
      <c r="B80" s="23" t="n">
        <f aca="false">A80</f>
        <v>75</v>
      </c>
      <c r="C80" s="23" t="str">
        <f aca="false" t="array" ref="C80:C80">INDEX(Éléments!$B$5:$B$14,MATCH(A80,Éléments!$C$5:$C$14,1))</f>
        <v>Haute montagne</v>
      </c>
      <c r="D80" s="47" t="str">
        <f aca="false" t="array" ref="D80:D80">INDEX(Éléments!$A$5:$A$14,MATCH(A80,Éléments!$C$5:$C$14,1))</f>
        <v>Électricité</v>
      </c>
      <c r="E80" s="23" t="str">
        <f aca="false">IF(MOD(A80,5)=0,"Boss",IF(MOD(A80,10)=9,"Dragon","Normal"))</f>
        <v>Boss</v>
      </c>
      <c r="F80" s="23" t="n">
        <f aca="false">IF(E80="Normal",5*ROUNDUP(A80/5,0),A80)</f>
        <v>75</v>
      </c>
      <c r="G80" s="22" t="str">
        <f aca="false" t="array" ref="G80:G80">INDEX(Zones!$B$6:$B$35,MATCH(F80,Zones!$A$6:$A$35,0))</f>
        <v>Sommet des montagnes</v>
      </c>
      <c r="H80" s="22" t="str">
        <f aca="false" t="array" ref="H80:H80">IF(E80="Normal","—",INDEX(Zones!$L$6:$L$35,MATCH(F80,Zones!$A$6:$A$35,0)))</f>
        <v>Géant électrique</v>
      </c>
      <c r="I80" s="27" t="n">
        <f aca="false">IF(E80="Normal",Paramètres!$B$40,IF(E80="Boss",Paramètres!$B$41,1))</f>
        <v>5</v>
      </c>
      <c r="J80" s="27" t="n">
        <f aca="false">IF(E80="Normal",Paramètres!$B$40*Paramètres!$B$39,IF(E80="Boss",(Paramètres!$B$41-1)*Paramètres!$B$39+Paramètres!$B$42+1,1))</f>
        <v>15</v>
      </c>
      <c r="K80" s="33" t="n">
        <f aca="false" t="array" ref="K80:K80">IF(E80="Normal",Paramètres!$B$40*Paramètres!$B$39*(INDEX(Zones!$M$6:$M$35,MATCH(F80,Zones!$A$6:$A$35,0))*(1-Paramètres!$B$46)),IF(E80="Boss",((Paramètres!$B$41-1)*Paramètres!$B$39+Paramètres!$B$42)*(INDEX(Zones!$M$6:$M$35,MATCH(F80,Zones!$A$6:$A$35,0))*(1-Paramètres!$B$46))+INDEX(Zones!$P$6:$P$35,MATCH(F80,Zones!$A$6:$A$35,0)),INDEX(Zones!$P$6:$P$35,MATCH(F80,Zones!$A$6:$A$35,0))))</f>
        <v>48.45</v>
      </c>
      <c r="L80" s="27" t="n">
        <f aca="false">K80*Paramètres!$B$45+I80*Paramètres!$B$47</f>
        <v>262.25</v>
      </c>
      <c r="M80" s="30" t="n">
        <f aca="false" t="array" ref="M80:M80">IF(E80="Dragon",0,(INDEX(Zones!$N$6:$N$35,MATCH(F80,Zones!$A$6:$A$35,0))*Paramètres!$B$34*(INDEX(Zones!$M$6:$M$35,MATCH(F80,Zones!$A$6:$A$35,0))*(1-Paramètres!$B$46))*Paramètres!$B$39*(Paramètres!$B$39+1)/2))</f>
        <v>0.19190025</v>
      </c>
      <c r="N80" s="30" t="n">
        <f aca="false" t="array" ref="N80:N80">IF(E80="Normal",0,IF(E80="Dragon",INDEX(Zones!$Q$6:$Q$35,MATCH(F80,Zones!$A$6:$A$35,0))*Paramètres!$B$34*INDEX(Zones!$P$6:$P$35,MATCH(F80,Zones!$A$6:$A$35,0)),INDEX(Zones!$Q$6:$Q$35,MATCH(F80,Zones!$A$6:$A$35,0))*Paramètres!$B$34*(INDEX(Zones!$P$6:$P$35,MATCH(F80,Zones!$A$6:$A$35,0))+Paramètres!$B$42*(INDEX(Zones!$M$6:$M$35,MATCH(F80,Zones!$A$6:$A$35,0))*(1-Paramètres!$B$46)))+INDEX(Zones!$N$6:$N$35,MATCH(F80,Zones!$A$6:$A$35,0))*Paramètres!$B$34*(INDEX(Zones!$M$6:$M$35,MATCH(F80,Zones!$A$6:$A$35,0))*(1-Paramètres!$B$46))*(Paramètres!$B$42*(Paramètres!$B$42+1)/2)))</f>
        <v>0.637378875</v>
      </c>
      <c r="O80" s="75" t="n">
        <f aca="false">MAX(M80,N80)</f>
        <v>0.637378875</v>
      </c>
      <c r="P80" s="36" t="n">
        <f aca="false">IF(E80="Normal",M80*Paramètres!$B$40,IF(E80="Boss",M80*(Paramètres!$B$41-1)+N80,N80))</f>
        <v>1.404979875</v>
      </c>
      <c r="Q80" s="76" t="str">
        <f aca="false">IF(O80&gt;Paramètres!$B$37,"Trop dur","OK")</f>
        <v>OK</v>
      </c>
      <c r="R80" s="29" t="n">
        <f aca="false" t="array" ref="R80:R80">ROUND(IF(E80="Normal",J80*INDEX(Zones!$O$6:$O$35,MATCH(F80,Zones!$A$6:$A$35,0)),IF(E80="Boss",((Paramètres!$B$41-1)*Paramètres!$B$39+Paramètres!$B$42)*INDEX(Zones!$O$6:$O$35,MATCH(F80,Zones!$A$6:$A$35,0))+INDEX(Zones!$R$6:$R$35,MATCH(F80,Zones!$A$6:$A$35,0)),INDEX(Zones!$R$6:$R$35,MATCH(F80,Zones!$A$6:$A$35,0))))*ROUND(Paramètres!$B$49*B80^Paramètres!$B$50,0),0)</f>
        <v>32835</v>
      </c>
      <c r="S80" s="29" t="n">
        <f aca="false" t="array" ref="S80:S80">ROUND(IF(E80="Normal",J80*INDEX(Zones!$O$6:$O$35,MATCH(F80,Zones!$A$6:$A$35,0)),IF(E80="Boss",((Paramètres!$B$41-1)*Paramètres!$B$39+Paramètres!$B$42)*INDEX(Zones!$O$6:$O$35,MATCH(F80,Zones!$A$6:$A$35,0))+INDEX(Zones!$R$6:$R$35,MATCH(F80,Zones!$A$6:$A$35,0)),INDEX(Zones!$R$6:$R$35,MATCH(F80,Zones!$A$6:$A$35,0))))*ROUND(Paramètres!$B$53*B80^Paramètres!$B$54,0),0)</f>
        <v>25296</v>
      </c>
      <c r="T80" s="22" t="str">
        <f aca="false">IF(E80="Boss",G80,"—")</f>
        <v>Sommet des montagnes</v>
      </c>
      <c r="U80" s="37" t="n">
        <f aca="false">IF(E80="Dragon",0,(J80-IF(E80="Boss",1,0))*AVERAGEIFS(Monstres!$AL$7:$AL$98,Monstres!$B$7:$B$98,F80,Monstres!$G$7:$G$98,"Non"))</f>
        <v>0.91</v>
      </c>
      <c r="V80" s="74" t="n">
        <f aca="false">IF(E80="Boss",Butin!$E$10,IF(E80="Dragon",Butin!$E$11,0))</f>
        <v>1.4</v>
      </c>
      <c r="W80" s="37" t="n">
        <f aca="false">U80+V80</f>
        <v>2.31</v>
      </c>
      <c r="X80" s="77" t="n">
        <f aca="false">U80*INDEX(Butin!$E$15:$K$24,MATCH($A80,Éléments!$C$5:$C$14,1),1)+V80*IF(E80="Boss",INDEX(Butin!$E$28:$K$37,MATCH($A80,Éléments!$C$5:$C$14,1),1),IF(E80="Dragon",INDEX(Butin!$E$41:$K$50,MATCH($A80,Éléments!$C$5:$C$14,1),1),0))</f>
        <v>0.1736</v>
      </c>
      <c r="Y80" s="77" t="n">
        <f aca="false">U80*INDEX(Butin!$E$15:$K$24,MATCH($A80,Éléments!$C$5:$C$14,1),2)+V80*IF(E80="Boss",INDEX(Butin!$E$28:$K$37,MATCH($A80,Éléments!$C$5:$C$14,1),2),IF(E80="Dragon",INDEX(Butin!$E$41:$K$50,MATCH($A80,Éléments!$C$5:$C$14,1),2),0))</f>
        <v>0.3675</v>
      </c>
      <c r="Z80" s="77" t="n">
        <f aca="false">U80*INDEX(Butin!$E$15:$K$24,MATCH($A80,Éléments!$C$5:$C$14,1),3)+V80*IF(E80="Boss",INDEX(Butin!$E$28:$K$37,MATCH($A80,Éléments!$C$5:$C$14,1),3),IF(E80="Dragon",INDEX(Butin!$E$41:$K$50,MATCH($A80,Éléments!$C$5:$C$14,1),3),0))</f>
        <v>0.5908</v>
      </c>
      <c r="AA80" s="77" t="n">
        <f aca="false">U80*INDEX(Butin!$E$15:$K$24,MATCH($A80,Éléments!$C$5:$C$14,1),4)+V80*IF(E80="Boss",INDEX(Butin!$E$28:$K$37,MATCH($A80,Éléments!$C$5:$C$14,1),4),IF(E80="Dragon",INDEX(Butin!$E$41:$K$50,MATCH($A80,Éléments!$C$5:$C$14,1),4),0))</f>
        <v>0.5789</v>
      </c>
      <c r="AB80" s="77" t="n">
        <f aca="false">U80*INDEX(Butin!$E$15:$K$24,MATCH($A80,Éléments!$C$5:$C$14,1),5)+V80*IF(E80="Boss",INDEX(Butin!$E$28:$K$37,MATCH($A80,Éléments!$C$5:$C$14,1),5),IF(E80="Dragon",INDEX(Butin!$E$41:$K$50,MATCH($A80,Éléments!$C$5:$C$14,1),5),0))</f>
        <v>0.37772</v>
      </c>
      <c r="AC80" s="77" t="n">
        <f aca="false">U80*INDEX(Butin!$E$15:$K$24,MATCH($A80,Éléments!$C$5:$C$14,1),6)+V80*IF(E80="Boss",INDEX(Butin!$E$28:$K$37,MATCH($A80,Éléments!$C$5:$C$14,1),6),IF(E80="Dragon",INDEX(Butin!$E$41:$K$50,MATCH($A80,Éléments!$C$5:$C$14,1),6),0))</f>
        <v>0.13384</v>
      </c>
      <c r="AD80" s="77" t="n">
        <f aca="false">U80*INDEX(Butin!$E$15:$K$24,MATCH($A80,Éléments!$C$5:$C$14,1),7)+V80*IF(E80="Boss",INDEX(Butin!$E$28:$K$37,MATCH($A80,Éléments!$C$5:$C$14,1),7),IF(E80="Dragon",INDEX(Butin!$E$41:$K$50,MATCH($A80,Éléments!$C$5:$C$14,1),7),0))</f>
        <v>0.08764</v>
      </c>
    </row>
    <row r="81" customFormat="false" ht="15.75" hidden="false" customHeight="true" outlineLevel="0" collapsed="false">
      <c r="A81" s="71" t="n">
        <v>76</v>
      </c>
      <c r="B81" s="23" t="n">
        <f aca="false">A81</f>
        <v>76</v>
      </c>
      <c r="C81" s="23" t="str">
        <f aca="false" t="array" ref="C81:C81">INDEX(Éléments!$B$5:$B$14,MATCH(A81,Éléments!$C$5:$C$14,1))</f>
        <v>Haute montagne</v>
      </c>
      <c r="D81" s="47" t="str">
        <f aca="false" t="array" ref="D81:D81">INDEX(Éléments!$A$5:$A$14,MATCH(A81,Éléments!$C$5:$C$14,1))</f>
        <v>Électricité</v>
      </c>
      <c r="E81" s="23" t="str">
        <f aca="false">IF(MOD(A81,5)=0,"Boss",IF(MOD(A81,10)=9,"Dragon","Normal"))</f>
        <v>Normal</v>
      </c>
      <c r="F81" s="23" t="n">
        <f aca="false">IF(E81="Normal",5*ROUNDUP(A81/5,0),A81)</f>
        <v>80</v>
      </c>
      <c r="G81" s="22" t="str">
        <f aca="false" t="array" ref="G81:G81">INDEX(Zones!$B$6:$B$35,MATCH(F81,Zones!$A$6:$A$35,0))</f>
        <v>Orage (80)</v>
      </c>
      <c r="H81" s="22" t="str">
        <f aca="false" t="array" ref="H81:H81">IF(E81="Normal","—",INDEX(Zones!$L$6:$L$35,MATCH(F81,Zones!$A$6:$A$35,0)))</f>
        <v>—</v>
      </c>
      <c r="I81" s="27" t="n">
        <f aca="false">IF(E81="Normal",Paramètres!$B$40,IF(E81="Boss",Paramètres!$B$41,1))</f>
        <v>3</v>
      </c>
      <c r="J81" s="23" t="n">
        <f aca="false">IF(E81="Normal",Paramètres!$B$40*Paramètres!$B$39,IF(E81="Boss",(Paramètres!$B$41-1)*Paramètres!$B$39+Paramètres!$B$42+1,1))</f>
        <v>9</v>
      </c>
      <c r="K81" s="33" t="n">
        <f aca="false" t="array" ref="K81:K81">IF(E81="Normal",Paramètres!$B$40*Paramètres!$B$39*(INDEX(Zones!$M$6:$M$35,MATCH(F81,Zones!$A$6:$A$35,0))*(1-Paramètres!$B$46)),IF(E81="Boss",((Paramètres!$B$41-1)*Paramètres!$B$39+Paramètres!$B$42)*(INDEX(Zones!$M$6:$M$35,MATCH(F81,Zones!$A$6:$A$35,0))*(1-Paramètres!$B$46))+INDEX(Zones!$P$6:$P$35,MATCH(F81,Zones!$A$6:$A$35,0)),INDEX(Zones!$P$6:$P$35,MATCH(F81,Zones!$A$6:$A$35,0))))</f>
        <v>11.475</v>
      </c>
      <c r="L81" s="27" t="n">
        <f aca="false">K81*Paramètres!$B$45+I81*Paramètres!$B$47</f>
        <v>69.375</v>
      </c>
      <c r="M81" s="30" t="n">
        <f aca="false" t="array" ref="M81:M81">IF(E81="Dragon",0,(INDEX(Zones!$N$6:$N$35,MATCH(F81,Zones!$A$6:$A$35,0))*Paramètres!$B$34*(INDEX(Zones!$M$6:$M$35,MATCH(F81,Zones!$A$6:$A$35,0))*(1-Paramètres!$B$46))*Paramètres!$B$39*(Paramètres!$B$39+1)/2))</f>
        <v>0.10989225</v>
      </c>
      <c r="N81" s="30" t="n">
        <f aca="false" t="array" ref="N81:N81">IF(E81="Normal",0,IF(E81="Dragon",INDEX(Zones!$Q$6:$Q$35,MATCH(F81,Zones!$A$6:$A$35,0))*Paramètres!$B$34*INDEX(Zones!$P$6:$P$35,MATCH(F81,Zones!$A$6:$A$35,0)),INDEX(Zones!$Q$6:$Q$35,MATCH(F81,Zones!$A$6:$A$35,0))*Paramètres!$B$34*(INDEX(Zones!$P$6:$P$35,MATCH(F81,Zones!$A$6:$A$35,0))+Paramètres!$B$42*(INDEX(Zones!$M$6:$M$35,MATCH(F81,Zones!$A$6:$A$35,0))*(1-Paramètres!$B$46)))+INDEX(Zones!$N$6:$N$35,MATCH(F81,Zones!$A$6:$A$35,0))*Paramètres!$B$34*(INDEX(Zones!$M$6:$M$35,MATCH(F81,Zones!$A$6:$A$35,0))*(1-Paramètres!$B$46))*(Paramètres!$B$42*(Paramètres!$B$42+1)/2)))</f>
        <v>0</v>
      </c>
      <c r="O81" s="75" t="n">
        <f aca="false">MAX(M81,N81)</f>
        <v>0.10989225</v>
      </c>
      <c r="P81" s="36" t="n">
        <f aca="false">IF(E81="Normal",M81*Paramètres!$B$40,IF(E81="Boss",M81*(Paramètres!$B$41-1)+N81,N81))</f>
        <v>0.32967675</v>
      </c>
      <c r="Q81" s="76" t="str">
        <f aca="false">IF(O81&gt;Paramètres!$B$37,"Trop dur","OK")</f>
        <v>OK</v>
      </c>
      <c r="R81" s="29" t="n">
        <f aca="false" t="array" ref="R81:R81">ROUND(IF(E81="Normal",J81*INDEX(Zones!$O$6:$O$35,MATCH(F81,Zones!$A$6:$A$35,0)),IF(E81="Boss",((Paramètres!$B$41-1)*Paramètres!$B$39+Paramètres!$B$42)*INDEX(Zones!$O$6:$O$35,MATCH(F81,Zones!$A$6:$A$35,0))+INDEX(Zones!$R$6:$R$35,MATCH(F81,Zones!$A$6:$A$35,0)),INDEX(Zones!$R$6:$R$35,MATCH(F81,Zones!$A$6:$A$35,0))))*ROUND(Paramètres!$B$49*B81^Paramètres!$B$50,0),0)</f>
        <v>12114</v>
      </c>
      <c r="S81" s="29" t="n">
        <f aca="false" t="array" ref="S81:S81">ROUND(IF(E81="Normal",J81*INDEX(Zones!$O$6:$O$35,MATCH(F81,Zones!$A$6:$A$35,0)),IF(E81="Boss",((Paramètres!$B$41-1)*Paramètres!$B$39+Paramètres!$B$42)*INDEX(Zones!$O$6:$O$35,MATCH(F81,Zones!$A$6:$A$35,0))+INDEX(Zones!$R$6:$R$35,MATCH(F81,Zones!$A$6:$A$35,0)),INDEX(Zones!$R$6:$R$35,MATCH(F81,Zones!$A$6:$A$35,0))))*ROUND(Paramètres!$B$53*B81^Paramètres!$B$54,0),0)</f>
        <v>9342</v>
      </c>
      <c r="T81" s="22" t="str">
        <f aca="false">IF(E81="Boss",G81,"—")</f>
        <v>—</v>
      </c>
      <c r="U81" s="37" t="n">
        <f aca="false">IF(E81="Dragon",0,(J81-IF(E81="Boss",1,0))*AVERAGEIFS(Monstres!$AL$7:$AL$98,Monstres!$B$7:$B$98,F81,Monstres!$G$7:$G$98,"Non"))</f>
        <v>0.45</v>
      </c>
      <c r="V81" s="74" t="n">
        <f aca="false">IF(E81="Boss",Butin!$E$10,IF(E81="Dragon",Butin!$E$11,0))</f>
        <v>0</v>
      </c>
      <c r="W81" s="37" t="n">
        <f aca="false">U81+V81</f>
        <v>0.45</v>
      </c>
      <c r="X81" s="77" t="n">
        <f aca="false">U81*INDEX(Butin!$E$15:$K$24,MATCH($A81,Éléments!$C$5:$C$14,1),1)+V81*IF(E81="Boss",INDEX(Butin!$E$28:$K$37,MATCH($A81,Éléments!$C$5:$C$14,1),1),IF(E81="Dragon",INDEX(Butin!$E$41:$K$50,MATCH($A81,Éléments!$C$5:$C$14,1),1),0))</f>
        <v>0.072</v>
      </c>
      <c r="Y81" s="77" t="n">
        <f aca="false">U81*INDEX(Butin!$E$15:$K$24,MATCH($A81,Éléments!$C$5:$C$14,1),2)+V81*IF(E81="Boss",INDEX(Butin!$E$28:$K$37,MATCH($A81,Éléments!$C$5:$C$14,1),2),IF(E81="Dragon",INDEX(Butin!$E$41:$K$50,MATCH($A81,Éléments!$C$5:$C$14,1),2),0))</f>
        <v>0.1125</v>
      </c>
      <c r="Z81" s="77" t="n">
        <f aca="false">U81*INDEX(Butin!$E$15:$K$24,MATCH($A81,Éléments!$C$5:$C$14,1),3)+V81*IF(E81="Boss",INDEX(Butin!$E$28:$K$37,MATCH($A81,Éléments!$C$5:$C$14,1),3),IF(E81="Dragon",INDEX(Butin!$E$41:$K$50,MATCH($A81,Éléments!$C$5:$C$14,1),3),0))</f>
        <v>0.126</v>
      </c>
      <c r="AA81" s="77" t="n">
        <f aca="false">U81*INDEX(Butin!$E$15:$K$24,MATCH($A81,Éléments!$C$5:$C$14,1),4)+V81*IF(E81="Boss",INDEX(Butin!$E$28:$K$37,MATCH($A81,Éléments!$C$5:$C$14,1),4),IF(E81="Dragon",INDEX(Butin!$E$41:$K$50,MATCH($A81,Éléments!$C$5:$C$14,1),4),0))</f>
        <v>0.0855</v>
      </c>
      <c r="AB81" s="77" t="n">
        <f aca="false">U81*INDEX(Butin!$E$15:$K$24,MATCH($A81,Éléments!$C$5:$C$14,1),5)+V81*IF(E81="Boss",INDEX(Butin!$E$28:$K$37,MATCH($A81,Éléments!$C$5:$C$14,1),5),IF(E81="Dragon",INDEX(Butin!$E$41:$K$50,MATCH($A81,Éléments!$C$5:$C$14,1),5),0))</f>
        <v>0.0414</v>
      </c>
      <c r="AC81" s="77" t="n">
        <f aca="false">U81*INDEX(Butin!$E$15:$K$24,MATCH($A81,Éléments!$C$5:$C$14,1),6)+V81*IF(E81="Boss",INDEX(Butin!$E$28:$K$37,MATCH($A81,Éléments!$C$5:$C$14,1),6),IF(E81="Dragon",INDEX(Butin!$E$41:$K$50,MATCH($A81,Éléments!$C$5:$C$14,1),6),0))</f>
        <v>0.0108</v>
      </c>
      <c r="AD81" s="77" t="n">
        <f aca="false">U81*INDEX(Butin!$E$15:$K$24,MATCH($A81,Éléments!$C$5:$C$14,1),7)+V81*IF(E81="Boss",INDEX(Butin!$E$28:$K$37,MATCH($A81,Éléments!$C$5:$C$14,1),7),IF(E81="Dragon",INDEX(Butin!$E$41:$K$50,MATCH($A81,Éléments!$C$5:$C$14,1),7),0))</f>
        <v>0.0018</v>
      </c>
    </row>
    <row r="82" customFormat="false" ht="15.75" hidden="false" customHeight="true" outlineLevel="0" collapsed="false">
      <c r="A82" s="71" t="n">
        <v>77</v>
      </c>
      <c r="B82" s="23" t="n">
        <f aca="false">A82</f>
        <v>77</v>
      </c>
      <c r="C82" s="23" t="str">
        <f aca="false" t="array" ref="C82:C82">INDEX(Éléments!$B$5:$B$14,MATCH(A82,Éléments!$C$5:$C$14,1))</f>
        <v>Haute montagne</v>
      </c>
      <c r="D82" s="47" t="str">
        <f aca="false" t="array" ref="D82:D82">INDEX(Éléments!$A$5:$A$14,MATCH(A82,Éléments!$C$5:$C$14,1))</f>
        <v>Électricité</v>
      </c>
      <c r="E82" s="23" t="str">
        <f aca="false">IF(MOD(A82,5)=0,"Boss",IF(MOD(A82,10)=9,"Dragon","Normal"))</f>
        <v>Normal</v>
      </c>
      <c r="F82" s="23" t="n">
        <f aca="false">IF(E82="Normal",5*ROUNDUP(A82/5,0),A82)</f>
        <v>80</v>
      </c>
      <c r="G82" s="22" t="str">
        <f aca="false" t="array" ref="G82:G82">INDEX(Zones!$B$6:$B$35,MATCH(F82,Zones!$A$6:$A$35,0))</f>
        <v>Orage (80)</v>
      </c>
      <c r="H82" s="22" t="str">
        <f aca="false" t="array" ref="H82:H82">IF(E82="Normal","—",INDEX(Zones!$L$6:$L$35,MATCH(F82,Zones!$A$6:$A$35,0)))</f>
        <v>—</v>
      </c>
      <c r="I82" s="27" t="n">
        <f aca="false">IF(E82="Normal",Paramètres!$B$40,IF(E82="Boss",Paramètres!$B$41,1))</f>
        <v>3</v>
      </c>
      <c r="J82" s="23" t="n">
        <f aca="false">IF(E82="Normal",Paramètres!$B$40*Paramètres!$B$39,IF(E82="Boss",(Paramètres!$B$41-1)*Paramètres!$B$39+Paramètres!$B$42+1,1))</f>
        <v>9</v>
      </c>
      <c r="K82" s="33" t="n">
        <f aca="false" t="array" ref="K82:K82">IF(E82="Normal",Paramètres!$B$40*Paramètres!$B$39*(INDEX(Zones!$M$6:$M$35,MATCH(F82,Zones!$A$6:$A$35,0))*(1-Paramètres!$B$46)),IF(E82="Boss",((Paramètres!$B$41-1)*Paramètres!$B$39+Paramètres!$B$42)*(INDEX(Zones!$M$6:$M$35,MATCH(F82,Zones!$A$6:$A$35,0))*(1-Paramètres!$B$46))+INDEX(Zones!$P$6:$P$35,MATCH(F82,Zones!$A$6:$A$35,0)),INDEX(Zones!$P$6:$P$35,MATCH(F82,Zones!$A$6:$A$35,0))))</f>
        <v>11.475</v>
      </c>
      <c r="L82" s="27" t="n">
        <f aca="false">K82*Paramètres!$B$45+I82*Paramètres!$B$47</f>
        <v>69.375</v>
      </c>
      <c r="M82" s="30" t="n">
        <f aca="false" t="array" ref="M82:M82">IF(E82="Dragon",0,(INDEX(Zones!$N$6:$N$35,MATCH(F82,Zones!$A$6:$A$35,0))*Paramètres!$B$34*(INDEX(Zones!$M$6:$M$35,MATCH(F82,Zones!$A$6:$A$35,0))*(1-Paramètres!$B$46))*Paramètres!$B$39*(Paramètres!$B$39+1)/2))</f>
        <v>0.10989225</v>
      </c>
      <c r="N82" s="30" t="n">
        <f aca="false" t="array" ref="N82:N82">IF(E82="Normal",0,IF(E82="Dragon",INDEX(Zones!$Q$6:$Q$35,MATCH(F82,Zones!$A$6:$A$35,0))*Paramètres!$B$34*INDEX(Zones!$P$6:$P$35,MATCH(F82,Zones!$A$6:$A$35,0)),INDEX(Zones!$Q$6:$Q$35,MATCH(F82,Zones!$A$6:$A$35,0))*Paramètres!$B$34*(INDEX(Zones!$P$6:$P$35,MATCH(F82,Zones!$A$6:$A$35,0))+Paramètres!$B$42*(INDEX(Zones!$M$6:$M$35,MATCH(F82,Zones!$A$6:$A$35,0))*(1-Paramètres!$B$46)))+INDEX(Zones!$N$6:$N$35,MATCH(F82,Zones!$A$6:$A$35,0))*Paramètres!$B$34*(INDEX(Zones!$M$6:$M$35,MATCH(F82,Zones!$A$6:$A$35,0))*(1-Paramètres!$B$46))*(Paramètres!$B$42*(Paramètres!$B$42+1)/2)))</f>
        <v>0</v>
      </c>
      <c r="O82" s="75" t="n">
        <f aca="false">MAX(M82,N82)</f>
        <v>0.10989225</v>
      </c>
      <c r="P82" s="36" t="n">
        <f aca="false">IF(E82="Normal",M82*Paramètres!$B$40,IF(E82="Boss",M82*(Paramètres!$B$41-1)+N82,N82))</f>
        <v>0.32967675</v>
      </c>
      <c r="Q82" s="76" t="str">
        <f aca="false">IF(O82&gt;Paramètres!$B$37,"Trop dur","OK")</f>
        <v>OK</v>
      </c>
      <c r="R82" s="29" t="n">
        <f aca="false" t="array" ref="R82:R82">ROUND(IF(E82="Normal",J82*INDEX(Zones!$O$6:$O$35,MATCH(F82,Zones!$A$6:$A$35,0)),IF(E82="Boss",((Paramètres!$B$41-1)*Paramètres!$B$39+Paramètres!$B$42)*INDEX(Zones!$O$6:$O$35,MATCH(F82,Zones!$A$6:$A$35,0))+INDEX(Zones!$R$6:$R$35,MATCH(F82,Zones!$A$6:$A$35,0)),INDEX(Zones!$R$6:$R$35,MATCH(F82,Zones!$A$6:$A$35,0))))*ROUND(Paramètres!$B$49*B82^Paramètres!$B$50,0),0)</f>
        <v>12321</v>
      </c>
      <c r="S82" s="29" t="n">
        <f aca="false" t="array" ref="S82:S82">ROUND(IF(E82="Normal",J82*INDEX(Zones!$O$6:$O$35,MATCH(F82,Zones!$A$6:$A$35,0)),IF(E82="Boss",((Paramètres!$B$41-1)*Paramètres!$B$39+Paramètres!$B$42)*INDEX(Zones!$O$6:$O$35,MATCH(F82,Zones!$A$6:$A$35,0))+INDEX(Zones!$R$6:$R$35,MATCH(F82,Zones!$A$6:$A$35,0)),INDEX(Zones!$R$6:$R$35,MATCH(F82,Zones!$A$6:$A$35,0))))*ROUND(Paramètres!$B$53*B82^Paramètres!$B$54,0),0)</f>
        <v>9513</v>
      </c>
      <c r="T82" s="22" t="str">
        <f aca="false">IF(E82="Boss",G82,"—")</f>
        <v>—</v>
      </c>
      <c r="U82" s="37" t="n">
        <f aca="false">IF(E82="Dragon",0,(J82-IF(E82="Boss",1,0))*AVERAGEIFS(Monstres!$AL$7:$AL$98,Monstres!$B$7:$B$98,F82,Monstres!$G$7:$G$98,"Non"))</f>
        <v>0.45</v>
      </c>
      <c r="V82" s="74" t="n">
        <f aca="false">IF(E82="Boss",Butin!$E$10,IF(E82="Dragon",Butin!$E$11,0))</f>
        <v>0</v>
      </c>
      <c r="W82" s="37" t="n">
        <f aca="false">U82+V82</f>
        <v>0.45</v>
      </c>
      <c r="X82" s="77" t="n">
        <f aca="false">U82*INDEX(Butin!$E$15:$K$24,MATCH($A82,Éléments!$C$5:$C$14,1),1)+V82*IF(E82="Boss",INDEX(Butin!$E$28:$K$37,MATCH($A82,Éléments!$C$5:$C$14,1),1),IF(E82="Dragon",INDEX(Butin!$E$41:$K$50,MATCH($A82,Éléments!$C$5:$C$14,1),1),0))</f>
        <v>0.072</v>
      </c>
      <c r="Y82" s="77" t="n">
        <f aca="false">U82*INDEX(Butin!$E$15:$K$24,MATCH($A82,Éléments!$C$5:$C$14,1),2)+V82*IF(E82="Boss",INDEX(Butin!$E$28:$K$37,MATCH($A82,Éléments!$C$5:$C$14,1),2),IF(E82="Dragon",INDEX(Butin!$E$41:$K$50,MATCH($A82,Éléments!$C$5:$C$14,1),2),0))</f>
        <v>0.1125</v>
      </c>
      <c r="Z82" s="77" t="n">
        <f aca="false">U82*INDEX(Butin!$E$15:$K$24,MATCH($A82,Éléments!$C$5:$C$14,1),3)+V82*IF(E82="Boss",INDEX(Butin!$E$28:$K$37,MATCH($A82,Éléments!$C$5:$C$14,1),3),IF(E82="Dragon",INDEX(Butin!$E$41:$K$50,MATCH($A82,Éléments!$C$5:$C$14,1),3),0))</f>
        <v>0.126</v>
      </c>
      <c r="AA82" s="77" t="n">
        <f aca="false">U82*INDEX(Butin!$E$15:$K$24,MATCH($A82,Éléments!$C$5:$C$14,1),4)+V82*IF(E82="Boss",INDEX(Butin!$E$28:$K$37,MATCH($A82,Éléments!$C$5:$C$14,1),4),IF(E82="Dragon",INDEX(Butin!$E$41:$K$50,MATCH($A82,Éléments!$C$5:$C$14,1),4),0))</f>
        <v>0.0855</v>
      </c>
      <c r="AB82" s="77" t="n">
        <f aca="false">U82*INDEX(Butin!$E$15:$K$24,MATCH($A82,Éléments!$C$5:$C$14,1),5)+V82*IF(E82="Boss",INDEX(Butin!$E$28:$K$37,MATCH($A82,Éléments!$C$5:$C$14,1),5),IF(E82="Dragon",INDEX(Butin!$E$41:$K$50,MATCH($A82,Éléments!$C$5:$C$14,1),5),0))</f>
        <v>0.0414</v>
      </c>
      <c r="AC82" s="77" t="n">
        <f aca="false">U82*INDEX(Butin!$E$15:$K$24,MATCH($A82,Éléments!$C$5:$C$14,1),6)+V82*IF(E82="Boss",INDEX(Butin!$E$28:$K$37,MATCH($A82,Éléments!$C$5:$C$14,1),6),IF(E82="Dragon",INDEX(Butin!$E$41:$K$50,MATCH($A82,Éléments!$C$5:$C$14,1),6),0))</f>
        <v>0.0108</v>
      </c>
      <c r="AD82" s="77" t="n">
        <f aca="false">U82*INDEX(Butin!$E$15:$K$24,MATCH($A82,Éléments!$C$5:$C$14,1),7)+V82*IF(E82="Boss",INDEX(Butin!$E$28:$K$37,MATCH($A82,Éléments!$C$5:$C$14,1),7),IF(E82="Dragon",INDEX(Butin!$E$41:$K$50,MATCH($A82,Éléments!$C$5:$C$14,1),7),0))</f>
        <v>0.0018</v>
      </c>
    </row>
    <row r="83" customFormat="false" ht="15.75" hidden="false" customHeight="true" outlineLevel="0" collapsed="false">
      <c r="A83" s="71" t="n">
        <v>78</v>
      </c>
      <c r="B83" s="23" t="n">
        <f aca="false">A83</f>
        <v>78</v>
      </c>
      <c r="C83" s="23" t="str">
        <f aca="false" t="array" ref="C83:C83">INDEX(Éléments!$B$5:$B$14,MATCH(A83,Éléments!$C$5:$C$14,1))</f>
        <v>Haute montagne</v>
      </c>
      <c r="D83" s="47" t="str">
        <f aca="false" t="array" ref="D83:D83">INDEX(Éléments!$A$5:$A$14,MATCH(A83,Éléments!$C$5:$C$14,1))</f>
        <v>Électricité</v>
      </c>
      <c r="E83" s="23" t="str">
        <f aca="false">IF(MOD(A83,5)=0,"Boss",IF(MOD(A83,10)=9,"Dragon","Normal"))</f>
        <v>Normal</v>
      </c>
      <c r="F83" s="23" t="n">
        <f aca="false">IF(E83="Normal",5*ROUNDUP(A83/5,0),A83)</f>
        <v>80</v>
      </c>
      <c r="G83" s="22" t="str">
        <f aca="false" t="array" ref="G83:G83">INDEX(Zones!$B$6:$B$35,MATCH(F83,Zones!$A$6:$A$35,0))</f>
        <v>Orage (80)</v>
      </c>
      <c r="H83" s="22" t="str">
        <f aca="false" t="array" ref="H83:H83">IF(E83="Normal","—",INDEX(Zones!$L$6:$L$35,MATCH(F83,Zones!$A$6:$A$35,0)))</f>
        <v>—</v>
      </c>
      <c r="I83" s="27" t="n">
        <f aca="false">IF(E83="Normal",Paramètres!$B$40,IF(E83="Boss",Paramètres!$B$41,1))</f>
        <v>3</v>
      </c>
      <c r="J83" s="23" t="n">
        <f aca="false">IF(E83="Normal",Paramètres!$B$40*Paramètres!$B$39,IF(E83="Boss",(Paramètres!$B$41-1)*Paramètres!$B$39+Paramètres!$B$42+1,1))</f>
        <v>9</v>
      </c>
      <c r="K83" s="33" t="n">
        <f aca="false" t="array" ref="K83:K83">IF(E83="Normal",Paramètres!$B$40*Paramètres!$B$39*(INDEX(Zones!$M$6:$M$35,MATCH(F83,Zones!$A$6:$A$35,0))*(1-Paramètres!$B$46)),IF(E83="Boss",((Paramètres!$B$41-1)*Paramètres!$B$39+Paramètres!$B$42)*(INDEX(Zones!$M$6:$M$35,MATCH(F83,Zones!$A$6:$A$35,0))*(1-Paramètres!$B$46))+INDEX(Zones!$P$6:$P$35,MATCH(F83,Zones!$A$6:$A$35,0)),INDEX(Zones!$P$6:$P$35,MATCH(F83,Zones!$A$6:$A$35,0))))</f>
        <v>11.475</v>
      </c>
      <c r="L83" s="27" t="n">
        <f aca="false">K83*Paramètres!$B$45+I83*Paramètres!$B$47</f>
        <v>69.375</v>
      </c>
      <c r="M83" s="30" t="n">
        <f aca="false" t="array" ref="M83:M83">IF(E83="Dragon",0,(INDEX(Zones!$N$6:$N$35,MATCH(F83,Zones!$A$6:$A$35,0))*Paramètres!$B$34*(INDEX(Zones!$M$6:$M$35,MATCH(F83,Zones!$A$6:$A$35,0))*(1-Paramètres!$B$46))*Paramètres!$B$39*(Paramètres!$B$39+1)/2))</f>
        <v>0.10989225</v>
      </c>
      <c r="N83" s="30" t="n">
        <f aca="false" t="array" ref="N83:N83">IF(E83="Normal",0,IF(E83="Dragon",INDEX(Zones!$Q$6:$Q$35,MATCH(F83,Zones!$A$6:$A$35,0))*Paramètres!$B$34*INDEX(Zones!$P$6:$P$35,MATCH(F83,Zones!$A$6:$A$35,0)),INDEX(Zones!$Q$6:$Q$35,MATCH(F83,Zones!$A$6:$A$35,0))*Paramètres!$B$34*(INDEX(Zones!$P$6:$P$35,MATCH(F83,Zones!$A$6:$A$35,0))+Paramètres!$B$42*(INDEX(Zones!$M$6:$M$35,MATCH(F83,Zones!$A$6:$A$35,0))*(1-Paramètres!$B$46)))+INDEX(Zones!$N$6:$N$35,MATCH(F83,Zones!$A$6:$A$35,0))*Paramètres!$B$34*(INDEX(Zones!$M$6:$M$35,MATCH(F83,Zones!$A$6:$A$35,0))*(1-Paramètres!$B$46))*(Paramètres!$B$42*(Paramètres!$B$42+1)/2)))</f>
        <v>0</v>
      </c>
      <c r="O83" s="75" t="n">
        <f aca="false">MAX(M83,N83)</f>
        <v>0.10989225</v>
      </c>
      <c r="P83" s="36" t="n">
        <f aca="false">IF(E83="Normal",M83*Paramètres!$B$40,IF(E83="Boss",M83*(Paramètres!$B$41-1)+N83,N83))</f>
        <v>0.32967675</v>
      </c>
      <c r="Q83" s="76" t="str">
        <f aca="false">IF(O83&gt;Paramètres!$B$37,"Trop dur","OK")</f>
        <v>OK</v>
      </c>
      <c r="R83" s="29" t="n">
        <f aca="false" t="array" ref="R83:R83">ROUND(IF(E83="Normal",J83*INDEX(Zones!$O$6:$O$35,MATCH(F83,Zones!$A$6:$A$35,0)),IF(E83="Boss",((Paramètres!$B$41-1)*Paramètres!$B$39+Paramètres!$B$42)*INDEX(Zones!$O$6:$O$35,MATCH(F83,Zones!$A$6:$A$35,0))+INDEX(Zones!$R$6:$R$35,MATCH(F83,Zones!$A$6:$A$35,0)),INDEX(Zones!$R$6:$R$35,MATCH(F83,Zones!$A$6:$A$35,0))))*ROUND(Paramètres!$B$49*B83^Paramètres!$B$50,0),0)</f>
        <v>12519</v>
      </c>
      <c r="S83" s="29" t="n">
        <f aca="false" t="array" ref="S83:S83">ROUND(IF(E83="Normal",J83*INDEX(Zones!$O$6:$O$35,MATCH(F83,Zones!$A$6:$A$35,0)),IF(E83="Boss",((Paramètres!$B$41-1)*Paramètres!$B$39+Paramètres!$B$42)*INDEX(Zones!$O$6:$O$35,MATCH(F83,Zones!$A$6:$A$35,0))+INDEX(Zones!$R$6:$R$35,MATCH(F83,Zones!$A$6:$A$35,0)),INDEX(Zones!$R$6:$R$35,MATCH(F83,Zones!$A$6:$A$35,0))))*ROUND(Paramètres!$B$53*B83^Paramètres!$B$54,0),0)</f>
        <v>9675</v>
      </c>
      <c r="T83" s="22" t="str">
        <f aca="false">IF(E83="Boss",G83,"—")</f>
        <v>—</v>
      </c>
      <c r="U83" s="37" t="n">
        <f aca="false">IF(E83="Dragon",0,(J83-IF(E83="Boss",1,0))*AVERAGEIFS(Monstres!$AL$7:$AL$98,Monstres!$B$7:$B$98,F83,Monstres!$G$7:$G$98,"Non"))</f>
        <v>0.45</v>
      </c>
      <c r="V83" s="74" t="n">
        <f aca="false">IF(E83="Boss",Butin!$E$10,IF(E83="Dragon",Butin!$E$11,0))</f>
        <v>0</v>
      </c>
      <c r="W83" s="37" t="n">
        <f aca="false">U83+V83</f>
        <v>0.45</v>
      </c>
      <c r="X83" s="77" t="n">
        <f aca="false">U83*INDEX(Butin!$E$15:$K$24,MATCH($A83,Éléments!$C$5:$C$14,1),1)+V83*IF(E83="Boss",INDEX(Butin!$E$28:$K$37,MATCH($A83,Éléments!$C$5:$C$14,1),1),IF(E83="Dragon",INDEX(Butin!$E$41:$K$50,MATCH($A83,Éléments!$C$5:$C$14,1),1),0))</f>
        <v>0.072</v>
      </c>
      <c r="Y83" s="77" t="n">
        <f aca="false">U83*INDEX(Butin!$E$15:$K$24,MATCH($A83,Éléments!$C$5:$C$14,1),2)+V83*IF(E83="Boss",INDEX(Butin!$E$28:$K$37,MATCH($A83,Éléments!$C$5:$C$14,1),2),IF(E83="Dragon",INDEX(Butin!$E$41:$K$50,MATCH($A83,Éléments!$C$5:$C$14,1),2),0))</f>
        <v>0.1125</v>
      </c>
      <c r="Z83" s="77" t="n">
        <f aca="false">U83*INDEX(Butin!$E$15:$K$24,MATCH($A83,Éléments!$C$5:$C$14,1),3)+V83*IF(E83="Boss",INDEX(Butin!$E$28:$K$37,MATCH($A83,Éléments!$C$5:$C$14,1),3),IF(E83="Dragon",INDEX(Butin!$E$41:$K$50,MATCH($A83,Éléments!$C$5:$C$14,1),3),0))</f>
        <v>0.126</v>
      </c>
      <c r="AA83" s="77" t="n">
        <f aca="false">U83*INDEX(Butin!$E$15:$K$24,MATCH($A83,Éléments!$C$5:$C$14,1),4)+V83*IF(E83="Boss",INDEX(Butin!$E$28:$K$37,MATCH($A83,Éléments!$C$5:$C$14,1),4),IF(E83="Dragon",INDEX(Butin!$E$41:$K$50,MATCH($A83,Éléments!$C$5:$C$14,1),4),0))</f>
        <v>0.0855</v>
      </c>
      <c r="AB83" s="77" t="n">
        <f aca="false">U83*INDEX(Butin!$E$15:$K$24,MATCH($A83,Éléments!$C$5:$C$14,1),5)+V83*IF(E83="Boss",INDEX(Butin!$E$28:$K$37,MATCH($A83,Éléments!$C$5:$C$14,1),5),IF(E83="Dragon",INDEX(Butin!$E$41:$K$50,MATCH($A83,Éléments!$C$5:$C$14,1),5),0))</f>
        <v>0.0414</v>
      </c>
      <c r="AC83" s="77" t="n">
        <f aca="false">U83*INDEX(Butin!$E$15:$K$24,MATCH($A83,Éléments!$C$5:$C$14,1),6)+V83*IF(E83="Boss",INDEX(Butin!$E$28:$K$37,MATCH($A83,Éléments!$C$5:$C$14,1),6),IF(E83="Dragon",INDEX(Butin!$E$41:$K$50,MATCH($A83,Éléments!$C$5:$C$14,1),6),0))</f>
        <v>0.0108</v>
      </c>
      <c r="AD83" s="77" t="n">
        <f aca="false">U83*INDEX(Butin!$E$15:$K$24,MATCH($A83,Éléments!$C$5:$C$14,1),7)+V83*IF(E83="Boss",INDEX(Butin!$E$28:$K$37,MATCH($A83,Éléments!$C$5:$C$14,1),7),IF(E83="Dragon",INDEX(Butin!$E$41:$K$50,MATCH($A83,Éléments!$C$5:$C$14,1),7),0))</f>
        <v>0.0018</v>
      </c>
    </row>
    <row r="84" customFormat="false" ht="15.75" hidden="false" customHeight="true" outlineLevel="0" collapsed="false">
      <c r="A84" s="71" t="n">
        <v>79</v>
      </c>
      <c r="B84" s="23" t="n">
        <f aca="false">A84</f>
        <v>79</v>
      </c>
      <c r="C84" s="23" t="str">
        <f aca="false" t="array" ref="C84:C84">INDEX(Éléments!$B$5:$B$14,MATCH(A84,Éléments!$C$5:$C$14,1))</f>
        <v>Haute montagne</v>
      </c>
      <c r="D84" s="47" t="str">
        <f aca="false" t="array" ref="D84:D84">INDEX(Éléments!$A$5:$A$14,MATCH(A84,Éléments!$C$5:$C$14,1))</f>
        <v>Électricité</v>
      </c>
      <c r="E84" s="23" t="str">
        <f aca="false">IF(MOD(A84,5)=0,"Boss",IF(MOD(A84,10)=9,"Dragon","Normal"))</f>
        <v>Dragon</v>
      </c>
      <c r="F84" s="23" t="n">
        <f aca="false">IF(E84="Normal",5*ROUNDUP(A84/5,0),A84)</f>
        <v>79</v>
      </c>
      <c r="G84" s="22" t="str">
        <f aca="false" t="array" ref="G84:G84">INDEX(Zones!$B$6:$B$35,MATCH(F84,Zones!$A$6:$A$35,0))</f>
        <v>Tannière du dragon (79)</v>
      </c>
      <c r="H84" s="22" t="str">
        <f aca="false" t="array" ref="H84:H84">IF(E84="Normal","—",INDEX(Zones!$L$6:$L$35,MATCH(F84,Zones!$A$6:$A$35,0)))</f>
        <v>Dragon (Électricité)</v>
      </c>
      <c r="I84" s="23" t="n">
        <f aca="false">IF(E84="Normal",Paramètres!$B$40,IF(E84="Boss",Paramètres!$B$41,1))</f>
        <v>1</v>
      </c>
      <c r="J84" s="23" t="n">
        <f aca="false">IF(E84="Normal",Paramètres!$B$40*Paramètres!$B$39,IF(E84="Boss",(Paramètres!$B$41-1)*Paramètres!$B$39+Paramètres!$B$42+1,1))</f>
        <v>1</v>
      </c>
      <c r="K84" s="33" t="n">
        <f aca="false" t="array" ref="K84:K84">IF(E84="Normal",Paramètres!$B$40*Paramètres!$B$39*(INDEX(Zones!$M$6:$M$35,MATCH(F84,Zones!$A$6:$A$35,0))*(1-Paramètres!$B$46)),IF(E84="Boss",((Paramètres!$B$41-1)*Paramètres!$B$39+Paramètres!$B$42)*(INDEX(Zones!$M$6:$M$35,MATCH(F84,Zones!$A$6:$A$35,0))*(1-Paramètres!$B$46))+INDEX(Zones!$P$6:$P$35,MATCH(F84,Zones!$A$6:$A$35,0)),INDEX(Zones!$P$6:$P$35,MATCH(F84,Zones!$A$6:$A$35,0))))</f>
        <v>20</v>
      </c>
      <c r="L84" s="27" t="n">
        <f aca="false">K84*Paramètres!$B$45+I84*Paramètres!$B$47</f>
        <v>104</v>
      </c>
      <c r="M84" s="30" t="n">
        <f aca="false" t="array" ref="M84:M84">IF(E84="Dragon",0,(INDEX(Zones!$N$6:$N$35,MATCH(F84,Zones!$A$6:$A$35,0))*Paramètres!$B$34*(INDEX(Zones!$M$6:$M$35,MATCH(F84,Zones!$A$6:$A$35,0))*(1-Paramètres!$B$46))*Paramètres!$B$39*(Paramètres!$B$39+1)/2))</f>
        <v>0</v>
      </c>
      <c r="N84" s="30" t="n">
        <f aca="false" t="array" ref="N84:N84">IF(E84="Normal",0,IF(E84="Dragon",INDEX(Zones!$Q$6:$Q$35,MATCH(F84,Zones!$A$6:$A$35,0))*Paramètres!$B$34*INDEX(Zones!$P$6:$P$35,MATCH(F84,Zones!$A$6:$A$35,0)),INDEX(Zones!$Q$6:$Q$35,MATCH(F84,Zones!$A$6:$A$35,0))*Paramètres!$B$34*(INDEX(Zones!$P$6:$P$35,MATCH(F84,Zones!$A$6:$A$35,0))+Paramètres!$B$42*(INDEX(Zones!$M$6:$M$35,MATCH(F84,Zones!$A$6:$A$35,0))*(1-Paramètres!$B$46)))+INDEX(Zones!$N$6:$N$35,MATCH(F84,Zones!$A$6:$A$35,0))*Paramètres!$B$34*(INDEX(Zones!$M$6:$M$35,MATCH(F84,Zones!$A$6:$A$35,0))*(1-Paramètres!$B$46))*(Paramètres!$B$42*(Paramètres!$B$42+1)/2)))</f>
        <v>0.51</v>
      </c>
      <c r="O84" s="75" t="n">
        <f aca="false">MAX(M84,N84)</f>
        <v>0.51</v>
      </c>
      <c r="P84" s="36" t="n">
        <f aca="false">IF(E84="Normal",M84*Paramètres!$B$40,IF(E84="Boss",M84*(Paramètres!$B$41-1)+N84,N84))</f>
        <v>0.51</v>
      </c>
      <c r="Q84" s="76" t="str">
        <f aca="false">IF(O84&gt;Paramètres!$B$37,"Trop dur","OK")</f>
        <v>OK</v>
      </c>
      <c r="R84" s="29" t="n">
        <f aca="false" t="array" ref="R84:R84">ROUND(IF(E84="Normal",J84*INDEX(Zones!$O$6:$O$35,MATCH(F84,Zones!$A$6:$A$35,0)),IF(E84="Boss",((Paramètres!$B$41-1)*Paramètres!$B$39+Paramètres!$B$42)*INDEX(Zones!$O$6:$O$35,MATCH(F84,Zones!$A$6:$A$35,0))+INDEX(Zones!$R$6:$R$35,MATCH(F84,Zones!$A$6:$A$35,0)),INDEX(Zones!$R$6:$R$35,MATCH(F84,Zones!$A$6:$A$35,0))))*ROUND(Paramètres!$B$49*B84^Paramètres!$B$50,0),0)</f>
        <v>16956</v>
      </c>
      <c r="S84" s="29" t="n">
        <f aca="false" t="array" ref="S84:S84">ROUND(IF(E84="Normal",J84*INDEX(Zones!$O$6:$O$35,MATCH(F84,Zones!$A$6:$A$35,0)),IF(E84="Boss",((Paramètres!$B$41-1)*Paramètres!$B$39+Paramètres!$B$42)*INDEX(Zones!$O$6:$O$35,MATCH(F84,Zones!$A$6:$A$35,0))+INDEX(Zones!$R$6:$R$35,MATCH(F84,Zones!$A$6:$A$35,0)),INDEX(Zones!$R$6:$R$35,MATCH(F84,Zones!$A$6:$A$35,0))))*ROUND(Paramètres!$B$53*B84^Paramètres!$B$54,0),0)</f>
        <v>13128</v>
      </c>
      <c r="T84" s="22" t="str">
        <f aca="false">IF(E84="Boss",G84,"—")</f>
        <v>—</v>
      </c>
      <c r="U84" s="37" t="n">
        <f aca="false">IF(E84="Dragon",0,(J84-IF(E84="Boss",1,0))*AVERAGEIFS(Monstres!$AL$7:$AL$98,Monstres!$B$7:$B$98,F84,Monstres!$G$7:$G$98,"Non"))</f>
        <v>0</v>
      </c>
      <c r="V84" s="74" t="n">
        <f aca="false">IF(E84="Boss",Butin!$E$10,IF(E84="Dragon",Butin!$E$11,0))</f>
        <v>2.5</v>
      </c>
      <c r="W84" s="37" t="n">
        <f aca="false">U84+V84</f>
        <v>2.5</v>
      </c>
      <c r="X84" s="77" t="n">
        <f aca="false">U84*INDEX(Butin!$E$15:$K$24,MATCH($A84,Éléments!$C$5:$C$14,1),1)+V84*IF(E84="Boss",INDEX(Butin!$E$28:$K$37,MATCH($A84,Éléments!$C$5:$C$14,1),1),IF(E84="Dragon",INDEX(Butin!$E$41:$K$50,MATCH($A84,Éléments!$C$5:$C$14,1),1),0))</f>
        <v>0</v>
      </c>
      <c r="Y84" s="77" t="n">
        <f aca="false">U84*INDEX(Butin!$E$15:$K$24,MATCH($A84,Éléments!$C$5:$C$14,1),2)+V84*IF(E84="Boss",INDEX(Butin!$E$28:$K$37,MATCH($A84,Éléments!$C$5:$C$14,1),2),IF(E84="Dragon",INDEX(Butin!$E$41:$K$50,MATCH($A84,Éléments!$C$5:$C$14,1),2),0))</f>
        <v>0.175</v>
      </c>
      <c r="Z84" s="77" t="n">
        <f aca="false">U84*INDEX(Butin!$E$15:$K$24,MATCH($A84,Éléments!$C$5:$C$14,1),3)+V84*IF(E84="Boss",INDEX(Butin!$E$28:$K$37,MATCH($A84,Éléments!$C$5:$C$14,1),3),IF(E84="Dragon",INDEX(Butin!$E$41:$K$50,MATCH($A84,Éléments!$C$5:$C$14,1),3),0))</f>
        <v>0.45</v>
      </c>
      <c r="AA84" s="77" t="n">
        <f aca="false">U84*INDEX(Butin!$E$15:$K$24,MATCH($A84,Éléments!$C$5:$C$14,1),4)+V84*IF(E84="Boss",INDEX(Butin!$E$28:$K$37,MATCH($A84,Éléments!$C$5:$C$14,1),4),IF(E84="Dragon",INDEX(Butin!$E$41:$K$50,MATCH($A84,Éléments!$C$5:$C$14,1),4),0))</f>
        <v>0.825</v>
      </c>
      <c r="AB84" s="77" t="n">
        <f aca="false">U84*INDEX(Butin!$E$15:$K$24,MATCH($A84,Éléments!$C$5:$C$14,1),5)+V84*IF(E84="Boss",INDEX(Butin!$E$28:$K$37,MATCH($A84,Éléments!$C$5:$C$14,1),5),IF(E84="Dragon",INDEX(Butin!$E$41:$K$50,MATCH($A84,Éléments!$C$5:$C$14,1),5),0))</f>
        <v>0.6125</v>
      </c>
      <c r="AC84" s="77" t="n">
        <f aca="false">U84*INDEX(Butin!$E$15:$K$24,MATCH($A84,Éléments!$C$5:$C$14,1),6)+V84*IF(E84="Boss",INDEX(Butin!$E$28:$K$37,MATCH($A84,Éléments!$C$5:$C$14,1),6),IF(E84="Dragon",INDEX(Butin!$E$41:$K$50,MATCH($A84,Éléments!$C$5:$C$14,1),6),0))</f>
        <v>0.225</v>
      </c>
      <c r="AD84" s="77" t="n">
        <f aca="false">U84*INDEX(Butin!$E$15:$K$24,MATCH($A84,Éléments!$C$5:$C$14,1),7)+V84*IF(E84="Boss",INDEX(Butin!$E$28:$K$37,MATCH($A84,Éléments!$C$5:$C$14,1),7),IF(E84="Dragon",INDEX(Butin!$E$41:$K$50,MATCH($A84,Éléments!$C$5:$C$14,1),7),0))</f>
        <v>0.2125</v>
      </c>
    </row>
    <row r="85" customFormat="false" ht="15.75" hidden="false" customHeight="true" outlineLevel="0" collapsed="false">
      <c r="A85" s="71" t="n">
        <v>80</v>
      </c>
      <c r="B85" s="23" t="n">
        <f aca="false">A85</f>
        <v>80</v>
      </c>
      <c r="C85" s="23" t="str">
        <f aca="false" t="array" ref="C85:C85">INDEX(Éléments!$B$5:$B$14,MATCH(A85,Éléments!$C$5:$C$14,1))</f>
        <v>Haute montagne</v>
      </c>
      <c r="D85" s="47" t="str">
        <f aca="false" t="array" ref="D85:D85">INDEX(Éléments!$A$5:$A$14,MATCH(A85,Éléments!$C$5:$C$14,1))</f>
        <v>Électricité</v>
      </c>
      <c r="E85" s="23" t="str">
        <f aca="false">IF(MOD(A85,5)=0,"Boss",IF(MOD(A85,10)=9,"Dragon","Normal"))</f>
        <v>Boss</v>
      </c>
      <c r="F85" s="23" t="n">
        <f aca="false">IF(E85="Normal",5*ROUNDUP(A85/5,0),A85)</f>
        <v>80</v>
      </c>
      <c r="G85" s="22" t="str">
        <f aca="false" t="array" ref="G85:G85">INDEX(Zones!$B$6:$B$35,MATCH(F85,Zones!$A$6:$A$35,0))</f>
        <v>Orage (80)</v>
      </c>
      <c r="H85" s="22" t="str">
        <f aca="false" t="array" ref="H85:H85">IF(E85="Normal","—",INDEX(Zones!$L$6:$L$35,MATCH(F85,Zones!$A$6:$A$35,0)))</f>
        <v>Wyverne mutante</v>
      </c>
      <c r="I85" s="27" t="n">
        <f aca="false">IF(E85="Normal",Paramètres!$B$40,IF(E85="Boss",Paramètres!$B$41,1))</f>
        <v>5</v>
      </c>
      <c r="J85" s="27" t="n">
        <f aca="false">IF(E85="Normal",Paramètres!$B$40*Paramètres!$B$39,IF(E85="Boss",(Paramètres!$B$41-1)*Paramètres!$B$39+Paramètres!$B$42+1,1))</f>
        <v>15</v>
      </c>
      <c r="K85" s="33" t="n">
        <f aca="false" t="array" ref="K85:K85">IF(E85="Normal",Paramètres!$B$40*Paramètres!$B$39*(INDEX(Zones!$M$6:$M$35,MATCH(F85,Zones!$A$6:$A$35,0))*(1-Paramètres!$B$46)),IF(E85="Boss",((Paramètres!$B$41-1)*Paramètres!$B$39+Paramètres!$B$42)*(INDEX(Zones!$M$6:$M$35,MATCH(F85,Zones!$A$6:$A$35,0))*(1-Paramètres!$B$46))+INDEX(Zones!$P$6:$P$35,MATCH(F85,Zones!$A$6:$A$35,0)),INDEX(Zones!$P$6:$P$35,MATCH(F85,Zones!$A$6:$A$35,0))))</f>
        <v>26.85</v>
      </c>
      <c r="L85" s="27" t="n">
        <f aca="false">K85*Paramètres!$B$45+I85*Paramètres!$B$47</f>
        <v>154.25</v>
      </c>
      <c r="M85" s="30" t="n">
        <f aca="false" t="array" ref="M85:M85">IF(E85="Dragon",0,(INDEX(Zones!$N$6:$N$35,MATCH(F85,Zones!$A$6:$A$35,0))*Paramètres!$B$34*(INDEX(Zones!$M$6:$M$35,MATCH(F85,Zones!$A$6:$A$35,0))*(1-Paramètres!$B$46))*Paramètres!$B$39*(Paramètres!$B$39+1)/2))</f>
        <v>0.10989225</v>
      </c>
      <c r="N85" s="30" t="n">
        <f aca="false" t="array" ref="N85:N85">IF(E85="Normal",0,IF(E85="Dragon",INDEX(Zones!$Q$6:$Q$35,MATCH(F85,Zones!$A$6:$A$35,0))*Paramètres!$B$34*INDEX(Zones!$P$6:$P$35,MATCH(F85,Zones!$A$6:$A$35,0)),INDEX(Zones!$Q$6:$Q$35,MATCH(F85,Zones!$A$6:$A$35,0))*Paramètres!$B$34*(INDEX(Zones!$P$6:$P$35,MATCH(F85,Zones!$A$6:$A$35,0))+Paramètres!$B$42*(INDEX(Zones!$M$6:$M$35,MATCH(F85,Zones!$A$6:$A$35,0))*(1-Paramètres!$B$46)))+INDEX(Zones!$N$6:$N$35,MATCH(F85,Zones!$A$6:$A$35,0))*Paramètres!$B$34*(INDEX(Zones!$M$6:$M$35,MATCH(F85,Zones!$A$6:$A$35,0))*(1-Paramètres!$B$46))*(Paramètres!$B$42*(Paramètres!$B$42+1)/2)))</f>
        <v>0.408376125</v>
      </c>
      <c r="O85" s="75" t="n">
        <f aca="false">MAX(M85,N85)</f>
        <v>0.408376125</v>
      </c>
      <c r="P85" s="36" t="n">
        <f aca="false">IF(E85="Normal",M85*Paramètres!$B$40,IF(E85="Boss",M85*(Paramètres!$B$41-1)+N85,N85))</f>
        <v>0.847945125</v>
      </c>
      <c r="Q85" s="76" t="str">
        <f aca="false">IF(O85&gt;Paramètres!$B$37,"Trop dur","OK")</f>
        <v>OK</v>
      </c>
      <c r="R85" s="29" t="n">
        <f aca="false" t="array" ref="R85:R85">ROUND(IF(E85="Normal",J85*INDEX(Zones!$O$6:$O$35,MATCH(F85,Zones!$A$6:$A$35,0)),IF(E85="Boss",((Paramètres!$B$41-1)*Paramètres!$B$39+Paramètres!$B$42)*INDEX(Zones!$O$6:$O$35,MATCH(F85,Zones!$A$6:$A$35,0))+INDEX(Zones!$R$6:$R$35,MATCH(F85,Zones!$A$6:$A$35,0)),INDEX(Zones!$R$6:$R$35,MATCH(F85,Zones!$A$6:$A$35,0))))*ROUND(Paramètres!$B$49*B85^Paramètres!$B$50,0),0)</f>
        <v>31592</v>
      </c>
      <c r="S85" s="29" t="n">
        <f aca="false" t="array" ref="S85:S85">ROUND(IF(E85="Normal",J85*INDEX(Zones!$O$6:$O$35,MATCH(F85,Zones!$A$6:$A$35,0)),IF(E85="Boss",((Paramètres!$B$41-1)*Paramètres!$B$39+Paramètres!$B$42)*INDEX(Zones!$O$6:$O$35,MATCH(F85,Zones!$A$6:$A$35,0))+INDEX(Zones!$R$6:$R$35,MATCH(F85,Zones!$A$6:$A$35,0)),INDEX(Zones!$R$6:$R$35,MATCH(F85,Zones!$A$6:$A$35,0))))*ROUND(Paramètres!$B$53*B85^Paramètres!$B$54,0),0)</f>
        <v>24464</v>
      </c>
      <c r="T85" s="22" t="str">
        <f aca="false">IF(E85="Boss",G85,"—")</f>
        <v>Orage (80)</v>
      </c>
      <c r="U85" s="37" t="n">
        <f aca="false">IF(E85="Dragon",0,(J85-IF(E85="Boss",1,0))*AVERAGEIFS(Monstres!$AL$7:$AL$98,Monstres!$B$7:$B$98,F85,Monstres!$G$7:$G$98,"Non"))</f>
        <v>0.7</v>
      </c>
      <c r="V85" s="74" t="n">
        <f aca="false">IF(E85="Boss",Butin!$E$10,IF(E85="Dragon",Butin!$E$11,0))</f>
        <v>1.4</v>
      </c>
      <c r="W85" s="37" t="n">
        <f aca="false">U85+V85</f>
        <v>2.1</v>
      </c>
      <c r="X85" s="77" t="n">
        <f aca="false">U85*INDEX(Butin!$E$15:$K$24,MATCH($A85,Éléments!$C$5:$C$14,1),1)+V85*IF(E85="Boss",INDEX(Butin!$E$28:$K$37,MATCH($A85,Éléments!$C$5:$C$14,1),1),IF(E85="Dragon",INDEX(Butin!$E$41:$K$50,MATCH($A85,Éléments!$C$5:$C$14,1),1),0))</f>
        <v>0.14</v>
      </c>
      <c r="Y85" s="77" t="n">
        <f aca="false">U85*INDEX(Butin!$E$15:$K$24,MATCH($A85,Éléments!$C$5:$C$14,1),2)+V85*IF(E85="Boss",INDEX(Butin!$E$28:$K$37,MATCH($A85,Éléments!$C$5:$C$14,1),2),IF(E85="Dragon",INDEX(Butin!$E$41:$K$50,MATCH($A85,Éléments!$C$5:$C$14,1),2),0))</f>
        <v>0.315</v>
      </c>
      <c r="Z85" s="77" t="n">
        <f aca="false">U85*INDEX(Butin!$E$15:$K$24,MATCH($A85,Éléments!$C$5:$C$14,1),3)+V85*IF(E85="Boss",INDEX(Butin!$E$28:$K$37,MATCH($A85,Éléments!$C$5:$C$14,1),3),IF(E85="Dragon",INDEX(Butin!$E$41:$K$50,MATCH($A85,Éléments!$C$5:$C$14,1),3),0))</f>
        <v>0.532</v>
      </c>
      <c r="AA85" s="77" t="n">
        <f aca="false">U85*INDEX(Butin!$E$15:$K$24,MATCH($A85,Éléments!$C$5:$C$14,1),4)+V85*IF(E85="Boss",INDEX(Butin!$E$28:$K$37,MATCH($A85,Éléments!$C$5:$C$14,1),4),IF(E85="Dragon",INDEX(Butin!$E$41:$K$50,MATCH($A85,Éléments!$C$5:$C$14,1),4),0))</f>
        <v>0.539</v>
      </c>
      <c r="AB85" s="77" t="n">
        <f aca="false">U85*INDEX(Butin!$E$15:$K$24,MATCH($A85,Éléments!$C$5:$C$14,1),5)+V85*IF(E85="Boss",INDEX(Butin!$E$28:$K$37,MATCH($A85,Éléments!$C$5:$C$14,1),5),IF(E85="Dragon",INDEX(Butin!$E$41:$K$50,MATCH($A85,Éléments!$C$5:$C$14,1),5),0))</f>
        <v>0.3584</v>
      </c>
      <c r="AC85" s="77" t="n">
        <f aca="false">U85*INDEX(Butin!$E$15:$K$24,MATCH($A85,Éléments!$C$5:$C$14,1),6)+V85*IF(E85="Boss",INDEX(Butin!$E$28:$K$37,MATCH($A85,Éléments!$C$5:$C$14,1),6),IF(E85="Dragon",INDEX(Butin!$E$41:$K$50,MATCH($A85,Éléments!$C$5:$C$14,1),6),0))</f>
        <v>0.1288</v>
      </c>
      <c r="AD85" s="77" t="n">
        <f aca="false">U85*INDEX(Butin!$E$15:$K$24,MATCH($A85,Éléments!$C$5:$C$14,1),7)+V85*IF(E85="Boss",INDEX(Butin!$E$28:$K$37,MATCH($A85,Éléments!$C$5:$C$14,1),7),IF(E85="Dragon",INDEX(Butin!$E$41:$K$50,MATCH($A85,Éléments!$C$5:$C$14,1),7),0))</f>
        <v>0.0868</v>
      </c>
    </row>
    <row r="86" customFormat="false" ht="15.75" hidden="false" customHeight="true" outlineLevel="0" collapsed="false">
      <c r="A86" s="71" t="n">
        <v>81</v>
      </c>
      <c r="B86" s="23" t="n">
        <f aca="false">A86</f>
        <v>81</v>
      </c>
      <c r="C86" s="23" t="str">
        <f aca="false" t="array" ref="C86:C86">INDEX(Éléments!$B$5:$B$14,MATCH(A86,Éléments!$C$5:$C$14,1))</f>
        <v>Palais céleste</v>
      </c>
      <c r="D86" s="48" t="str">
        <f aca="false" t="array" ref="D86:D86">INDEX(Éléments!$A$5:$A$14,MATCH(A86,Éléments!$C$5:$C$14,1))</f>
        <v>Lumière</v>
      </c>
      <c r="E86" s="23" t="str">
        <f aca="false">IF(MOD(A86,5)=0,"Boss",IF(MOD(A86,10)=9,"Dragon","Normal"))</f>
        <v>Normal</v>
      </c>
      <c r="F86" s="23" t="n">
        <f aca="false">IF(E86="Normal",5*ROUNDUP(A86/5,0),A86)</f>
        <v>85</v>
      </c>
      <c r="G86" s="22" t="str">
        <f aca="false" t="array" ref="G86:G86">INDEX(Zones!$B$6:$B$35,MATCH(F86,Zones!$A$6:$A$35,0))</f>
        <v>Ciel</v>
      </c>
      <c r="H86" s="22" t="str">
        <f aca="false" t="array" ref="H86:H86">IF(E86="Normal","—",INDEX(Zones!$L$6:$L$35,MATCH(F86,Zones!$A$6:$A$35,0)))</f>
        <v>—</v>
      </c>
      <c r="I86" s="27" t="n">
        <f aca="false">IF(E86="Normal",Paramètres!$B$40,IF(E86="Boss",Paramètres!$B$41,1))</f>
        <v>3</v>
      </c>
      <c r="J86" s="23" t="n">
        <f aca="false">IF(E86="Normal",Paramètres!$B$40*Paramètres!$B$39,IF(E86="Boss",(Paramètres!$B$41-1)*Paramètres!$B$39+Paramètres!$B$42+1,1))</f>
        <v>9</v>
      </c>
      <c r="K86" s="33" t="n">
        <f aca="false" t="array" ref="K86:K86">IF(E86="Normal",Paramètres!$B$40*Paramètres!$B$39*(INDEX(Zones!$M$6:$M$35,MATCH(F86,Zones!$A$6:$A$35,0))*(1-Paramètres!$B$46)),IF(E86="Boss",((Paramètres!$B$41-1)*Paramètres!$B$39+Paramètres!$B$42)*(INDEX(Zones!$M$6:$M$35,MATCH(F86,Zones!$A$6:$A$35,0))*(1-Paramètres!$B$46))+INDEX(Zones!$P$6:$P$35,MATCH(F86,Zones!$A$6:$A$35,0)),INDEX(Zones!$P$6:$P$35,MATCH(F86,Zones!$A$6:$A$35,0))))</f>
        <v>12.0825</v>
      </c>
      <c r="L86" s="27" t="n">
        <f aca="false">K86*Paramètres!$B$45+I86*Paramètres!$B$47</f>
        <v>72.4125</v>
      </c>
      <c r="M86" s="30" t="n">
        <f aca="false" t="array" ref="M86:M86">IF(E86="Dragon",0,(INDEX(Zones!$N$6:$N$35,MATCH(F86,Zones!$A$6:$A$35,0))*Paramètres!$B$34*(INDEX(Zones!$M$6:$M$35,MATCH(F86,Zones!$A$6:$A$35,0))*(1-Paramètres!$B$46))*Paramètres!$B$39*(Paramètres!$B$39+1)/2))</f>
        <v>0.078737625</v>
      </c>
      <c r="N86" s="30" t="n">
        <f aca="false" t="array" ref="N86:N86">IF(E86="Normal",0,IF(E86="Dragon",INDEX(Zones!$Q$6:$Q$35,MATCH(F86,Zones!$A$6:$A$35,0))*Paramètres!$B$34*INDEX(Zones!$P$6:$P$35,MATCH(F86,Zones!$A$6:$A$35,0)),INDEX(Zones!$Q$6:$Q$35,MATCH(F86,Zones!$A$6:$A$35,0))*Paramètres!$B$34*(INDEX(Zones!$P$6:$P$35,MATCH(F86,Zones!$A$6:$A$35,0))+Paramètres!$B$42*(INDEX(Zones!$M$6:$M$35,MATCH(F86,Zones!$A$6:$A$35,0))*(1-Paramètres!$B$46)))+INDEX(Zones!$N$6:$N$35,MATCH(F86,Zones!$A$6:$A$35,0))*Paramètres!$B$34*(INDEX(Zones!$M$6:$M$35,MATCH(F86,Zones!$A$6:$A$35,0))*(1-Paramètres!$B$46))*(Paramètres!$B$42*(Paramètres!$B$42+1)/2)))</f>
        <v>0</v>
      </c>
      <c r="O86" s="75" t="n">
        <f aca="false">MAX(M86,N86)</f>
        <v>0.078737625</v>
      </c>
      <c r="P86" s="36" t="n">
        <f aca="false">IF(E86="Normal",M86*Paramètres!$B$40,IF(E86="Boss",M86*(Paramètres!$B$41-1)+N86,N86))</f>
        <v>0.236212875</v>
      </c>
      <c r="Q86" s="76" t="str">
        <f aca="false">IF(O86&gt;Paramètres!$B$37,"Trop dur","OK")</f>
        <v>OK</v>
      </c>
      <c r="R86" s="29" t="n">
        <f aca="false" t="array" ref="R86:R86">ROUND(IF(E86="Normal",J86*INDEX(Zones!$O$6:$O$35,MATCH(F86,Zones!$A$6:$A$35,0)),IF(E86="Boss",((Paramètres!$B$41-1)*Paramètres!$B$39+Paramètres!$B$42)*INDEX(Zones!$O$6:$O$35,MATCH(F86,Zones!$A$6:$A$35,0))+INDEX(Zones!$R$6:$R$35,MATCH(F86,Zones!$A$6:$A$35,0)),INDEX(Zones!$R$6:$R$35,MATCH(F86,Zones!$A$6:$A$35,0))))*ROUND(Paramètres!$B$49*B86^Paramètres!$B$50,0),0)</f>
        <v>11154</v>
      </c>
      <c r="S86" s="29" t="n">
        <f aca="false" t="array" ref="S86:S86">ROUND(IF(E86="Normal",J86*INDEX(Zones!$O$6:$O$35,MATCH(F86,Zones!$A$6:$A$35,0)),IF(E86="Boss",((Paramètres!$B$41-1)*Paramètres!$B$39+Paramètres!$B$42)*INDEX(Zones!$O$6:$O$35,MATCH(F86,Zones!$A$6:$A$35,0))+INDEX(Zones!$R$6:$R$35,MATCH(F86,Zones!$A$6:$A$35,0)),INDEX(Zones!$R$6:$R$35,MATCH(F86,Zones!$A$6:$A$35,0))))*ROUND(Paramètres!$B$53*B86^Paramètres!$B$54,0),0)</f>
        <v>8652</v>
      </c>
      <c r="T86" s="22" t="str">
        <f aca="false">IF(E86="Boss",G86,"—")</f>
        <v>—</v>
      </c>
      <c r="U86" s="37" t="n">
        <f aca="false">IF(E86="Dragon",0,(J86-IF(E86="Boss",1,0))*AVERAGEIFS(Monstres!$AL$7:$AL$98,Monstres!$B$7:$B$98,F86,Monstres!$G$7:$G$98,"Non"))</f>
        <v>0.36</v>
      </c>
      <c r="V86" s="74" t="n">
        <f aca="false">IF(E86="Boss",Butin!$E$10,IF(E86="Dragon",Butin!$E$11,0))</f>
        <v>0</v>
      </c>
      <c r="W86" s="37" t="n">
        <f aca="false">U86+V86</f>
        <v>0.36</v>
      </c>
      <c r="X86" s="77" t="n">
        <f aca="false">U86*INDEX(Butin!$E$15:$K$24,MATCH($A86,Éléments!$C$5:$C$14,1),1)+V86*IF(E86="Boss",INDEX(Butin!$E$28:$K$37,MATCH($A86,Éléments!$C$5:$C$14,1),1),IF(E86="Dragon",INDEX(Butin!$E$41:$K$50,MATCH($A86,Éléments!$C$5:$C$14,1),1),0))</f>
        <v>0.0432</v>
      </c>
      <c r="Y86" s="77" t="n">
        <f aca="false">U86*INDEX(Butin!$E$15:$K$24,MATCH($A86,Éléments!$C$5:$C$14,1),2)+V86*IF(E86="Boss",INDEX(Butin!$E$28:$K$37,MATCH($A86,Éléments!$C$5:$C$14,1),2),IF(E86="Dragon",INDEX(Butin!$E$41:$K$50,MATCH($A86,Éléments!$C$5:$C$14,1),2),0))</f>
        <v>0.0792</v>
      </c>
      <c r="Z86" s="77" t="n">
        <f aca="false">U86*INDEX(Butin!$E$15:$K$24,MATCH($A86,Éléments!$C$5:$C$14,1),3)+V86*IF(E86="Boss",INDEX(Butin!$E$28:$K$37,MATCH($A86,Éléments!$C$5:$C$14,1),3),IF(E86="Dragon",INDEX(Butin!$E$41:$K$50,MATCH($A86,Éléments!$C$5:$C$14,1),3),0))</f>
        <v>0.1008</v>
      </c>
      <c r="AA86" s="77" t="n">
        <f aca="false">U86*INDEX(Butin!$E$15:$K$24,MATCH($A86,Éléments!$C$5:$C$14,1),4)+V86*IF(E86="Boss",INDEX(Butin!$E$28:$K$37,MATCH($A86,Éléments!$C$5:$C$14,1),4),IF(E86="Dragon",INDEX(Butin!$E$41:$K$50,MATCH($A86,Éléments!$C$5:$C$14,1),4),0))</f>
        <v>0.0792</v>
      </c>
      <c r="AB86" s="77" t="n">
        <f aca="false">U86*INDEX(Butin!$E$15:$K$24,MATCH($A86,Éléments!$C$5:$C$14,1),5)+V86*IF(E86="Boss",INDEX(Butin!$E$28:$K$37,MATCH($A86,Éléments!$C$5:$C$14,1),5),IF(E86="Dragon",INDEX(Butin!$E$41:$K$50,MATCH($A86,Éléments!$C$5:$C$14,1),5),0))</f>
        <v>0.04176</v>
      </c>
      <c r="AC86" s="77" t="n">
        <f aca="false">U86*INDEX(Butin!$E$15:$K$24,MATCH($A86,Éléments!$C$5:$C$14,1),6)+V86*IF(E86="Boss",INDEX(Butin!$E$28:$K$37,MATCH($A86,Éléments!$C$5:$C$14,1),6),IF(E86="Dragon",INDEX(Butin!$E$41:$K$50,MATCH($A86,Éléments!$C$5:$C$14,1),6),0))</f>
        <v>0.01404</v>
      </c>
      <c r="AD86" s="77" t="n">
        <f aca="false">U86*INDEX(Butin!$E$15:$K$24,MATCH($A86,Éléments!$C$5:$C$14,1),7)+V86*IF(E86="Boss",INDEX(Butin!$E$28:$K$37,MATCH($A86,Éléments!$C$5:$C$14,1),7),IF(E86="Dragon",INDEX(Butin!$E$41:$K$50,MATCH($A86,Éléments!$C$5:$C$14,1),7),0))</f>
        <v>0.0018</v>
      </c>
    </row>
    <row r="87" customFormat="false" ht="15.75" hidden="false" customHeight="true" outlineLevel="0" collapsed="false">
      <c r="A87" s="71" t="n">
        <v>82</v>
      </c>
      <c r="B87" s="23" t="n">
        <f aca="false">A87</f>
        <v>82</v>
      </c>
      <c r="C87" s="23" t="str">
        <f aca="false" t="array" ref="C87:C87">INDEX(Éléments!$B$5:$B$14,MATCH(A87,Éléments!$C$5:$C$14,1))</f>
        <v>Palais céleste</v>
      </c>
      <c r="D87" s="48" t="str">
        <f aca="false" t="array" ref="D87:D87">INDEX(Éléments!$A$5:$A$14,MATCH(A87,Éléments!$C$5:$C$14,1))</f>
        <v>Lumière</v>
      </c>
      <c r="E87" s="23" t="str">
        <f aca="false">IF(MOD(A87,5)=0,"Boss",IF(MOD(A87,10)=9,"Dragon","Normal"))</f>
        <v>Normal</v>
      </c>
      <c r="F87" s="23" t="n">
        <f aca="false">IF(E87="Normal",5*ROUNDUP(A87/5,0),A87)</f>
        <v>85</v>
      </c>
      <c r="G87" s="22" t="str">
        <f aca="false" t="array" ref="G87:G87">INDEX(Zones!$B$6:$B$35,MATCH(F87,Zones!$A$6:$A$35,0))</f>
        <v>Ciel</v>
      </c>
      <c r="H87" s="22" t="str">
        <f aca="false" t="array" ref="H87:H87">IF(E87="Normal","—",INDEX(Zones!$L$6:$L$35,MATCH(F87,Zones!$A$6:$A$35,0)))</f>
        <v>—</v>
      </c>
      <c r="I87" s="27" t="n">
        <f aca="false">IF(E87="Normal",Paramètres!$B$40,IF(E87="Boss",Paramètres!$B$41,1))</f>
        <v>3</v>
      </c>
      <c r="J87" s="23" t="n">
        <f aca="false">IF(E87="Normal",Paramètres!$B$40*Paramètres!$B$39,IF(E87="Boss",(Paramètres!$B$41-1)*Paramètres!$B$39+Paramètres!$B$42+1,1))</f>
        <v>9</v>
      </c>
      <c r="K87" s="33" t="n">
        <f aca="false" t="array" ref="K87:K87">IF(E87="Normal",Paramètres!$B$40*Paramètres!$B$39*(INDEX(Zones!$M$6:$M$35,MATCH(F87,Zones!$A$6:$A$35,0))*(1-Paramètres!$B$46)),IF(E87="Boss",((Paramètres!$B$41-1)*Paramètres!$B$39+Paramètres!$B$42)*(INDEX(Zones!$M$6:$M$35,MATCH(F87,Zones!$A$6:$A$35,0))*(1-Paramètres!$B$46))+INDEX(Zones!$P$6:$P$35,MATCH(F87,Zones!$A$6:$A$35,0)),INDEX(Zones!$P$6:$P$35,MATCH(F87,Zones!$A$6:$A$35,0))))</f>
        <v>12.0825</v>
      </c>
      <c r="L87" s="27" t="n">
        <f aca="false">K87*Paramètres!$B$45+I87*Paramètres!$B$47</f>
        <v>72.4125</v>
      </c>
      <c r="M87" s="30" t="n">
        <f aca="false" t="array" ref="M87:M87">IF(E87="Dragon",0,(INDEX(Zones!$N$6:$N$35,MATCH(F87,Zones!$A$6:$A$35,0))*Paramètres!$B$34*(INDEX(Zones!$M$6:$M$35,MATCH(F87,Zones!$A$6:$A$35,0))*(1-Paramètres!$B$46))*Paramètres!$B$39*(Paramètres!$B$39+1)/2))</f>
        <v>0.078737625</v>
      </c>
      <c r="N87" s="30" t="n">
        <f aca="false" t="array" ref="N87:N87">IF(E87="Normal",0,IF(E87="Dragon",INDEX(Zones!$Q$6:$Q$35,MATCH(F87,Zones!$A$6:$A$35,0))*Paramètres!$B$34*INDEX(Zones!$P$6:$P$35,MATCH(F87,Zones!$A$6:$A$35,0)),INDEX(Zones!$Q$6:$Q$35,MATCH(F87,Zones!$A$6:$A$35,0))*Paramètres!$B$34*(INDEX(Zones!$P$6:$P$35,MATCH(F87,Zones!$A$6:$A$35,0))+Paramètres!$B$42*(INDEX(Zones!$M$6:$M$35,MATCH(F87,Zones!$A$6:$A$35,0))*(1-Paramètres!$B$46)))+INDEX(Zones!$N$6:$N$35,MATCH(F87,Zones!$A$6:$A$35,0))*Paramètres!$B$34*(INDEX(Zones!$M$6:$M$35,MATCH(F87,Zones!$A$6:$A$35,0))*(1-Paramètres!$B$46))*(Paramètres!$B$42*(Paramètres!$B$42+1)/2)))</f>
        <v>0</v>
      </c>
      <c r="O87" s="75" t="n">
        <f aca="false">MAX(M87,N87)</f>
        <v>0.078737625</v>
      </c>
      <c r="P87" s="36" t="n">
        <f aca="false">IF(E87="Normal",M87*Paramètres!$B$40,IF(E87="Boss",M87*(Paramètres!$B$41-1)+N87,N87))</f>
        <v>0.236212875</v>
      </c>
      <c r="Q87" s="76" t="str">
        <f aca="false">IF(O87&gt;Paramètres!$B$37,"Trop dur","OK")</f>
        <v>OK</v>
      </c>
      <c r="R87" s="29" t="n">
        <f aca="false" t="array" ref="R87:R87">ROUND(IF(E87="Normal",J87*INDEX(Zones!$O$6:$O$35,MATCH(F87,Zones!$A$6:$A$35,0)),IF(E87="Boss",((Paramètres!$B$41-1)*Paramètres!$B$39+Paramètres!$B$42)*INDEX(Zones!$O$6:$O$35,MATCH(F87,Zones!$A$6:$A$35,0))+INDEX(Zones!$R$6:$R$35,MATCH(F87,Zones!$A$6:$A$35,0)),INDEX(Zones!$R$6:$R$35,MATCH(F87,Zones!$A$6:$A$35,0))))*ROUND(Paramètres!$B$49*B87^Paramètres!$B$50,0),0)</f>
        <v>11330</v>
      </c>
      <c r="S87" s="29" t="n">
        <f aca="false" t="array" ref="S87:S87">ROUND(IF(E87="Normal",J87*INDEX(Zones!$O$6:$O$35,MATCH(F87,Zones!$A$6:$A$35,0)),IF(E87="Boss",((Paramètres!$B$41-1)*Paramètres!$B$39+Paramètres!$B$42)*INDEX(Zones!$O$6:$O$35,MATCH(F87,Zones!$A$6:$A$35,0))+INDEX(Zones!$R$6:$R$35,MATCH(F87,Zones!$A$6:$A$35,0)),INDEX(Zones!$R$6:$R$35,MATCH(F87,Zones!$A$6:$A$35,0))))*ROUND(Paramètres!$B$53*B87^Paramètres!$B$54,0),0)</f>
        <v>8798</v>
      </c>
      <c r="T87" s="22" t="str">
        <f aca="false">IF(E87="Boss",G87,"—")</f>
        <v>—</v>
      </c>
      <c r="U87" s="37" t="n">
        <f aca="false">IF(E87="Dragon",0,(J87-IF(E87="Boss",1,0))*AVERAGEIFS(Monstres!$AL$7:$AL$98,Monstres!$B$7:$B$98,F87,Monstres!$G$7:$G$98,"Non"))</f>
        <v>0.36</v>
      </c>
      <c r="V87" s="74" t="n">
        <f aca="false">IF(E87="Boss",Butin!$E$10,IF(E87="Dragon",Butin!$E$11,0))</f>
        <v>0</v>
      </c>
      <c r="W87" s="37" t="n">
        <f aca="false">U87+V87</f>
        <v>0.36</v>
      </c>
      <c r="X87" s="77" t="n">
        <f aca="false">U87*INDEX(Butin!$E$15:$K$24,MATCH($A87,Éléments!$C$5:$C$14,1),1)+V87*IF(E87="Boss",INDEX(Butin!$E$28:$K$37,MATCH($A87,Éléments!$C$5:$C$14,1),1),IF(E87="Dragon",INDEX(Butin!$E$41:$K$50,MATCH($A87,Éléments!$C$5:$C$14,1),1),0))</f>
        <v>0.0432</v>
      </c>
      <c r="Y87" s="77" t="n">
        <f aca="false">U87*INDEX(Butin!$E$15:$K$24,MATCH($A87,Éléments!$C$5:$C$14,1),2)+V87*IF(E87="Boss",INDEX(Butin!$E$28:$K$37,MATCH($A87,Éléments!$C$5:$C$14,1),2),IF(E87="Dragon",INDEX(Butin!$E$41:$K$50,MATCH($A87,Éléments!$C$5:$C$14,1),2),0))</f>
        <v>0.0792</v>
      </c>
      <c r="Z87" s="77" t="n">
        <f aca="false">U87*INDEX(Butin!$E$15:$K$24,MATCH($A87,Éléments!$C$5:$C$14,1),3)+V87*IF(E87="Boss",INDEX(Butin!$E$28:$K$37,MATCH($A87,Éléments!$C$5:$C$14,1),3),IF(E87="Dragon",INDEX(Butin!$E$41:$K$50,MATCH($A87,Éléments!$C$5:$C$14,1),3),0))</f>
        <v>0.1008</v>
      </c>
      <c r="AA87" s="77" t="n">
        <f aca="false">U87*INDEX(Butin!$E$15:$K$24,MATCH($A87,Éléments!$C$5:$C$14,1),4)+V87*IF(E87="Boss",INDEX(Butin!$E$28:$K$37,MATCH($A87,Éléments!$C$5:$C$14,1),4),IF(E87="Dragon",INDEX(Butin!$E$41:$K$50,MATCH($A87,Éléments!$C$5:$C$14,1),4),0))</f>
        <v>0.0792</v>
      </c>
      <c r="AB87" s="77" t="n">
        <f aca="false">U87*INDEX(Butin!$E$15:$K$24,MATCH($A87,Éléments!$C$5:$C$14,1),5)+V87*IF(E87="Boss",INDEX(Butin!$E$28:$K$37,MATCH($A87,Éléments!$C$5:$C$14,1),5),IF(E87="Dragon",INDEX(Butin!$E$41:$K$50,MATCH($A87,Éléments!$C$5:$C$14,1),5),0))</f>
        <v>0.04176</v>
      </c>
      <c r="AC87" s="77" t="n">
        <f aca="false">U87*INDEX(Butin!$E$15:$K$24,MATCH($A87,Éléments!$C$5:$C$14,1),6)+V87*IF(E87="Boss",INDEX(Butin!$E$28:$K$37,MATCH($A87,Éléments!$C$5:$C$14,1),6),IF(E87="Dragon",INDEX(Butin!$E$41:$K$50,MATCH($A87,Éléments!$C$5:$C$14,1),6),0))</f>
        <v>0.01404</v>
      </c>
      <c r="AD87" s="77" t="n">
        <f aca="false">U87*INDEX(Butin!$E$15:$K$24,MATCH($A87,Éléments!$C$5:$C$14,1),7)+V87*IF(E87="Boss",INDEX(Butin!$E$28:$K$37,MATCH($A87,Éléments!$C$5:$C$14,1),7),IF(E87="Dragon",INDEX(Butin!$E$41:$K$50,MATCH($A87,Éléments!$C$5:$C$14,1),7),0))</f>
        <v>0.0018</v>
      </c>
    </row>
    <row r="88" customFormat="false" ht="15.75" hidden="false" customHeight="true" outlineLevel="0" collapsed="false">
      <c r="A88" s="71" t="n">
        <v>83</v>
      </c>
      <c r="B88" s="23" t="n">
        <f aca="false">A88</f>
        <v>83</v>
      </c>
      <c r="C88" s="23" t="str">
        <f aca="false" t="array" ref="C88:C88">INDEX(Éléments!$B$5:$B$14,MATCH(A88,Éléments!$C$5:$C$14,1))</f>
        <v>Palais céleste</v>
      </c>
      <c r="D88" s="48" t="str">
        <f aca="false" t="array" ref="D88:D88">INDEX(Éléments!$A$5:$A$14,MATCH(A88,Éléments!$C$5:$C$14,1))</f>
        <v>Lumière</v>
      </c>
      <c r="E88" s="23" t="str">
        <f aca="false">IF(MOD(A88,5)=0,"Boss",IF(MOD(A88,10)=9,"Dragon","Normal"))</f>
        <v>Normal</v>
      </c>
      <c r="F88" s="23" t="n">
        <f aca="false">IF(E88="Normal",5*ROUNDUP(A88/5,0),A88)</f>
        <v>85</v>
      </c>
      <c r="G88" s="22" t="str">
        <f aca="false" t="array" ref="G88:G88">INDEX(Zones!$B$6:$B$35,MATCH(F88,Zones!$A$6:$A$35,0))</f>
        <v>Ciel</v>
      </c>
      <c r="H88" s="22" t="str">
        <f aca="false" t="array" ref="H88:H88">IF(E88="Normal","—",INDEX(Zones!$L$6:$L$35,MATCH(F88,Zones!$A$6:$A$35,0)))</f>
        <v>—</v>
      </c>
      <c r="I88" s="27" t="n">
        <f aca="false">IF(E88="Normal",Paramètres!$B$40,IF(E88="Boss",Paramètres!$B$41,1))</f>
        <v>3</v>
      </c>
      <c r="J88" s="23" t="n">
        <f aca="false">IF(E88="Normal",Paramètres!$B$40*Paramètres!$B$39,IF(E88="Boss",(Paramètres!$B$41-1)*Paramètres!$B$39+Paramètres!$B$42+1,1))</f>
        <v>9</v>
      </c>
      <c r="K88" s="33" t="n">
        <f aca="false" t="array" ref="K88:K88">IF(E88="Normal",Paramètres!$B$40*Paramètres!$B$39*(INDEX(Zones!$M$6:$M$35,MATCH(F88,Zones!$A$6:$A$35,0))*(1-Paramètres!$B$46)),IF(E88="Boss",((Paramètres!$B$41-1)*Paramètres!$B$39+Paramètres!$B$42)*(INDEX(Zones!$M$6:$M$35,MATCH(F88,Zones!$A$6:$A$35,0))*(1-Paramètres!$B$46))+INDEX(Zones!$P$6:$P$35,MATCH(F88,Zones!$A$6:$A$35,0)),INDEX(Zones!$P$6:$P$35,MATCH(F88,Zones!$A$6:$A$35,0))))</f>
        <v>12.0825</v>
      </c>
      <c r="L88" s="27" t="n">
        <f aca="false">K88*Paramètres!$B$45+I88*Paramètres!$B$47</f>
        <v>72.4125</v>
      </c>
      <c r="M88" s="30" t="n">
        <f aca="false" t="array" ref="M88:M88">IF(E88="Dragon",0,(INDEX(Zones!$N$6:$N$35,MATCH(F88,Zones!$A$6:$A$35,0))*Paramètres!$B$34*(INDEX(Zones!$M$6:$M$35,MATCH(F88,Zones!$A$6:$A$35,0))*(1-Paramètres!$B$46))*Paramètres!$B$39*(Paramètres!$B$39+1)/2))</f>
        <v>0.078737625</v>
      </c>
      <c r="N88" s="30" t="n">
        <f aca="false" t="array" ref="N88:N88">IF(E88="Normal",0,IF(E88="Dragon",INDEX(Zones!$Q$6:$Q$35,MATCH(F88,Zones!$A$6:$A$35,0))*Paramètres!$B$34*INDEX(Zones!$P$6:$P$35,MATCH(F88,Zones!$A$6:$A$35,0)),INDEX(Zones!$Q$6:$Q$35,MATCH(F88,Zones!$A$6:$A$35,0))*Paramètres!$B$34*(INDEX(Zones!$P$6:$P$35,MATCH(F88,Zones!$A$6:$A$35,0))+Paramètres!$B$42*(INDEX(Zones!$M$6:$M$35,MATCH(F88,Zones!$A$6:$A$35,0))*(1-Paramètres!$B$46)))+INDEX(Zones!$N$6:$N$35,MATCH(F88,Zones!$A$6:$A$35,0))*Paramètres!$B$34*(INDEX(Zones!$M$6:$M$35,MATCH(F88,Zones!$A$6:$A$35,0))*(1-Paramètres!$B$46))*(Paramètres!$B$42*(Paramètres!$B$42+1)/2)))</f>
        <v>0</v>
      </c>
      <c r="O88" s="75" t="n">
        <f aca="false">MAX(M88,N88)</f>
        <v>0.078737625</v>
      </c>
      <c r="P88" s="36" t="n">
        <f aca="false">IF(E88="Normal",M88*Paramètres!$B$40,IF(E88="Boss",M88*(Paramètres!$B$41-1)+N88,N88))</f>
        <v>0.236212875</v>
      </c>
      <c r="Q88" s="76" t="str">
        <f aca="false">IF(O88&gt;Paramètres!$B$37,"Trop dur","OK")</f>
        <v>OK</v>
      </c>
      <c r="R88" s="29" t="n">
        <f aca="false" t="array" ref="R88:R88">ROUND(IF(E88="Normal",J88*INDEX(Zones!$O$6:$O$35,MATCH(F88,Zones!$A$6:$A$35,0)),IF(E88="Boss",((Paramètres!$B$41-1)*Paramètres!$B$39+Paramètres!$B$42)*INDEX(Zones!$O$6:$O$35,MATCH(F88,Zones!$A$6:$A$35,0))+INDEX(Zones!$R$6:$R$35,MATCH(F88,Zones!$A$6:$A$35,0)),INDEX(Zones!$R$6:$R$35,MATCH(F88,Zones!$A$6:$A$35,0))))*ROUND(Paramètres!$B$49*B88^Paramètres!$B$50,0),0)</f>
        <v>11498</v>
      </c>
      <c r="S88" s="29" t="n">
        <f aca="false" t="array" ref="S88:S88">ROUND(IF(E88="Normal",J88*INDEX(Zones!$O$6:$O$35,MATCH(F88,Zones!$A$6:$A$35,0)),IF(E88="Boss",((Paramètres!$B$41-1)*Paramètres!$B$39+Paramètres!$B$42)*INDEX(Zones!$O$6:$O$35,MATCH(F88,Zones!$A$6:$A$35,0))+INDEX(Zones!$R$6:$R$35,MATCH(F88,Zones!$A$6:$A$35,0)),INDEX(Zones!$R$6:$R$35,MATCH(F88,Zones!$A$6:$A$35,0))))*ROUND(Paramètres!$B$53*B88^Paramètres!$B$54,0),0)</f>
        <v>8943</v>
      </c>
      <c r="T88" s="22" t="str">
        <f aca="false">IF(E88="Boss",G88,"—")</f>
        <v>—</v>
      </c>
      <c r="U88" s="37" t="n">
        <f aca="false">IF(E88="Dragon",0,(J88-IF(E88="Boss",1,0))*AVERAGEIFS(Monstres!$AL$7:$AL$98,Monstres!$B$7:$B$98,F88,Monstres!$G$7:$G$98,"Non"))</f>
        <v>0.36</v>
      </c>
      <c r="V88" s="74" t="n">
        <f aca="false">IF(E88="Boss",Butin!$E$10,IF(E88="Dragon",Butin!$E$11,0))</f>
        <v>0</v>
      </c>
      <c r="W88" s="37" t="n">
        <f aca="false">U88+V88</f>
        <v>0.36</v>
      </c>
      <c r="X88" s="77" t="n">
        <f aca="false">U88*INDEX(Butin!$E$15:$K$24,MATCH($A88,Éléments!$C$5:$C$14,1),1)+V88*IF(E88="Boss",INDEX(Butin!$E$28:$K$37,MATCH($A88,Éléments!$C$5:$C$14,1),1),IF(E88="Dragon",INDEX(Butin!$E$41:$K$50,MATCH($A88,Éléments!$C$5:$C$14,1),1),0))</f>
        <v>0.0432</v>
      </c>
      <c r="Y88" s="77" t="n">
        <f aca="false">U88*INDEX(Butin!$E$15:$K$24,MATCH($A88,Éléments!$C$5:$C$14,1),2)+V88*IF(E88="Boss",INDEX(Butin!$E$28:$K$37,MATCH($A88,Éléments!$C$5:$C$14,1),2),IF(E88="Dragon",INDEX(Butin!$E$41:$K$50,MATCH($A88,Éléments!$C$5:$C$14,1),2),0))</f>
        <v>0.0792</v>
      </c>
      <c r="Z88" s="77" t="n">
        <f aca="false">U88*INDEX(Butin!$E$15:$K$24,MATCH($A88,Éléments!$C$5:$C$14,1),3)+V88*IF(E88="Boss",INDEX(Butin!$E$28:$K$37,MATCH($A88,Éléments!$C$5:$C$14,1),3),IF(E88="Dragon",INDEX(Butin!$E$41:$K$50,MATCH($A88,Éléments!$C$5:$C$14,1),3),0))</f>
        <v>0.1008</v>
      </c>
      <c r="AA88" s="77" t="n">
        <f aca="false">U88*INDEX(Butin!$E$15:$K$24,MATCH($A88,Éléments!$C$5:$C$14,1),4)+V88*IF(E88="Boss",INDEX(Butin!$E$28:$K$37,MATCH($A88,Éléments!$C$5:$C$14,1),4),IF(E88="Dragon",INDEX(Butin!$E$41:$K$50,MATCH($A88,Éléments!$C$5:$C$14,1),4),0))</f>
        <v>0.0792</v>
      </c>
      <c r="AB88" s="77" t="n">
        <f aca="false">U88*INDEX(Butin!$E$15:$K$24,MATCH($A88,Éléments!$C$5:$C$14,1),5)+V88*IF(E88="Boss",INDEX(Butin!$E$28:$K$37,MATCH($A88,Éléments!$C$5:$C$14,1),5),IF(E88="Dragon",INDEX(Butin!$E$41:$K$50,MATCH($A88,Éléments!$C$5:$C$14,1),5),0))</f>
        <v>0.04176</v>
      </c>
      <c r="AC88" s="77" t="n">
        <f aca="false">U88*INDEX(Butin!$E$15:$K$24,MATCH($A88,Éléments!$C$5:$C$14,1),6)+V88*IF(E88="Boss",INDEX(Butin!$E$28:$K$37,MATCH($A88,Éléments!$C$5:$C$14,1),6),IF(E88="Dragon",INDEX(Butin!$E$41:$K$50,MATCH($A88,Éléments!$C$5:$C$14,1),6),0))</f>
        <v>0.01404</v>
      </c>
      <c r="AD88" s="77" t="n">
        <f aca="false">U88*INDEX(Butin!$E$15:$K$24,MATCH($A88,Éléments!$C$5:$C$14,1),7)+V88*IF(E88="Boss",INDEX(Butin!$E$28:$K$37,MATCH($A88,Éléments!$C$5:$C$14,1),7),IF(E88="Dragon",INDEX(Butin!$E$41:$K$50,MATCH($A88,Éléments!$C$5:$C$14,1),7),0))</f>
        <v>0.0018</v>
      </c>
    </row>
    <row r="89" customFormat="false" ht="15.75" hidden="false" customHeight="true" outlineLevel="0" collapsed="false">
      <c r="A89" s="71" t="n">
        <v>84</v>
      </c>
      <c r="B89" s="23" t="n">
        <f aca="false">A89</f>
        <v>84</v>
      </c>
      <c r="C89" s="23" t="str">
        <f aca="false" t="array" ref="C89:C89">INDEX(Éléments!$B$5:$B$14,MATCH(A89,Éléments!$C$5:$C$14,1))</f>
        <v>Palais céleste</v>
      </c>
      <c r="D89" s="48" t="str">
        <f aca="false" t="array" ref="D89:D89">INDEX(Éléments!$A$5:$A$14,MATCH(A89,Éléments!$C$5:$C$14,1))</f>
        <v>Lumière</v>
      </c>
      <c r="E89" s="23" t="str">
        <f aca="false">IF(MOD(A89,5)=0,"Boss",IF(MOD(A89,10)=9,"Dragon","Normal"))</f>
        <v>Normal</v>
      </c>
      <c r="F89" s="23" t="n">
        <f aca="false">IF(E89="Normal",5*ROUNDUP(A89/5,0),A89)</f>
        <v>85</v>
      </c>
      <c r="G89" s="22" t="str">
        <f aca="false" t="array" ref="G89:G89">INDEX(Zones!$B$6:$B$35,MATCH(F89,Zones!$A$6:$A$35,0))</f>
        <v>Ciel</v>
      </c>
      <c r="H89" s="22" t="str">
        <f aca="false" t="array" ref="H89:H89">IF(E89="Normal","—",INDEX(Zones!$L$6:$L$35,MATCH(F89,Zones!$A$6:$A$35,0)))</f>
        <v>—</v>
      </c>
      <c r="I89" s="27" t="n">
        <f aca="false">IF(E89="Normal",Paramètres!$B$40,IF(E89="Boss",Paramètres!$B$41,1))</f>
        <v>3</v>
      </c>
      <c r="J89" s="23" t="n">
        <f aca="false">IF(E89="Normal",Paramètres!$B$40*Paramètres!$B$39,IF(E89="Boss",(Paramètres!$B$41-1)*Paramètres!$B$39+Paramètres!$B$42+1,1))</f>
        <v>9</v>
      </c>
      <c r="K89" s="33" t="n">
        <f aca="false" t="array" ref="K89:K89">IF(E89="Normal",Paramètres!$B$40*Paramètres!$B$39*(INDEX(Zones!$M$6:$M$35,MATCH(F89,Zones!$A$6:$A$35,0))*(1-Paramètres!$B$46)),IF(E89="Boss",((Paramètres!$B$41-1)*Paramètres!$B$39+Paramètres!$B$42)*(INDEX(Zones!$M$6:$M$35,MATCH(F89,Zones!$A$6:$A$35,0))*(1-Paramètres!$B$46))+INDEX(Zones!$P$6:$P$35,MATCH(F89,Zones!$A$6:$A$35,0)),INDEX(Zones!$P$6:$P$35,MATCH(F89,Zones!$A$6:$A$35,0))))</f>
        <v>12.0825</v>
      </c>
      <c r="L89" s="27" t="n">
        <f aca="false">K89*Paramètres!$B$45+I89*Paramètres!$B$47</f>
        <v>72.4125</v>
      </c>
      <c r="M89" s="30" t="n">
        <f aca="false" t="array" ref="M89:M89">IF(E89="Dragon",0,(INDEX(Zones!$N$6:$N$35,MATCH(F89,Zones!$A$6:$A$35,0))*Paramètres!$B$34*(INDEX(Zones!$M$6:$M$35,MATCH(F89,Zones!$A$6:$A$35,0))*(1-Paramètres!$B$46))*Paramètres!$B$39*(Paramètres!$B$39+1)/2))</f>
        <v>0.078737625</v>
      </c>
      <c r="N89" s="30" t="n">
        <f aca="false" t="array" ref="N89:N89">IF(E89="Normal",0,IF(E89="Dragon",INDEX(Zones!$Q$6:$Q$35,MATCH(F89,Zones!$A$6:$A$35,0))*Paramètres!$B$34*INDEX(Zones!$P$6:$P$35,MATCH(F89,Zones!$A$6:$A$35,0)),INDEX(Zones!$Q$6:$Q$35,MATCH(F89,Zones!$A$6:$A$35,0))*Paramètres!$B$34*(INDEX(Zones!$P$6:$P$35,MATCH(F89,Zones!$A$6:$A$35,0))+Paramètres!$B$42*(INDEX(Zones!$M$6:$M$35,MATCH(F89,Zones!$A$6:$A$35,0))*(1-Paramètres!$B$46)))+INDEX(Zones!$N$6:$N$35,MATCH(F89,Zones!$A$6:$A$35,0))*Paramètres!$B$34*(INDEX(Zones!$M$6:$M$35,MATCH(F89,Zones!$A$6:$A$35,0))*(1-Paramètres!$B$46))*(Paramètres!$B$42*(Paramètres!$B$42+1)/2)))</f>
        <v>0</v>
      </c>
      <c r="O89" s="75" t="n">
        <f aca="false">MAX(M89,N89)</f>
        <v>0.078737625</v>
      </c>
      <c r="P89" s="36" t="n">
        <f aca="false">IF(E89="Normal",M89*Paramètres!$B$40,IF(E89="Boss",M89*(Paramètres!$B$41-1)+N89,N89))</f>
        <v>0.236212875</v>
      </c>
      <c r="Q89" s="76" t="str">
        <f aca="false">IF(O89&gt;Paramètres!$B$37,"Trop dur","OK")</f>
        <v>OK</v>
      </c>
      <c r="R89" s="29" t="n">
        <f aca="false" t="array" ref="R89:R89">ROUND(IF(E89="Normal",J89*INDEX(Zones!$O$6:$O$35,MATCH(F89,Zones!$A$6:$A$35,0)),IF(E89="Boss",((Paramètres!$B$41-1)*Paramètres!$B$39+Paramètres!$B$42)*INDEX(Zones!$O$6:$O$35,MATCH(F89,Zones!$A$6:$A$35,0))+INDEX(Zones!$R$6:$R$35,MATCH(F89,Zones!$A$6:$A$35,0)),INDEX(Zones!$R$6:$R$35,MATCH(F89,Zones!$A$6:$A$35,0))))*ROUND(Paramètres!$B$49*B89^Paramètres!$B$50,0),0)</f>
        <v>11674</v>
      </c>
      <c r="S89" s="29" t="n">
        <f aca="false" t="array" ref="S89:S89">ROUND(IF(E89="Normal",J89*INDEX(Zones!$O$6:$O$35,MATCH(F89,Zones!$A$6:$A$35,0)),IF(E89="Boss",((Paramètres!$B$41-1)*Paramètres!$B$39+Paramètres!$B$42)*INDEX(Zones!$O$6:$O$35,MATCH(F89,Zones!$A$6:$A$35,0))+INDEX(Zones!$R$6:$R$35,MATCH(F89,Zones!$A$6:$A$35,0)),INDEX(Zones!$R$6:$R$35,MATCH(F89,Zones!$A$6:$A$35,0))))*ROUND(Paramètres!$B$53*B89^Paramètres!$B$54,0),0)</f>
        <v>9088</v>
      </c>
      <c r="T89" s="22" t="str">
        <f aca="false">IF(E89="Boss",G89,"—")</f>
        <v>—</v>
      </c>
      <c r="U89" s="37" t="n">
        <f aca="false">IF(E89="Dragon",0,(J89-IF(E89="Boss",1,0))*AVERAGEIFS(Monstres!$AL$7:$AL$98,Monstres!$B$7:$B$98,F89,Monstres!$G$7:$G$98,"Non"))</f>
        <v>0.36</v>
      </c>
      <c r="V89" s="74" t="n">
        <f aca="false">IF(E89="Boss",Butin!$E$10,IF(E89="Dragon",Butin!$E$11,0))</f>
        <v>0</v>
      </c>
      <c r="W89" s="37" t="n">
        <f aca="false">U89+V89</f>
        <v>0.36</v>
      </c>
      <c r="X89" s="77" t="n">
        <f aca="false">U89*INDEX(Butin!$E$15:$K$24,MATCH($A89,Éléments!$C$5:$C$14,1),1)+V89*IF(E89="Boss",INDEX(Butin!$E$28:$K$37,MATCH($A89,Éléments!$C$5:$C$14,1),1),IF(E89="Dragon",INDEX(Butin!$E$41:$K$50,MATCH($A89,Éléments!$C$5:$C$14,1),1),0))</f>
        <v>0.0432</v>
      </c>
      <c r="Y89" s="77" t="n">
        <f aca="false">U89*INDEX(Butin!$E$15:$K$24,MATCH($A89,Éléments!$C$5:$C$14,1),2)+V89*IF(E89="Boss",INDEX(Butin!$E$28:$K$37,MATCH($A89,Éléments!$C$5:$C$14,1),2),IF(E89="Dragon",INDEX(Butin!$E$41:$K$50,MATCH($A89,Éléments!$C$5:$C$14,1),2),0))</f>
        <v>0.0792</v>
      </c>
      <c r="Z89" s="77" t="n">
        <f aca="false">U89*INDEX(Butin!$E$15:$K$24,MATCH($A89,Éléments!$C$5:$C$14,1),3)+V89*IF(E89="Boss",INDEX(Butin!$E$28:$K$37,MATCH($A89,Éléments!$C$5:$C$14,1),3),IF(E89="Dragon",INDEX(Butin!$E$41:$K$50,MATCH($A89,Éléments!$C$5:$C$14,1),3),0))</f>
        <v>0.1008</v>
      </c>
      <c r="AA89" s="77" t="n">
        <f aca="false">U89*INDEX(Butin!$E$15:$K$24,MATCH($A89,Éléments!$C$5:$C$14,1),4)+V89*IF(E89="Boss",INDEX(Butin!$E$28:$K$37,MATCH($A89,Éléments!$C$5:$C$14,1),4),IF(E89="Dragon",INDEX(Butin!$E$41:$K$50,MATCH($A89,Éléments!$C$5:$C$14,1),4),0))</f>
        <v>0.0792</v>
      </c>
      <c r="AB89" s="77" t="n">
        <f aca="false">U89*INDEX(Butin!$E$15:$K$24,MATCH($A89,Éléments!$C$5:$C$14,1),5)+V89*IF(E89="Boss",INDEX(Butin!$E$28:$K$37,MATCH($A89,Éléments!$C$5:$C$14,1),5),IF(E89="Dragon",INDEX(Butin!$E$41:$K$50,MATCH($A89,Éléments!$C$5:$C$14,1),5),0))</f>
        <v>0.04176</v>
      </c>
      <c r="AC89" s="77" t="n">
        <f aca="false">U89*INDEX(Butin!$E$15:$K$24,MATCH($A89,Éléments!$C$5:$C$14,1),6)+V89*IF(E89="Boss",INDEX(Butin!$E$28:$K$37,MATCH($A89,Éléments!$C$5:$C$14,1),6),IF(E89="Dragon",INDEX(Butin!$E$41:$K$50,MATCH($A89,Éléments!$C$5:$C$14,1),6),0))</f>
        <v>0.01404</v>
      </c>
      <c r="AD89" s="77" t="n">
        <f aca="false">U89*INDEX(Butin!$E$15:$K$24,MATCH($A89,Éléments!$C$5:$C$14,1),7)+V89*IF(E89="Boss",INDEX(Butin!$E$28:$K$37,MATCH($A89,Éléments!$C$5:$C$14,1),7),IF(E89="Dragon",INDEX(Butin!$E$41:$K$50,MATCH($A89,Éléments!$C$5:$C$14,1),7),0))</f>
        <v>0.0018</v>
      </c>
    </row>
    <row r="90" customFormat="false" ht="15.75" hidden="false" customHeight="true" outlineLevel="0" collapsed="false">
      <c r="A90" s="71" t="n">
        <v>85</v>
      </c>
      <c r="B90" s="23" t="n">
        <f aca="false">A90</f>
        <v>85</v>
      </c>
      <c r="C90" s="23" t="str">
        <f aca="false" t="array" ref="C90:C90">INDEX(Éléments!$B$5:$B$14,MATCH(A90,Éléments!$C$5:$C$14,1))</f>
        <v>Palais céleste</v>
      </c>
      <c r="D90" s="48" t="str">
        <f aca="false" t="array" ref="D90:D90">INDEX(Éléments!$A$5:$A$14,MATCH(A90,Éléments!$C$5:$C$14,1))</f>
        <v>Lumière</v>
      </c>
      <c r="E90" s="23" t="str">
        <f aca="false">IF(MOD(A90,5)=0,"Boss",IF(MOD(A90,10)=9,"Dragon","Normal"))</f>
        <v>Boss</v>
      </c>
      <c r="F90" s="23" t="n">
        <f aca="false">IF(E90="Normal",5*ROUNDUP(A90/5,0),A90)</f>
        <v>85</v>
      </c>
      <c r="G90" s="22" t="str">
        <f aca="false" t="array" ref="G90:G90">INDEX(Zones!$B$6:$B$35,MATCH(F90,Zones!$A$6:$A$35,0))</f>
        <v>Ciel</v>
      </c>
      <c r="H90" s="22" t="str">
        <f aca="false" t="array" ref="H90:H90">IF(E90="Normal","—",INDEX(Zones!$L$6:$L$35,MATCH(F90,Zones!$A$6:$A$35,0)))</f>
        <v>Jésus</v>
      </c>
      <c r="I90" s="27" t="n">
        <f aca="false">IF(E90="Normal",Paramètres!$B$40,IF(E90="Boss",Paramètres!$B$41,1))</f>
        <v>5</v>
      </c>
      <c r="J90" s="27" t="n">
        <f aca="false">IF(E90="Normal",Paramètres!$B$40*Paramètres!$B$39,IF(E90="Boss",(Paramètres!$B$41-1)*Paramètres!$B$39+Paramètres!$B$42+1,1))</f>
        <v>15</v>
      </c>
      <c r="K90" s="33" t="n">
        <f aca="false" t="array" ref="K90:K90">IF(E90="Normal",Paramètres!$B$40*Paramètres!$B$39*(INDEX(Zones!$M$6:$M$35,MATCH(F90,Zones!$A$6:$A$35,0))*(1-Paramètres!$B$46)),IF(E90="Boss",((Paramètres!$B$41-1)*Paramètres!$B$39+Paramètres!$B$42)*(INDEX(Zones!$M$6:$M$35,MATCH(F90,Zones!$A$6:$A$35,0))*(1-Paramètres!$B$46))+INDEX(Zones!$P$6:$P$35,MATCH(F90,Zones!$A$6:$A$35,0)),INDEX(Zones!$P$6:$P$35,MATCH(F90,Zones!$A$6:$A$35,0))))</f>
        <v>28.995</v>
      </c>
      <c r="L90" s="27" t="n">
        <f aca="false">K90*Paramètres!$B$45+I90*Paramètres!$B$47</f>
        <v>164.975</v>
      </c>
      <c r="M90" s="30" t="n">
        <f aca="false" t="array" ref="M90:M90">IF(E90="Dragon",0,(INDEX(Zones!$N$6:$N$35,MATCH(F90,Zones!$A$6:$A$35,0))*Paramètres!$B$34*(INDEX(Zones!$M$6:$M$35,MATCH(F90,Zones!$A$6:$A$35,0))*(1-Paramètres!$B$46))*Paramètres!$B$39*(Paramètres!$B$39+1)/2))</f>
        <v>0.078737625</v>
      </c>
      <c r="N90" s="30" t="n">
        <f aca="false" t="array" ref="N90:N90">IF(E90="Normal",0,IF(E90="Dragon",INDEX(Zones!$Q$6:$Q$35,MATCH(F90,Zones!$A$6:$A$35,0))*Paramètres!$B$34*INDEX(Zones!$P$6:$P$35,MATCH(F90,Zones!$A$6:$A$35,0)),INDEX(Zones!$Q$6:$Q$35,MATCH(F90,Zones!$A$6:$A$35,0))*Paramètres!$B$34*(INDEX(Zones!$P$6:$P$35,MATCH(F90,Zones!$A$6:$A$35,0))+Paramètres!$B$42*(INDEX(Zones!$M$6:$M$35,MATCH(F90,Zones!$A$6:$A$35,0))*(1-Paramètres!$B$46)))+INDEX(Zones!$N$6:$N$35,MATCH(F90,Zones!$A$6:$A$35,0))*Paramètres!$B$34*(INDEX(Zones!$M$6:$M$35,MATCH(F90,Zones!$A$6:$A$35,0))*(1-Paramètres!$B$46))*(Paramètres!$B$42*(Paramètres!$B$42+1)/2)))</f>
        <v>0.3022228125</v>
      </c>
      <c r="O90" s="75" t="n">
        <f aca="false">MAX(M90,N90)</f>
        <v>0.3022228125</v>
      </c>
      <c r="P90" s="36" t="n">
        <f aca="false">IF(E90="Normal",M90*Paramètres!$B$40,IF(E90="Boss",M90*(Paramètres!$B$41-1)+N90,N90))</f>
        <v>0.6171733125</v>
      </c>
      <c r="Q90" s="76" t="str">
        <f aca="false">IF(O90&gt;Paramètres!$B$37,"Trop dur","OK")</f>
        <v>OK</v>
      </c>
      <c r="R90" s="29" t="n">
        <f aca="false" t="array" ref="R90:R90">ROUND(IF(E90="Normal",J90*INDEX(Zones!$O$6:$O$35,MATCH(F90,Zones!$A$6:$A$35,0)),IF(E90="Boss",((Paramètres!$B$41-1)*Paramètres!$B$39+Paramètres!$B$42)*INDEX(Zones!$O$6:$O$35,MATCH(F90,Zones!$A$6:$A$35,0))+INDEX(Zones!$R$6:$R$35,MATCH(F90,Zones!$A$6:$A$35,0)),INDEX(Zones!$R$6:$R$35,MATCH(F90,Zones!$A$6:$A$35,0))))*ROUND(Paramètres!$B$49*B90^Paramètres!$B$50,0),0)</f>
        <v>30825</v>
      </c>
      <c r="S90" s="29" t="n">
        <f aca="false" t="array" ref="S90:S90">ROUND(IF(E90="Normal",J90*INDEX(Zones!$O$6:$O$35,MATCH(F90,Zones!$A$6:$A$35,0)),IF(E90="Boss",((Paramètres!$B$41-1)*Paramètres!$B$39+Paramètres!$B$42)*INDEX(Zones!$O$6:$O$35,MATCH(F90,Zones!$A$6:$A$35,0))+INDEX(Zones!$R$6:$R$35,MATCH(F90,Zones!$A$6:$A$35,0)),INDEX(Zones!$R$6:$R$35,MATCH(F90,Zones!$A$6:$A$35,0))))*ROUND(Paramètres!$B$53*B90^Paramètres!$B$54,0),0)</f>
        <v>24019</v>
      </c>
      <c r="T90" s="22" t="str">
        <f aca="false">IF(E90="Boss",G90,"—")</f>
        <v>Ciel</v>
      </c>
      <c r="U90" s="37" t="n">
        <f aca="false">IF(E90="Dragon",0,(J90-IF(E90="Boss",1,0))*AVERAGEIFS(Monstres!$AL$7:$AL$98,Monstres!$B$7:$B$98,F90,Monstres!$G$7:$G$98,"Non"))</f>
        <v>0.56</v>
      </c>
      <c r="V90" s="74" t="n">
        <f aca="false">IF(E90="Boss",Butin!$E$10,IF(E90="Dragon",Butin!$E$11,0))</f>
        <v>1.4</v>
      </c>
      <c r="W90" s="37" t="n">
        <f aca="false">U90+V90</f>
        <v>1.96</v>
      </c>
      <c r="X90" s="77" t="n">
        <f aca="false">U90*INDEX(Butin!$E$15:$K$24,MATCH($A90,Éléments!$C$5:$C$14,1),1)+V90*IF(E90="Boss",INDEX(Butin!$E$28:$K$37,MATCH($A90,Éléments!$C$5:$C$14,1),1),IF(E90="Dragon",INDEX(Butin!$E$41:$K$50,MATCH($A90,Éléments!$C$5:$C$14,1),1),0))</f>
        <v>0.0812</v>
      </c>
      <c r="Y90" s="77" t="n">
        <f aca="false">U90*INDEX(Butin!$E$15:$K$24,MATCH($A90,Éléments!$C$5:$C$14,1),2)+V90*IF(E90="Boss",INDEX(Butin!$E$28:$K$37,MATCH($A90,Éléments!$C$5:$C$14,1),2),IF(E90="Dragon",INDEX(Butin!$E$41:$K$50,MATCH($A90,Éléments!$C$5:$C$14,1),2),0))</f>
        <v>0.2352</v>
      </c>
      <c r="Z90" s="77" t="n">
        <f aca="false">U90*INDEX(Butin!$E$15:$K$24,MATCH($A90,Éléments!$C$5:$C$14,1),3)+V90*IF(E90="Boss",INDEX(Butin!$E$28:$K$37,MATCH($A90,Éléments!$C$5:$C$14,1),3),IF(E90="Dragon",INDEX(Butin!$E$41:$K$50,MATCH($A90,Éléments!$C$5:$C$14,1),3),0))</f>
        <v>0.4508</v>
      </c>
      <c r="AA90" s="77" t="n">
        <f aca="false">U90*INDEX(Butin!$E$15:$K$24,MATCH($A90,Éléments!$C$5:$C$14,1),4)+V90*IF(E90="Boss",INDEX(Butin!$E$28:$K$37,MATCH($A90,Éléments!$C$5:$C$14,1),4),IF(E90="Dragon",INDEX(Butin!$E$41:$K$50,MATCH($A90,Éléments!$C$5:$C$14,1),4),0))</f>
        <v>0.5432</v>
      </c>
      <c r="AB90" s="77" t="n">
        <f aca="false">U90*INDEX(Butin!$E$15:$K$24,MATCH($A90,Éléments!$C$5:$C$14,1),5)+V90*IF(E90="Boss",INDEX(Butin!$E$28:$K$37,MATCH($A90,Éléments!$C$5:$C$14,1),5),IF(E90="Dragon",INDEX(Butin!$E$41:$K$50,MATCH($A90,Éléments!$C$5:$C$14,1),5),0))</f>
        <v>0.40096</v>
      </c>
      <c r="AC90" s="77" t="n">
        <f aca="false">U90*INDEX(Butin!$E$15:$K$24,MATCH($A90,Éléments!$C$5:$C$14,1),6)+V90*IF(E90="Boss",INDEX(Butin!$E$28:$K$37,MATCH($A90,Éléments!$C$5:$C$14,1),6),IF(E90="Dragon",INDEX(Butin!$E$41:$K$50,MATCH($A90,Éléments!$C$5:$C$14,1),6),0))</f>
        <v>0.15484</v>
      </c>
      <c r="AD90" s="77" t="n">
        <f aca="false">U90*INDEX(Butin!$E$15:$K$24,MATCH($A90,Éléments!$C$5:$C$14,1),7)+V90*IF(E90="Boss",INDEX(Butin!$E$28:$K$37,MATCH($A90,Éléments!$C$5:$C$14,1),7),IF(E90="Dragon",INDEX(Butin!$E$41:$K$50,MATCH($A90,Éléments!$C$5:$C$14,1),7),0))</f>
        <v>0.0938</v>
      </c>
    </row>
    <row r="91" customFormat="false" ht="15.75" hidden="false" customHeight="true" outlineLevel="0" collapsed="false">
      <c r="A91" s="71" t="n">
        <v>86</v>
      </c>
      <c r="B91" s="23" t="n">
        <f aca="false">A91</f>
        <v>86</v>
      </c>
      <c r="C91" s="23" t="str">
        <f aca="false" t="array" ref="C91:C91">INDEX(Éléments!$B$5:$B$14,MATCH(A91,Éléments!$C$5:$C$14,1))</f>
        <v>Palais céleste</v>
      </c>
      <c r="D91" s="48" t="str">
        <f aca="false" t="array" ref="D91:D91">INDEX(Éléments!$A$5:$A$14,MATCH(A91,Éléments!$C$5:$C$14,1))</f>
        <v>Lumière</v>
      </c>
      <c r="E91" s="23" t="str">
        <f aca="false">IF(MOD(A91,5)=0,"Boss",IF(MOD(A91,10)=9,"Dragon","Normal"))</f>
        <v>Normal</v>
      </c>
      <c r="F91" s="23" t="n">
        <f aca="false">IF(E91="Normal",5*ROUNDUP(A91/5,0),A91)</f>
        <v>90</v>
      </c>
      <c r="G91" s="22" t="str">
        <f aca="false" t="array" ref="G91:G91">INDEX(Zones!$B$6:$B$35,MATCH(F91,Zones!$A$6:$A$35,0))</f>
        <v>Paradis(90)</v>
      </c>
      <c r="H91" s="22" t="str">
        <f aca="false" t="array" ref="H91:H91">IF(E91="Normal","—",INDEX(Zones!$L$6:$L$35,MATCH(F91,Zones!$A$6:$A$35,0)))</f>
        <v>—</v>
      </c>
      <c r="I91" s="27" t="n">
        <f aca="false">IF(E91="Normal",Paramètres!$B$40,IF(E91="Boss",Paramètres!$B$41,1))</f>
        <v>3</v>
      </c>
      <c r="J91" s="23" t="n">
        <f aca="false">IF(E91="Normal",Paramètres!$B$40*Paramètres!$B$39,IF(E91="Boss",(Paramètres!$B$41-1)*Paramètres!$B$39+Paramètres!$B$42+1,1))</f>
        <v>9</v>
      </c>
      <c r="K91" s="33" t="n">
        <f aca="false" t="array" ref="K91:K91">IF(E91="Normal",Paramètres!$B$40*Paramètres!$B$39*(INDEX(Zones!$M$6:$M$35,MATCH(F91,Zones!$A$6:$A$35,0))*(1-Paramètres!$B$46)),IF(E91="Boss",((Paramètres!$B$41-1)*Paramètres!$B$39+Paramètres!$B$42)*(INDEX(Zones!$M$6:$M$35,MATCH(F91,Zones!$A$6:$A$35,0))*(1-Paramètres!$B$46))+INDEX(Zones!$P$6:$P$35,MATCH(F91,Zones!$A$6:$A$35,0)),INDEX(Zones!$P$6:$P$35,MATCH(F91,Zones!$A$6:$A$35,0))))</f>
        <v>15.48</v>
      </c>
      <c r="L91" s="27" t="n">
        <f aca="false">K91*Paramètres!$B$45+I91*Paramètres!$B$47</f>
        <v>89.4</v>
      </c>
      <c r="M91" s="30" t="n">
        <f aca="false" t="array" ref="M91:M91">IF(E91="Dragon",0,(INDEX(Zones!$N$6:$N$35,MATCH(F91,Zones!$A$6:$A$35,0))*Paramètres!$B$34*(INDEX(Zones!$M$6:$M$35,MATCH(F91,Zones!$A$6:$A$35,0))*(1-Paramètres!$B$46))*Paramètres!$B$39*(Paramètres!$B$39+1)/2))</f>
        <v>0.1602352</v>
      </c>
      <c r="N91" s="30" t="n">
        <f aca="false" t="array" ref="N91:N91">IF(E91="Normal",0,IF(E91="Dragon",INDEX(Zones!$Q$6:$Q$35,MATCH(F91,Zones!$A$6:$A$35,0))*Paramètres!$B$34*INDEX(Zones!$P$6:$P$35,MATCH(F91,Zones!$A$6:$A$35,0)),INDEX(Zones!$Q$6:$Q$35,MATCH(F91,Zones!$A$6:$A$35,0))*Paramètres!$B$34*(INDEX(Zones!$P$6:$P$35,MATCH(F91,Zones!$A$6:$A$35,0))+Paramètres!$B$42*(INDEX(Zones!$M$6:$M$35,MATCH(F91,Zones!$A$6:$A$35,0))*(1-Paramètres!$B$46)))+INDEX(Zones!$N$6:$N$35,MATCH(F91,Zones!$A$6:$A$35,0))*Paramètres!$B$34*(INDEX(Zones!$M$6:$M$35,MATCH(F91,Zones!$A$6:$A$35,0))*(1-Paramètres!$B$46))*(Paramètres!$B$42*(Paramètres!$B$42+1)/2)))</f>
        <v>0</v>
      </c>
      <c r="O91" s="75" t="n">
        <f aca="false">MAX(M91,N91)</f>
        <v>0.1602352</v>
      </c>
      <c r="P91" s="36" t="n">
        <f aca="false">IF(E91="Normal",M91*Paramètres!$B$40,IF(E91="Boss",M91*(Paramètres!$B$41-1)+N91,N91))</f>
        <v>0.4807056</v>
      </c>
      <c r="Q91" s="76" t="str">
        <f aca="false">IF(O91&gt;Paramètres!$B$37,"Trop dur","OK")</f>
        <v>OK</v>
      </c>
      <c r="R91" s="29" t="n">
        <f aca="false" t="array" ref="R91:R91">ROUND(IF(E91="Normal",J91*INDEX(Zones!$O$6:$O$35,MATCH(F91,Zones!$A$6:$A$35,0)),IF(E91="Boss",((Paramètres!$B$41-1)*Paramètres!$B$39+Paramètres!$B$42)*INDEX(Zones!$O$6:$O$35,MATCH(F91,Zones!$A$6:$A$35,0))+INDEX(Zones!$R$6:$R$35,MATCH(F91,Zones!$A$6:$A$35,0)),INDEX(Zones!$R$6:$R$35,MATCH(F91,Zones!$A$6:$A$35,0))))*ROUND(Paramètres!$B$49*B91^Paramètres!$B$50,0),0)</f>
        <v>17909</v>
      </c>
      <c r="S91" s="29" t="n">
        <f aca="false" t="array" ref="S91:S91">ROUND(IF(E91="Normal",J91*INDEX(Zones!$O$6:$O$35,MATCH(F91,Zones!$A$6:$A$35,0)),IF(E91="Boss",((Paramètres!$B$41-1)*Paramètres!$B$39+Paramètres!$B$42)*INDEX(Zones!$O$6:$O$35,MATCH(F91,Zones!$A$6:$A$35,0))+INDEX(Zones!$R$6:$R$35,MATCH(F91,Zones!$A$6:$A$35,0)),INDEX(Zones!$R$6:$R$35,MATCH(F91,Zones!$A$6:$A$35,0))))*ROUND(Paramètres!$B$53*B91^Paramètres!$B$54,0),0)</f>
        <v>13988</v>
      </c>
      <c r="T91" s="22" t="str">
        <f aca="false">IF(E91="Boss",G91,"—")</f>
        <v>—</v>
      </c>
      <c r="U91" s="37" t="n">
        <f aca="false">IF(E91="Dragon",0,(J91-IF(E91="Boss",1,0))*AVERAGEIFS(Monstres!$AL$7:$AL$98,Monstres!$B$7:$B$98,F91,Monstres!$G$7:$G$98,"Non"))</f>
        <v>0.63</v>
      </c>
      <c r="V91" s="74" t="n">
        <f aca="false">IF(E91="Boss",Butin!$E$10,IF(E91="Dragon",Butin!$E$11,0))</f>
        <v>0</v>
      </c>
      <c r="W91" s="37" t="n">
        <f aca="false">U91+V91</f>
        <v>0.63</v>
      </c>
      <c r="X91" s="77" t="n">
        <f aca="false">U91*INDEX(Butin!$E$15:$K$24,MATCH($A91,Éléments!$C$5:$C$14,1),1)+V91*IF(E91="Boss",INDEX(Butin!$E$28:$K$37,MATCH($A91,Éléments!$C$5:$C$14,1),1),IF(E91="Dragon",INDEX(Butin!$E$41:$K$50,MATCH($A91,Éléments!$C$5:$C$14,1),1),0))</f>
        <v>0.0756</v>
      </c>
      <c r="Y91" s="77" t="n">
        <f aca="false">U91*INDEX(Butin!$E$15:$K$24,MATCH($A91,Éléments!$C$5:$C$14,1),2)+V91*IF(E91="Boss",INDEX(Butin!$E$28:$K$37,MATCH($A91,Éléments!$C$5:$C$14,1),2),IF(E91="Dragon",INDEX(Butin!$E$41:$K$50,MATCH($A91,Éléments!$C$5:$C$14,1),2),0))</f>
        <v>0.1386</v>
      </c>
      <c r="Z91" s="77" t="n">
        <f aca="false">U91*INDEX(Butin!$E$15:$K$24,MATCH($A91,Éléments!$C$5:$C$14,1),3)+V91*IF(E91="Boss",INDEX(Butin!$E$28:$K$37,MATCH($A91,Éléments!$C$5:$C$14,1),3),IF(E91="Dragon",INDEX(Butin!$E$41:$K$50,MATCH($A91,Éléments!$C$5:$C$14,1),3),0))</f>
        <v>0.1764</v>
      </c>
      <c r="AA91" s="77" t="n">
        <f aca="false">U91*INDEX(Butin!$E$15:$K$24,MATCH($A91,Éléments!$C$5:$C$14,1),4)+V91*IF(E91="Boss",INDEX(Butin!$E$28:$K$37,MATCH($A91,Éléments!$C$5:$C$14,1),4),IF(E91="Dragon",INDEX(Butin!$E$41:$K$50,MATCH($A91,Éléments!$C$5:$C$14,1),4),0))</f>
        <v>0.1386</v>
      </c>
      <c r="AB91" s="77" t="n">
        <f aca="false">U91*INDEX(Butin!$E$15:$K$24,MATCH($A91,Éléments!$C$5:$C$14,1),5)+V91*IF(E91="Boss",INDEX(Butin!$E$28:$K$37,MATCH($A91,Éléments!$C$5:$C$14,1),5),IF(E91="Dragon",INDEX(Butin!$E$41:$K$50,MATCH($A91,Éléments!$C$5:$C$14,1),5),0))</f>
        <v>0.07308</v>
      </c>
      <c r="AC91" s="77" t="n">
        <f aca="false">U91*INDEX(Butin!$E$15:$K$24,MATCH($A91,Éléments!$C$5:$C$14,1),6)+V91*IF(E91="Boss",INDEX(Butin!$E$28:$K$37,MATCH($A91,Éléments!$C$5:$C$14,1),6),IF(E91="Dragon",INDEX(Butin!$E$41:$K$50,MATCH($A91,Éléments!$C$5:$C$14,1),6),0))</f>
        <v>0.02457</v>
      </c>
      <c r="AD91" s="77" t="n">
        <f aca="false">U91*INDEX(Butin!$E$15:$K$24,MATCH($A91,Éléments!$C$5:$C$14,1),7)+V91*IF(E91="Boss",INDEX(Butin!$E$28:$K$37,MATCH($A91,Éléments!$C$5:$C$14,1),7),IF(E91="Dragon",INDEX(Butin!$E$41:$K$50,MATCH($A91,Éléments!$C$5:$C$14,1),7),0))</f>
        <v>0.00315</v>
      </c>
    </row>
    <row r="92" customFormat="false" ht="15.75" hidden="false" customHeight="true" outlineLevel="0" collapsed="false">
      <c r="A92" s="71" t="n">
        <v>87</v>
      </c>
      <c r="B92" s="23" t="n">
        <f aca="false">A92</f>
        <v>87</v>
      </c>
      <c r="C92" s="23" t="str">
        <f aca="false" t="array" ref="C92:C92">INDEX(Éléments!$B$5:$B$14,MATCH(A92,Éléments!$C$5:$C$14,1))</f>
        <v>Palais céleste</v>
      </c>
      <c r="D92" s="48" t="str">
        <f aca="false" t="array" ref="D92:D92">INDEX(Éléments!$A$5:$A$14,MATCH(A92,Éléments!$C$5:$C$14,1))</f>
        <v>Lumière</v>
      </c>
      <c r="E92" s="23" t="str">
        <f aca="false">IF(MOD(A92,5)=0,"Boss",IF(MOD(A92,10)=9,"Dragon","Normal"))</f>
        <v>Normal</v>
      </c>
      <c r="F92" s="23" t="n">
        <f aca="false">IF(E92="Normal",5*ROUNDUP(A92/5,0),A92)</f>
        <v>90</v>
      </c>
      <c r="G92" s="22" t="str">
        <f aca="false" t="array" ref="G92:G92">INDEX(Zones!$B$6:$B$35,MATCH(F92,Zones!$A$6:$A$35,0))</f>
        <v>Paradis(90)</v>
      </c>
      <c r="H92" s="22" t="str">
        <f aca="false" t="array" ref="H92:H92">IF(E92="Normal","—",INDEX(Zones!$L$6:$L$35,MATCH(F92,Zones!$A$6:$A$35,0)))</f>
        <v>—</v>
      </c>
      <c r="I92" s="27" t="n">
        <f aca="false">IF(E92="Normal",Paramètres!$B$40,IF(E92="Boss",Paramètres!$B$41,1))</f>
        <v>3</v>
      </c>
      <c r="J92" s="23" t="n">
        <f aca="false">IF(E92="Normal",Paramètres!$B$40*Paramètres!$B$39,IF(E92="Boss",(Paramètres!$B$41-1)*Paramètres!$B$39+Paramètres!$B$42+1,1))</f>
        <v>9</v>
      </c>
      <c r="K92" s="33" t="n">
        <f aca="false" t="array" ref="K92:K92">IF(E92="Normal",Paramètres!$B$40*Paramètres!$B$39*(INDEX(Zones!$M$6:$M$35,MATCH(F92,Zones!$A$6:$A$35,0))*(1-Paramètres!$B$46)),IF(E92="Boss",((Paramètres!$B$41-1)*Paramètres!$B$39+Paramètres!$B$42)*(INDEX(Zones!$M$6:$M$35,MATCH(F92,Zones!$A$6:$A$35,0))*(1-Paramètres!$B$46))+INDEX(Zones!$P$6:$P$35,MATCH(F92,Zones!$A$6:$A$35,0)),INDEX(Zones!$P$6:$P$35,MATCH(F92,Zones!$A$6:$A$35,0))))</f>
        <v>15.48</v>
      </c>
      <c r="L92" s="27" t="n">
        <f aca="false">K92*Paramètres!$B$45+I92*Paramètres!$B$47</f>
        <v>89.4</v>
      </c>
      <c r="M92" s="30" t="n">
        <f aca="false" t="array" ref="M92:M92">IF(E92="Dragon",0,(INDEX(Zones!$N$6:$N$35,MATCH(F92,Zones!$A$6:$A$35,0))*Paramètres!$B$34*(INDEX(Zones!$M$6:$M$35,MATCH(F92,Zones!$A$6:$A$35,0))*(1-Paramètres!$B$46))*Paramètres!$B$39*(Paramètres!$B$39+1)/2))</f>
        <v>0.1602352</v>
      </c>
      <c r="N92" s="30" t="n">
        <f aca="false" t="array" ref="N92:N92">IF(E92="Normal",0,IF(E92="Dragon",INDEX(Zones!$Q$6:$Q$35,MATCH(F92,Zones!$A$6:$A$35,0))*Paramètres!$B$34*INDEX(Zones!$P$6:$P$35,MATCH(F92,Zones!$A$6:$A$35,0)),INDEX(Zones!$Q$6:$Q$35,MATCH(F92,Zones!$A$6:$A$35,0))*Paramètres!$B$34*(INDEX(Zones!$P$6:$P$35,MATCH(F92,Zones!$A$6:$A$35,0))+Paramètres!$B$42*(INDEX(Zones!$M$6:$M$35,MATCH(F92,Zones!$A$6:$A$35,0))*(1-Paramètres!$B$46)))+INDEX(Zones!$N$6:$N$35,MATCH(F92,Zones!$A$6:$A$35,0))*Paramètres!$B$34*(INDEX(Zones!$M$6:$M$35,MATCH(F92,Zones!$A$6:$A$35,0))*(1-Paramètres!$B$46))*(Paramètres!$B$42*(Paramètres!$B$42+1)/2)))</f>
        <v>0</v>
      </c>
      <c r="O92" s="75" t="n">
        <f aca="false">MAX(M92,N92)</f>
        <v>0.1602352</v>
      </c>
      <c r="P92" s="36" t="n">
        <f aca="false">IF(E92="Normal",M92*Paramètres!$B$40,IF(E92="Boss",M92*(Paramètres!$B$41-1)+N92,N92))</f>
        <v>0.4807056</v>
      </c>
      <c r="Q92" s="76" t="str">
        <f aca="false">IF(O92&gt;Paramètres!$B$37,"Trop dur","OK")</f>
        <v>OK</v>
      </c>
      <c r="R92" s="29" t="n">
        <f aca="false" t="array" ref="R92:R92">ROUND(IF(E92="Normal",J92*INDEX(Zones!$O$6:$O$35,MATCH(F92,Zones!$A$6:$A$35,0)),IF(E92="Boss",((Paramètres!$B$41-1)*Paramètres!$B$39+Paramètres!$B$42)*INDEX(Zones!$O$6:$O$35,MATCH(F92,Zones!$A$6:$A$35,0))+INDEX(Zones!$R$6:$R$35,MATCH(F92,Zones!$A$6:$A$35,0)),INDEX(Zones!$R$6:$R$35,MATCH(F92,Zones!$A$6:$A$35,0))))*ROUND(Paramètres!$B$49*B92^Paramètres!$B$50,0),0)</f>
        <v>18172</v>
      </c>
      <c r="S92" s="29" t="n">
        <f aca="false" t="array" ref="S92:S92">ROUND(IF(E92="Normal",J92*INDEX(Zones!$O$6:$O$35,MATCH(F92,Zones!$A$6:$A$35,0)),IF(E92="Boss",((Paramètres!$B$41-1)*Paramètres!$B$39+Paramètres!$B$42)*INDEX(Zones!$O$6:$O$35,MATCH(F92,Zones!$A$6:$A$35,0))+INDEX(Zones!$R$6:$R$35,MATCH(F92,Zones!$A$6:$A$35,0)),INDEX(Zones!$R$6:$R$35,MATCH(F92,Zones!$A$6:$A$35,0))))*ROUND(Paramètres!$B$53*B92^Paramètres!$B$54,0),0)</f>
        <v>14204</v>
      </c>
      <c r="T92" s="22" t="str">
        <f aca="false">IF(E92="Boss",G92,"—")</f>
        <v>—</v>
      </c>
      <c r="U92" s="37" t="n">
        <f aca="false">IF(E92="Dragon",0,(J92-IF(E92="Boss",1,0))*AVERAGEIFS(Monstres!$AL$7:$AL$98,Monstres!$B$7:$B$98,F92,Monstres!$G$7:$G$98,"Non"))</f>
        <v>0.63</v>
      </c>
      <c r="V92" s="74" t="n">
        <f aca="false">IF(E92="Boss",Butin!$E$10,IF(E92="Dragon",Butin!$E$11,0))</f>
        <v>0</v>
      </c>
      <c r="W92" s="37" t="n">
        <f aca="false">U92+V92</f>
        <v>0.63</v>
      </c>
      <c r="X92" s="77" t="n">
        <f aca="false">U92*INDEX(Butin!$E$15:$K$24,MATCH($A92,Éléments!$C$5:$C$14,1),1)+V92*IF(E92="Boss",INDEX(Butin!$E$28:$K$37,MATCH($A92,Éléments!$C$5:$C$14,1),1),IF(E92="Dragon",INDEX(Butin!$E$41:$K$50,MATCH($A92,Éléments!$C$5:$C$14,1),1),0))</f>
        <v>0.0756</v>
      </c>
      <c r="Y92" s="77" t="n">
        <f aca="false">U92*INDEX(Butin!$E$15:$K$24,MATCH($A92,Éléments!$C$5:$C$14,1),2)+V92*IF(E92="Boss",INDEX(Butin!$E$28:$K$37,MATCH($A92,Éléments!$C$5:$C$14,1),2),IF(E92="Dragon",INDEX(Butin!$E$41:$K$50,MATCH($A92,Éléments!$C$5:$C$14,1),2),0))</f>
        <v>0.1386</v>
      </c>
      <c r="Z92" s="77" t="n">
        <f aca="false">U92*INDEX(Butin!$E$15:$K$24,MATCH($A92,Éléments!$C$5:$C$14,1),3)+V92*IF(E92="Boss",INDEX(Butin!$E$28:$K$37,MATCH($A92,Éléments!$C$5:$C$14,1),3),IF(E92="Dragon",INDEX(Butin!$E$41:$K$50,MATCH($A92,Éléments!$C$5:$C$14,1),3),0))</f>
        <v>0.1764</v>
      </c>
      <c r="AA92" s="77" t="n">
        <f aca="false">U92*INDEX(Butin!$E$15:$K$24,MATCH($A92,Éléments!$C$5:$C$14,1),4)+V92*IF(E92="Boss",INDEX(Butin!$E$28:$K$37,MATCH($A92,Éléments!$C$5:$C$14,1),4),IF(E92="Dragon",INDEX(Butin!$E$41:$K$50,MATCH($A92,Éléments!$C$5:$C$14,1),4),0))</f>
        <v>0.1386</v>
      </c>
      <c r="AB92" s="77" t="n">
        <f aca="false">U92*INDEX(Butin!$E$15:$K$24,MATCH($A92,Éléments!$C$5:$C$14,1),5)+V92*IF(E92="Boss",INDEX(Butin!$E$28:$K$37,MATCH($A92,Éléments!$C$5:$C$14,1),5),IF(E92="Dragon",INDEX(Butin!$E$41:$K$50,MATCH($A92,Éléments!$C$5:$C$14,1),5),0))</f>
        <v>0.07308</v>
      </c>
      <c r="AC92" s="77" t="n">
        <f aca="false">U92*INDEX(Butin!$E$15:$K$24,MATCH($A92,Éléments!$C$5:$C$14,1),6)+V92*IF(E92="Boss",INDEX(Butin!$E$28:$K$37,MATCH($A92,Éléments!$C$5:$C$14,1),6),IF(E92="Dragon",INDEX(Butin!$E$41:$K$50,MATCH($A92,Éléments!$C$5:$C$14,1),6),0))</f>
        <v>0.02457</v>
      </c>
      <c r="AD92" s="77" t="n">
        <f aca="false">U92*INDEX(Butin!$E$15:$K$24,MATCH($A92,Éléments!$C$5:$C$14,1),7)+V92*IF(E92="Boss",INDEX(Butin!$E$28:$K$37,MATCH($A92,Éléments!$C$5:$C$14,1),7),IF(E92="Dragon",INDEX(Butin!$E$41:$K$50,MATCH($A92,Éléments!$C$5:$C$14,1),7),0))</f>
        <v>0.00315</v>
      </c>
    </row>
    <row r="93" customFormat="false" ht="15.75" hidden="false" customHeight="true" outlineLevel="0" collapsed="false">
      <c r="A93" s="71" t="n">
        <v>88</v>
      </c>
      <c r="B93" s="23" t="n">
        <f aca="false">A93</f>
        <v>88</v>
      </c>
      <c r="C93" s="23" t="str">
        <f aca="false" t="array" ref="C93:C93">INDEX(Éléments!$B$5:$B$14,MATCH(A93,Éléments!$C$5:$C$14,1))</f>
        <v>Palais céleste</v>
      </c>
      <c r="D93" s="48" t="str">
        <f aca="false" t="array" ref="D93:D93">INDEX(Éléments!$A$5:$A$14,MATCH(A93,Éléments!$C$5:$C$14,1))</f>
        <v>Lumière</v>
      </c>
      <c r="E93" s="23" t="str">
        <f aca="false">IF(MOD(A93,5)=0,"Boss",IF(MOD(A93,10)=9,"Dragon","Normal"))</f>
        <v>Normal</v>
      </c>
      <c r="F93" s="23" t="n">
        <f aca="false">IF(E93="Normal",5*ROUNDUP(A93/5,0),A93)</f>
        <v>90</v>
      </c>
      <c r="G93" s="22" t="str">
        <f aca="false" t="array" ref="G93:G93">INDEX(Zones!$B$6:$B$35,MATCH(F93,Zones!$A$6:$A$35,0))</f>
        <v>Paradis(90)</v>
      </c>
      <c r="H93" s="22" t="str">
        <f aca="false" t="array" ref="H93:H93">IF(E93="Normal","—",INDEX(Zones!$L$6:$L$35,MATCH(F93,Zones!$A$6:$A$35,0)))</f>
        <v>—</v>
      </c>
      <c r="I93" s="27" t="n">
        <f aca="false">IF(E93="Normal",Paramètres!$B$40,IF(E93="Boss",Paramètres!$B$41,1))</f>
        <v>3</v>
      </c>
      <c r="J93" s="23" t="n">
        <f aca="false">IF(E93="Normal",Paramètres!$B$40*Paramètres!$B$39,IF(E93="Boss",(Paramètres!$B$41-1)*Paramètres!$B$39+Paramètres!$B$42+1,1))</f>
        <v>9</v>
      </c>
      <c r="K93" s="33" t="n">
        <f aca="false" t="array" ref="K93:K93">IF(E93="Normal",Paramètres!$B$40*Paramètres!$B$39*(INDEX(Zones!$M$6:$M$35,MATCH(F93,Zones!$A$6:$A$35,0))*(1-Paramètres!$B$46)),IF(E93="Boss",((Paramètres!$B$41-1)*Paramètres!$B$39+Paramètres!$B$42)*(INDEX(Zones!$M$6:$M$35,MATCH(F93,Zones!$A$6:$A$35,0))*(1-Paramètres!$B$46))+INDEX(Zones!$P$6:$P$35,MATCH(F93,Zones!$A$6:$A$35,0)),INDEX(Zones!$P$6:$P$35,MATCH(F93,Zones!$A$6:$A$35,0))))</f>
        <v>15.48</v>
      </c>
      <c r="L93" s="27" t="n">
        <f aca="false">K93*Paramètres!$B$45+I93*Paramètres!$B$47</f>
        <v>89.4</v>
      </c>
      <c r="M93" s="30" t="n">
        <f aca="false" t="array" ref="M93:M93">IF(E93="Dragon",0,(INDEX(Zones!$N$6:$N$35,MATCH(F93,Zones!$A$6:$A$35,0))*Paramètres!$B$34*(INDEX(Zones!$M$6:$M$35,MATCH(F93,Zones!$A$6:$A$35,0))*(1-Paramètres!$B$46))*Paramètres!$B$39*(Paramètres!$B$39+1)/2))</f>
        <v>0.1602352</v>
      </c>
      <c r="N93" s="30" t="n">
        <f aca="false" t="array" ref="N93:N93">IF(E93="Normal",0,IF(E93="Dragon",INDEX(Zones!$Q$6:$Q$35,MATCH(F93,Zones!$A$6:$A$35,0))*Paramètres!$B$34*INDEX(Zones!$P$6:$P$35,MATCH(F93,Zones!$A$6:$A$35,0)),INDEX(Zones!$Q$6:$Q$35,MATCH(F93,Zones!$A$6:$A$35,0))*Paramètres!$B$34*(INDEX(Zones!$P$6:$P$35,MATCH(F93,Zones!$A$6:$A$35,0))+Paramètres!$B$42*(INDEX(Zones!$M$6:$M$35,MATCH(F93,Zones!$A$6:$A$35,0))*(1-Paramètres!$B$46)))+INDEX(Zones!$N$6:$N$35,MATCH(F93,Zones!$A$6:$A$35,0))*Paramètres!$B$34*(INDEX(Zones!$M$6:$M$35,MATCH(F93,Zones!$A$6:$A$35,0))*(1-Paramètres!$B$46))*(Paramètres!$B$42*(Paramètres!$B$42+1)/2)))</f>
        <v>0</v>
      </c>
      <c r="O93" s="75" t="n">
        <f aca="false">MAX(M93,N93)</f>
        <v>0.1602352</v>
      </c>
      <c r="P93" s="36" t="n">
        <f aca="false">IF(E93="Normal",M93*Paramètres!$B$40,IF(E93="Boss",M93*(Paramètres!$B$41-1)+N93,N93))</f>
        <v>0.4807056</v>
      </c>
      <c r="Q93" s="76" t="str">
        <f aca="false">IF(O93&gt;Paramètres!$B$37,"Trop dur","OK")</f>
        <v>OK</v>
      </c>
      <c r="R93" s="29" t="n">
        <f aca="false" t="array" ref="R93:R93">ROUND(IF(E93="Normal",J93*INDEX(Zones!$O$6:$O$35,MATCH(F93,Zones!$A$6:$A$35,0)),IF(E93="Boss",((Paramètres!$B$41-1)*Paramètres!$B$39+Paramètres!$B$42)*INDEX(Zones!$O$6:$O$35,MATCH(F93,Zones!$A$6:$A$35,0))+INDEX(Zones!$R$6:$R$35,MATCH(F93,Zones!$A$6:$A$35,0)),INDEX(Zones!$R$6:$R$35,MATCH(F93,Zones!$A$6:$A$35,0))))*ROUND(Paramètres!$B$49*B93^Paramètres!$B$50,0),0)</f>
        <v>18434</v>
      </c>
      <c r="S93" s="29" t="n">
        <f aca="false" t="array" ref="S93:S93">ROUND(IF(E93="Normal",J93*INDEX(Zones!$O$6:$O$35,MATCH(F93,Zones!$A$6:$A$35,0)),IF(E93="Boss",((Paramètres!$B$41-1)*Paramètres!$B$39+Paramètres!$B$42)*INDEX(Zones!$O$6:$O$35,MATCH(F93,Zones!$A$6:$A$35,0))+INDEX(Zones!$R$6:$R$35,MATCH(F93,Zones!$A$6:$A$35,0)),INDEX(Zones!$R$6:$R$35,MATCH(F93,Zones!$A$6:$A$35,0))))*ROUND(Paramètres!$B$53*B93^Paramètres!$B$54,0),0)</f>
        <v>14421</v>
      </c>
      <c r="T93" s="22" t="str">
        <f aca="false">IF(E93="Boss",G93,"—")</f>
        <v>—</v>
      </c>
      <c r="U93" s="37" t="n">
        <f aca="false">IF(E93="Dragon",0,(J93-IF(E93="Boss",1,0))*AVERAGEIFS(Monstres!$AL$7:$AL$98,Monstres!$B$7:$B$98,F93,Monstres!$G$7:$G$98,"Non"))</f>
        <v>0.63</v>
      </c>
      <c r="V93" s="74" t="n">
        <f aca="false">IF(E93="Boss",Butin!$E$10,IF(E93="Dragon",Butin!$E$11,0))</f>
        <v>0</v>
      </c>
      <c r="W93" s="37" t="n">
        <f aca="false">U93+V93</f>
        <v>0.63</v>
      </c>
      <c r="X93" s="77" t="n">
        <f aca="false">U93*INDEX(Butin!$E$15:$K$24,MATCH($A93,Éléments!$C$5:$C$14,1),1)+V93*IF(E93="Boss",INDEX(Butin!$E$28:$K$37,MATCH($A93,Éléments!$C$5:$C$14,1),1),IF(E93="Dragon",INDEX(Butin!$E$41:$K$50,MATCH($A93,Éléments!$C$5:$C$14,1),1),0))</f>
        <v>0.0756</v>
      </c>
      <c r="Y93" s="77" t="n">
        <f aca="false">U93*INDEX(Butin!$E$15:$K$24,MATCH($A93,Éléments!$C$5:$C$14,1),2)+V93*IF(E93="Boss",INDEX(Butin!$E$28:$K$37,MATCH($A93,Éléments!$C$5:$C$14,1),2),IF(E93="Dragon",INDEX(Butin!$E$41:$K$50,MATCH($A93,Éléments!$C$5:$C$14,1),2),0))</f>
        <v>0.1386</v>
      </c>
      <c r="Z93" s="77" t="n">
        <f aca="false">U93*INDEX(Butin!$E$15:$K$24,MATCH($A93,Éléments!$C$5:$C$14,1),3)+V93*IF(E93="Boss",INDEX(Butin!$E$28:$K$37,MATCH($A93,Éléments!$C$5:$C$14,1),3),IF(E93="Dragon",INDEX(Butin!$E$41:$K$50,MATCH($A93,Éléments!$C$5:$C$14,1),3),0))</f>
        <v>0.1764</v>
      </c>
      <c r="AA93" s="77" t="n">
        <f aca="false">U93*INDEX(Butin!$E$15:$K$24,MATCH($A93,Éléments!$C$5:$C$14,1),4)+V93*IF(E93="Boss",INDEX(Butin!$E$28:$K$37,MATCH($A93,Éléments!$C$5:$C$14,1),4),IF(E93="Dragon",INDEX(Butin!$E$41:$K$50,MATCH($A93,Éléments!$C$5:$C$14,1),4),0))</f>
        <v>0.1386</v>
      </c>
      <c r="AB93" s="77" t="n">
        <f aca="false">U93*INDEX(Butin!$E$15:$K$24,MATCH($A93,Éléments!$C$5:$C$14,1),5)+V93*IF(E93="Boss",INDEX(Butin!$E$28:$K$37,MATCH($A93,Éléments!$C$5:$C$14,1),5),IF(E93="Dragon",INDEX(Butin!$E$41:$K$50,MATCH($A93,Éléments!$C$5:$C$14,1),5),0))</f>
        <v>0.07308</v>
      </c>
      <c r="AC93" s="77" t="n">
        <f aca="false">U93*INDEX(Butin!$E$15:$K$24,MATCH($A93,Éléments!$C$5:$C$14,1),6)+V93*IF(E93="Boss",INDEX(Butin!$E$28:$K$37,MATCH($A93,Éléments!$C$5:$C$14,1),6),IF(E93="Dragon",INDEX(Butin!$E$41:$K$50,MATCH($A93,Éléments!$C$5:$C$14,1),6),0))</f>
        <v>0.02457</v>
      </c>
      <c r="AD93" s="77" t="n">
        <f aca="false">U93*INDEX(Butin!$E$15:$K$24,MATCH($A93,Éléments!$C$5:$C$14,1),7)+V93*IF(E93="Boss",INDEX(Butin!$E$28:$K$37,MATCH($A93,Éléments!$C$5:$C$14,1),7),IF(E93="Dragon",INDEX(Butin!$E$41:$K$50,MATCH($A93,Éléments!$C$5:$C$14,1),7),0))</f>
        <v>0.00315</v>
      </c>
    </row>
    <row r="94" customFormat="false" ht="15.75" hidden="false" customHeight="true" outlineLevel="0" collapsed="false">
      <c r="A94" s="71" t="n">
        <v>89</v>
      </c>
      <c r="B94" s="23" t="n">
        <f aca="false">A94</f>
        <v>89</v>
      </c>
      <c r="C94" s="23" t="str">
        <f aca="false" t="array" ref="C94:C94">INDEX(Éléments!$B$5:$B$14,MATCH(A94,Éléments!$C$5:$C$14,1))</f>
        <v>Palais céleste</v>
      </c>
      <c r="D94" s="48" t="str">
        <f aca="false" t="array" ref="D94:D94">INDEX(Éléments!$A$5:$A$14,MATCH(A94,Éléments!$C$5:$C$14,1))</f>
        <v>Lumière</v>
      </c>
      <c r="E94" s="23" t="str">
        <f aca="false">IF(MOD(A94,5)=0,"Boss",IF(MOD(A94,10)=9,"Dragon","Normal"))</f>
        <v>Dragon</v>
      </c>
      <c r="F94" s="23" t="n">
        <f aca="false">IF(E94="Normal",5*ROUNDUP(A94/5,0),A94)</f>
        <v>89</v>
      </c>
      <c r="G94" s="22" t="str">
        <f aca="false" t="array" ref="G94:G94">INDEX(Zones!$B$6:$B$35,MATCH(F94,Zones!$A$6:$A$35,0))</f>
        <v>Tannière du dragon (89)</v>
      </c>
      <c r="H94" s="22" t="str">
        <f aca="false" t="array" ref="H94:H94">IF(E94="Normal","—",INDEX(Zones!$L$6:$L$35,MATCH(F94,Zones!$A$6:$A$35,0)))</f>
        <v>Dragon (Lumière)</v>
      </c>
      <c r="I94" s="23" t="n">
        <f aca="false">IF(E94="Normal",Paramètres!$B$40,IF(E94="Boss",Paramètres!$B$41,1))</f>
        <v>1</v>
      </c>
      <c r="J94" s="23" t="n">
        <f aca="false">IF(E94="Normal",Paramètres!$B$40*Paramètres!$B$39,IF(E94="Boss",(Paramètres!$B$41-1)*Paramètres!$B$39+Paramètres!$B$42+1,1))</f>
        <v>1</v>
      </c>
      <c r="K94" s="33" t="n">
        <f aca="false" t="array" ref="K94:K94">IF(E94="Normal",Paramètres!$B$40*Paramètres!$B$39*(INDEX(Zones!$M$6:$M$35,MATCH(F94,Zones!$A$6:$A$35,0))*(1-Paramètres!$B$46)),IF(E94="Boss",((Paramètres!$B$41-1)*Paramètres!$B$39+Paramètres!$B$42)*(INDEX(Zones!$M$6:$M$35,MATCH(F94,Zones!$A$6:$A$35,0))*(1-Paramètres!$B$46))+INDEX(Zones!$P$6:$P$35,MATCH(F94,Zones!$A$6:$A$35,0)),INDEX(Zones!$P$6:$P$35,MATCH(F94,Zones!$A$6:$A$35,0))))</f>
        <v>20</v>
      </c>
      <c r="L94" s="27" t="n">
        <f aca="false">K94*Paramètres!$B$45+I94*Paramètres!$B$47</f>
        <v>104</v>
      </c>
      <c r="M94" s="30" t="n">
        <f aca="false" t="array" ref="M94:M94">IF(E94="Dragon",0,(INDEX(Zones!$N$6:$N$35,MATCH(F94,Zones!$A$6:$A$35,0))*Paramètres!$B$34*(INDEX(Zones!$M$6:$M$35,MATCH(F94,Zones!$A$6:$A$35,0))*(1-Paramètres!$B$46))*Paramètres!$B$39*(Paramètres!$B$39+1)/2))</f>
        <v>0</v>
      </c>
      <c r="N94" s="30" t="n">
        <f aca="false" t="array" ref="N94:N94">IF(E94="Normal",0,IF(E94="Dragon",INDEX(Zones!$Q$6:$Q$35,MATCH(F94,Zones!$A$6:$A$35,0))*Paramètres!$B$34*INDEX(Zones!$P$6:$P$35,MATCH(F94,Zones!$A$6:$A$35,0)),INDEX(Zones!$Q$6:$Q$35,MATCH(F94,Zones!$A$6:$A$35,0))*Paramètres!$B$34*(INDEX(Zones!$P$6:$P$35,MATCH(F94,Zones!$A$6:$A$35,0))+Paramètres!$B$42*(INDEX(Zones!$M$6:$M$35,MATCH(F94,Zones!$A$6:$A$35,0))*(1-Paramètres!$B$46)))+INDEX(Zones!$N$6:$N$35,MATCH(F94,Zones!$A$6:$A$35,0))*Paramètres!$B$34*(INDEX(Zones!$M$6:$M$35,MATCH(F94,Zones!$A$6:$A$35,0))*(1-Paramètres!$B$46))*(Paramètres!$B$42*(Paramètres!$B$42+1)/2)))</f>
        <v>0.51</v>
      </c>
      <c r="O94" s="75" t="n">
        <f aca="false">MAX(M94,N94)</f>
        <v>0.51</v>
      </c>
      <c r="P94" s="36" t="n">
        <f aca="false">IF(E94="Normal",M94*Paramètres!$B$40,IF(E94="Boss",M94*(Paramètres!$B$41-1)+N94,N94))</f>
        <v>0.51</v>
      </c>
      <c r="Q94" s="76" t="str">
        <f aca="false">IF(O94&gt;Paramètres!$B$37,"Trop dur","OK")</f>
        <v>OK</v>
      </c>
      <c r="R94" s="29" t="n">
        <f aca="false" t="array" ref="R94:R94">ROUND(IF(E94="Normal",J94*INDEX(Zones!$O$6:$O$35,MATCH(F94,Zones!$A$6:$A$35,0)),IF(E94="Boss",((Paramètres!$B$41-1)*Paramètres!$B$39+Paramètres!$B$42)*INDEX(Zones!$O$6:$O$35,MATCH(F94,Zones!$A$6:$A$35,0))+INDEX(Zones!$R$6:$R$35,MATCH(F94,Zones!$A$6:$A$35,0)),INDEX(Zones!$R$6:$R$35,MATCH(F94,Zones!$A$6:$A$35,0))))*ROUND(Paramètres!$B$49*B94^Paramètres!$B$50,0),0)</f>
        <v>19680</v>
      </c>
      <c r="S94" s="29" t="n">
        <f aca="false" t="array" ref="S94:S94">ROUND(IF(E94="Normal",J94*INDEX(Zones!$O$6:$O$35,MATCH(F94,Zones!$A$6:$A$35,0)),IF(E94="Boss",((Paramètres!$B$41-1)*Paramètres!$B$39+Paramètres!$B$42)*INDEX(Zones!$O$6:$O$35,MATCH(F94,Zones!$A$6:$A$35,0))+INDEX(Zones!$R$6:$R$35,MATCH(F94,Zones!$A$6:$A$35,0)),INDEX(Zones!$R$6:$R$35,MATCH(F94,Zones!$A$6:$A$35,0))))*ROUND(Paramètres!$B$53*B94^Paramètres!$B$54,0),0)</f>
        <v>15420</v>
      </c>
      <c r="T94" s="22" t="str">
        <f aca="false">IF(E94="Boss",G94,"—")</f>
        <v>—</v>
      </c>
      <c r="U94" s="37" t="n">
        <f aca="false">IF(E94="Dragon",0,(J94-IF(E94="Boss",1,0))*AVERAGEIFS(Monstres!$AL$7:$AL$98,Monstres!$B$7:$B$98,F94,Monstres!$G$7:$G$98,"Non"))</f>
        <v>0</v>
      </c>
      <c r="V94" s="74" t="n">
        <f aca="false">IF(E94="Boss",Butin!$E$10,IF(E94="Dragon",Butin!$E$11,0))</f>
        <v>2.5</v>
      </c>
      <c r="W94" s="37" t="n">
        <f aca="false">U94+V94</f>
        <v>2.5</v>
      </c>
      <c r="X94" s="77" t="n">
        <f aca="false">U94*INDEX(Butin!$E$15:$K$24,MATCH($A94,Éléments!$C$5:$C$14,1),1)+V94*IF(E94="Boss",INDEX(Butin!$E$28:$K$37,MATCH($A94,Éléments!$C$5:$C$14,1),1),IF(E94="Dragon",INDEX(Butin!$E$41:$K$50,MATCH($A94,Éléments!$C$5:$C$14,1),1),0))</f>
        <v>0</v>
      </c>
      <c r="Y94" s="77" t="n">
        <f aca="false">U94*INDEX(Butin!$E$15:$K$24,MATCH($A94,Éléments!$C$5:$C$14,1),2)+V94*IF(E94="Boss",INDEX(Butin!$E$28:$K$37,MATCH($A94,Éléments!$C$5:$C$14,1),2),IF(E94="Dragon",INDEX(Butin!$E$41:$K$50,MATCH($A94,Éléments!$C$5:$C$14,1),2),0))</f>
        <v>0.125</v>
      </c>
      <c r="Z94" s="77" t="n">
        <f aca="false">U94*INDEX(Butin!$E$15:$K$24,MATCH($A94,Éléments!$C$5:$C$14,1),3)+V94*IF(E94="Boss",INDEX(Butin!$E$28:$K$37,MATCH($A94,Éléments!$C$5:$C$14,1),3),IF(E94="Dragon",INDEX(Butin!$E$41:$K$50,MATCH($A94,Éléments!$C$5:$C$14,1),3),0))</f>
        <v>0.375</v>
      </c>
      <c r="AA94" s="77" t="n">
        <f aca="false">U94*INDEX(Butin!$E$15:$K$24,MATCH($A94,Éléments!$C$5:$C$14,1),4)+V94*IF(E94="Boss",INDEX(Butin!$E$28:$K$37,MATCH($A94,Éléments!$C$5:$C$14,1),4),IF(E94="Dragon",INDEX(Butin!$E$41:$K$50,MATCH($A94,Éléments!$C$5:$C$14,1),4),0))</f>
        <v>0.8</v>
      </c>
      <c r="AB94" s="77" t="n">
        <f aca="false">U94*INDEX(Butin!$E$15:$K$24,MATCH($A94,Éléments!$C$5:$C$14,1),5)+V94*IF(E94="Boss",INDEX(Butin!$E$28:$K$37,MATCH($A94,Éléments!$C$5:$C$14,1),5),IF(E94="Dragon",INDEX(Butin!$E$41:$K$50,MATCH($A94,Éléments!$C$5:$C$14,1),5),0))</f>
        <v>0.7</v>
      </c>
      <c r="AC94" s="77" t="n">
        <f aca="false">U94*INDEX(Butin!$E$15:$K$24,MATCH($A94,Éléments!$C$5:$C$14,1),6)+V94*IF(E94="Boss",INDEX(Butin!$E$28:$K$37,MATCH($A94,Éléments!$C$5:$C$14,1),6),IF(E94="Dragon",INDEX(Butin!$E$41:$K$50,MATCH($A94,Éléments!$C$5:$C$14,1),6),0))</f>
        <v>0.275</v>
      </c>
      <c r="AD94" s="77" t="n">
        <f aca="false">U94*INDEX(Butin!$E$15:$K$24,MATCH($A94,Éléments!$C$5:$C$14,1),7)+V94*IF(E94="Boss",INDEX(Butin!$E$28:$K$37,MATCH($A94,Éléments!$C$5:$C$14,1),7),IF(E94="Dragon",INDEX(Butin!$E$41:$K$50,MATCH($A94,Éléments!$C$5:$C$14,1),7),0))</f>
        <v>0.225</v>
      </c>
    </row>
    <row r="95" customFormat="false" ht="15.75" hidden="false" customHeight="true" outlineLevel="0" collapsed="false">
      <c r="A95" s="71" t="n">
        <v>90</v>
      </c>
      <c r="B95" s="23" t="n">
        <f aca="false">A95</f>
        <v>90</v>
      </c>
      <c r="C95" s="23" t="str">
        <f aca="false" t="array" ref="C95:C95">INDEX(Éléments!$B$5:$B$14,MATCH(A95,Éléments!$C$5:$C$14,1))</f>
        <v>Palais céleste</v>
      </c>
      <c r="D95" s="48" t="str">
        <f aca="false" t="array" ref="D95:D95">INDEX(Éléments!$A$5:$A$14,MATCH(A95,Éléments!$C$5:$C$14,1))</f>
        <v>Lumière</v>
      </c>
      <c r="E95" s="23" t="str">
        <f aca="false">IF(MOD(A95,5)=0,"Boss",IF(MOD(A95,10)=9,"Dragon","Normal"))</f>
        <v>Boss</v>
      </c>
      <c r="F95" s="23" t="n">
        <f aca="false">IF(E95="Normal",5*ROUNDUP(A95/5,0),A95)</f>
        <v>90</v>
      </c>
      <c r="G95" s="22" t="str">
        <f aca="false" t="array" ref="G95:G95">INDEX(Zones!$B$6:$B$35,MATCH(F95,Zones!$A$6:$A$35,0))</f>
        <v>Paradis(90)</v>
      </c>
      <c r="H95" s="22" t="str">
        <f aca="false" t="array" ref="H95:H95">IF(E95="Normal","—",INDEX(Zones!$L$6:$L$35,MATCH(F95,Zones!$A$6:$A$35,0)))</f>
        <v>Michel</v>
      </c>
      <c r="I95" s="27" t="n">
        <f aca="false">IF(E95="Normal",Paramètres!$B$40,IF(E95="Boss",Paramètres!$B$41,1))</f>
        <v>5</v>
      </c>
      <c r="J95" s="27" t="n">
        <f aca="false">IF(E95="Normal",Paramètres!$B$40*Paramètres!$B$39,IF(E95="Boss",(Paramètres!$B$41-1)*Paramètres!$B$39+Paramètres!$B$42+1,1))</f>
        <v>15</v>
      </c>
      <c r="K95" s="33" t="n">
        <f aca="false" t="array" ref="K95:K95">IF(E95="Normal",Paramètres!$B$40*Paramètres!$B$39*(INDEX(Zones!$M$6:$M$35,MATCH(F95,Zones!$A$6:$A$35,0))*(1-Paramètres!$B$46)),IF(E95="Boss",((Paramètres!$B$41-1)*Paramètres!$B$39+Paramètres!$B$42)*(INDEX(Zones!$M$6:$M$35,MATCH(F95,Zones!$A$6:$A$35,0))*(1-Paramètres!$B$46))+INDEX(Zones!$P$6:$P$35,MATCH(F95,Zones!$A$6:$A$35,0)),INDEX(Zones!$P$6:$P$35,MATCH(F95,Zones!$A$6:$A$35,0))))</f>
        <v>37.88</v>
      </c>
      <c r="L95" s="27" t="n">
        <f aca="false">K95*Paramètres!$B$45+I95*Paramètres!$B$47</f>
        <v>209.4</v>
      </c>
      <c r="M95" s="30" t="n">
        <f aca="false" t="array" ref="M95:M95">IF(E95="Dragon",0,(INDEX(Zones!$N$6:$N$35,MATCH(F95,Zones!$A$6:$A$35,0))*Paramètres!$B$34*(INDEX(Zones!$M$6:$M$35,MATCH(F95,Zones!$A$6:$A$35,0))*(1-Paramètres!$B$46))*Paramètres!$B$39*(Paramètres!$B$39+1)/2))</f>
        <v>0.1602352</v>
      </c>
      <c r="N95" s="30" t="n">
        <f aca="false" t="array" ref="N95:N95">IF(E95="Normal",0,IF(E95="Dragon",INDEX(Zones!$Q$6:$Q$35,MATCH(F95,Zones!$A$6:$A$35,0))*Paramètres!$B$34*INDEX(Zones!$P$6:$P$35,MATCH(F95,Zones!$A$6:$A$35,0)),INDEX(Zones!$Q$6:$Q$35,MATCH(F95,Zones!$A$6:$A$35,0))*Paramètres!$B$34*(INDEX(Zones!$P$6:$P$35,MATCH(F95,Zones!$A$6:$A$35,0))+Paramètres!$B$42*(INDEX(Zones!$M$6:$M$35,MATCH(F95,Zones!$A$6:$A$35,0))*(1-Paramètres!$B$46)))+INDEX(Zones!$N$6:$N$35,MATCH(F95,Zones!$A$6:$A$35,0))*Paramètres!$B$34*(INDEX(Zones!$M$6:$M$35,MATCH(F95,Zones!$A$6:$A$35,0))*(1-Paramètres!$B$46))*(Paramètres!$B$42*(Paramètres!$B$42+1)/2)))</f>
        <v>0.5197376</v>
      </c>
      <c r="O95" s="75" t="n">
        <f aca="false">MAX(M95,N95)</f>
        <v>0.5197376</v>
      </c>
      <c r="P95" s="36" t="n">
        <f aca="false">IF(E95="Normal",M95*Paramètres!$B$40,IF(E95="Boss",M95*(Paramètres!$B$41-1)+N95,N95))</f>
        <v>1.1606784</v>
      </c>
      <c r="Q95" s="76" t="str">
        <f aca="false">IF(O95&gt;Paramètres!$B$37,"Trop dur","OK")</f>
        <v>OK</v>
      </c>
      <c r="R95" s="29" t="n">
        <f aca="false" t="array" ref="R95:R95">ROUND(IF(E95="Normal",J95*INDEX(Zones!$O$6:$O$35,MATCH(F95,Zones!$A$6:$A$35,0)),IF(E95="Boss",((Paramètres!$B$41-1)*Paramètres!$B$39+Paramètres!$B$42)*INDEX(Zones!$O$6:$O$35,MATCH(F95,Zones!$A$6:$A$35,0))+INDEX(Zones!$R$6:$R$35,MATCH(F95,Zones!$A$6:$A$35,0)),INDEX(Zones!$R$6:$R$35,MATCH(F95,Zones!$A$6:$A$35,0))))*ROUND(Paramètres!$B$49*B95^Paramètres!$B$50,0),0)</f>
        <v>42795</v>
      </c>
      <c r="S95" s="29" t="n">
        <f aca="false" t="array" ref="S95:S95">ROUND(IF(E95="Normal",J95*INDEX(Zones!$O$6:$O$35,MATCH(F95,Zones!$A$6:$A$35,0)),IF(E95="Boss",((Paramètres!$B$41-1)*Paramètres!$B$39+Paramètres!$B$42)*INDEX(Zones!$O$6:$O$35,MATCH(F95,Zones!$A$6:$A$35,0))+INDEX(Zones!$R$6:$R$35,MATCH(F95,Zones!$A$6:$A$35,0)),INDEX(Zones!$R$6:$R$35,MATCH(F95,Zones!$A$6:$A$35,0))))*ROUND(Paramètres!$B$53*B95^Paramètres!$B$54,0),0)</f>
        <v>33556</v>
      </c>
      <c r="T95" s="22" t="str">
        <f aca="false">IF(E95="Boss",G95,"—")</f>
        <v>Paradis(90)</v>
      </c>
      <c r="U95" s="37" t="n">
        <f aca="false">IF(E95="Dragon",0,(J95-IF(E95="Boss",1,0))*AVERAGEIFS(Monstres!$AL$7:$AL$98,Monstres!$B$7:$B$98,F95,Monstres!$G$7:$G$98,"Non"))</f>
        <v>0.98</v>
      </c>
      <c r="V95" s="74" t="n">
        <f aca="false">IF(E95="Boss",Butin!$E$10,IF(E95="Dragon",Butin!$E$11,0))</f>
        <v>1.4</v>
      </c>
      <c r="W95" s="37" t="n">
        <f aca="false">U95+V95</f>
        <v>2.38</v>
      </c>
      <c r="X95" s="77" t="n">
        <f aca="false">U95*INDEX(Butin!$E$15:$K$24,MATCH($A95,Éléments!$C$5:$C$14,1),1)+V95*IF(E95="Boss",INDEX(Butin!$E$28:$K$37,MATCH($A95,Éléments!$C$5:$C$14,1),1),IF(E95="Dragon",INDEX(Butin!$E$41:$K$50,MATCH($A95,Éléments!$C$5:$C$14,1),1),0))</f>
        <v>0.1316</v>
      </c>
      <c r="Y95" s="77" t="n">
        <f aca="false">U95*INDEX(Butin!$E$15:$K$24,MATCH($A95,Éléments!$C$5:$C$14,1),2)+V95*IF(E95="Boss",INDEX(Butin!$E$28:$K$37,MATCH($A95,Éléments!$C$5:$C$14,1),2),IF(E95="Dragon",INDEX(Butin!$E$41:$K$50,MATCH($A95,Éléments!$C$5:$C$14,1),2),0))</f>
        <v>0.3276</v>
      </c>
      <c r="Z95" s="77" t="n">
        <f aca="false">U95*INDEX(Butin!$E$15:$K$24,MATCH($A95,Éléments!$C$5:$C$14,1),3)+V95*IF(E95="Boss",INDEX(Butin!$E$28:$K$37,MATCH($A95,Éléments!$C$5:$C$14,1),3),IF(E95="Dragon",INDEX(Butin!$E$41:$K$50,MATCH($A95,Éléments!$C$5:$C$14,1),3),0))</f>
        <v>0.5684</v>
      </c>
      <c r="AA95" s="77" t="n">
        <f aca="false">U95*INDEX(Butin!$E$15:$K$24,MATCH($A95,Éléments!$C$5:$C$14,1),4)+V95*IF(E95="Boss",INDEX(Butin!$E$28:$K$37,MATCH($A95,Éléments!$C$5:$C$14,1),4),IF(E95="Dragon",INDEX(Butin!$E$41:$K$50,MATCH($A95,Éléments!$C$5:$C$14,1),4),0))</f>
        <v>0.6356</v>
      </c>
      <c r="AB95" s="77" t="n">
        <f aca="false">U95*INDEX(Butin!$E$15:$K$24,MATCH($A95,Éléments!$C$5:$C$14,1),5)+V95*IF(E95="Boss",INDEX(Butin!$E$28:$K$37,MATCH($A95,Éléments!$C$5:$C$14,1),5),IF(E95="Dragon",INDEX(Butin!$E$41:$K$50,MATCH($A95,Éléments!$C$5:$C$14,1),5),0))</f>
        <v>0.44968</v>
      </c>
      <c r="AC95" s="77" t="n">
        <f aca="false">U95*INDEX(Butin!$E$15:$K$24,MATCH($A95,Éléments!$C$5:$C$14,1),6)+V95*IF(E95="Boss",INDEX(Butin!$E$28:$K$37,MATCH($A95,Éléments!$C$5:$C$14,1),6),IF(E95="Dragon",INDEX(Butin!$E$41:$K$50,MATCH($A95,Éléments!$C$5:$C$14,1),6),0))</f>
        <v>0.17122</v>
      </c>
      <c r="AD95" s="77" t="n">
        <f aca="false">U95*INDEX(Butin!$E$15:$K$24,MATCH($A95,Éléments!$C$5:$C$14,1),7)+V95*IF(E95="Boss",INDEX(Butin!$E$28:$K$37,MATCH($A95,Éléments!$C$5:$C$14,1),7),IF(E95="Dragon",INDEX(Butin!$E$41:$K$50,MATCH($A95,Éléments!$C$5:$C$14,1),7),0))</f>
        <v>0.0959</v>
      </c>
    </row>
    <row r="96" customFormat="false" ht="15.75" hidden="false" customHeight="true" outlineLevel="0" collapsed="false">
      <c r="A96" s="71" t="n">
        <v>91</v>
      </c>
      <c r="B96" s="23" t="n">
        <f aca="false">A96</f>
        <v>91</v>
      </c>
      <c r="C96" s="23" t="str">
        <f aca="false" t="array" ref="C96:C96">INDEX(Éléments!$B$5:$B$14,MATCH(A96,Éléments!$C$5:$C$14,1))</f>
        <v>Palais démoniaque</v>
      </c>
      <c r="D96" s="49" t="str">
        <f aca="false" t="array" ref="D96:D96">INDEX(Éléments!$A$5:$A$14,MATCH(A96,Éléments!$C$5:$C$14,1))</f>
        <v>Ombre</v>
      </c>
      <c r="E96" s="23" t="str">
        <f aca="false">IF(MOD(A96,5)=0,"Boss",IF(MOD(A96,10)=9,"Dragon","Normal"))</f>
        <v>Normal</v>
      </c>
      <c r="F96" s="23" t="n">
        <f aca="false">IF(E96="Normal",5*ROUNDUP(A96/5,0),A96)</f>
        <v>95</v>
      </c>
      <c r="G96" s="22" t="str">
        <f aca="false" t="array" ref="G96:G96">INDEX(Zones!$B$6:$B$35,MATCH(F96,Zones!$A$6:$A$35,0))</f>
        <v>Plaine démoniaque</v>
      </c>
      <c r="H96" s="22" t="str">
        <f aca="false" t="array" ref="H96:H96">IF(E96="Normal","—",INDEX(Zones!$L$6:$L$35,MATCH(F96,Zones!$A$6:$A$35,0)))</f>
        <v>—</v>
      </c>
      <c r="I96" s="27" t="n">
        <f aca="false">IF(E96="Normal",Paramètres!$B$40,IF(E96="Boss",Paramètres!$B$41,1))</f>
        <v>3</v>
      </c>
      <c r="J96" s="23" t="n">
        <f aca="false">IF(E96="Normal",Paramètres!$B$40*Paramètres!$B$39,IF(E96="Boss",(Paramètres!$B$41-1)*Paramètres!$B$39+Paramètres!$B$42+1,1))</f>
        <v>9</v>
      </c>
      <c r="K96" s="33" t="n">
        <f aca="false" t="array" ref="K96:K96">IF(E96="Normal",Paramètres!$B$40*Paramètres!$B$39*(INDEX(Zones!$M$6:$M$35,MATCH(F96,Zones!$A$6:$A$35,0))*(1-Paramètres!$B$46)),IF(E96="Boss",((Paramètres!$B$41-1)*Paramètres!$B$39+Paramètres!$B$42)*(INDEX(Zones!$M$6:$M$35,MATCH(F96,Zones!$A$6:$A$35,0))*(1-Paramètres!$B$46))+INDEX(Zones!$P$6:$P$35,MATCH(F96,Zones!$A$6:$A$35,0)),INDEX(Zones!$P$6:$P$35,MATCH(F96,Zones!$A$6:$A$35,0))))</f>
        <v>15.2955</v>
      </c>
      <c r="L96" s="27" t="n">
        <f aca="false">K96*Paramètres!$B$45+I96*Paramètres!$B$47</f>
        <v>88.4775</v>
      </c>
      <c r="M96" s="30" t="n">
        <f aca="false" t="array" ref="M96:M96">IF(E96="Dragon",0,(INDEX(Zones!$N$6:$N$35,MATCH(F96,Zones!$A$6:$A$35,0))*Paramètres!$B$34*(INDEX(Zones!$M$6:$M$35,MATCH(F96,Zones!$A$6:$A$35,0))*(1-Paramètres!$B$46))*Paramètres!$B$39*(Paramètres!$B$39+1)/2))</f>
        <v>0.136772361</v>
      </c>
      <c r="N96" s="30" t="n">
        <f aca="false" t="array" ref="N96:N96">IF(E96="Normal",0,IF(E96="Dragon",INDEX(Zones!$Q$6:$Q$35,MATCH(F96,Zones!$A$6:$A$35,0))*Paramètres!$B$34*INDEX(Zones!$P$6:$P$35,MATCH(F96,Zones!$A$6:$A$35,0)),INDEX(Zones!$Q$6:$Q$35,MATCH(F96,Zones!$A$6:$A$35,0))*Paramètres!$B$34*(INDEX(Zones!$P$6:$P$35,MATCH(F96,Zones!$A$6:$A$35,0))+Paramètres!$B$42*(INDEX(Zones!$M$6:$M$35,MATCH(F96,Zones!$A$6:$A$35,0))*(1-Paramètres!$B$46)))+INDEX(Zones!$N$6:$N$35,MATCH(F96,Zones!$A$6:$A$35,0))*Paramètres!$B$34*(INDEX(Zones!$M$6:$M$35,MATCH(F96,Zones!$A$6:$A$35,0))*(1-Paramètres!$B$46))*(Paramètres!$B$42*(Paramètres!$B$42+1)/2)))</f>
        <v>0</v>
      </c>
      <c r="O96" s="75" t="n">
        <f aca="false">MAX(M96,N96)</f>
        <v>0.136772361</v>
      </c>
      <c r="P96" s="36" t="n">
        <f aca="false">IF(E96="Normal",M96*Paramètres!$B$40,IF(E96="Boss",M96*(Paramètres!$B$41-1)+N96,N96))</f>
        <v>0.410317083</v>
      </c>
      <c r="Q96" s="76" t="str">
        <f aca="false">IF(O96&gt;Paramètres!$B$37,"Trop dur","OK")</f>
        <v>OK</v>
      </c>
      <c r="R96" s="29" t="n">
        <f aca="false" t="array" ref="R96:R96">ROUND(IF(E96="Normal",J96*INDEX(Zones!$O$6:$O$35,MATCH(F96,Zones!$A$6:$A$35,0)),IF(E96="Boss",((Paramètres!$B$41-1)*Paramètres!$B$39+Paramètres!$B$42)*INDEX(Zones!$O$6:$O$35,MATCH(F96,Zones!$A$6:$A$35,0))+INDEX(Zones!$R$6:$R$35,MATCH(F96,Zones!$A$6:$A$35,0)),INDEX(Zones!$R$6:$R$35,MATCH(F96,Zones!$A$6:$A$35,0))))*ROUND(Paramètres!$B$49*B96^Paramètres!$B$50,0),0)</f>
        <v>15477</v>
      </c>
      <c r="S96" s="29" t="n">
        <f aca="false" t="array" ref="S96:S96">ROUND(IF(E96="Normal",J96*INDEX(Zones!$O$6:$O$35,MATCH(F96,Zones!$A$6:$A$35,0)),IF(E96="Boss",((Paramètres!$B$41-1)*Paramètres!$B$39+Paramètres!$B$42)*INDEX(Zones!$O$6:$O$35,MATCH(F96,Zones!$A$6:$A$35,0))+INDEX(Zones!$R$6:$R$35,MATCH(F96,Zones!$A$6:$A$35,0)),INDEX(Zones!$R$6:$R$35,MATCH(F96,Zones!$A$6:$A$35,0))))*ROUND(Paramètres!$B$53*B96^Paramètres!$B$54,0),0)</f>
        <v>12154</v>
      </c>
      <c r="T96" s="22" t="str">
        <f aca="false">IF(E96="Boss",G96,"—")</f>
        <v>—</v>
      </c>
      <c r="U96" s="37" t="n">
        <f aca="false">IF(E96="Dragon",0,(J96-IF(E96="Boss",1,0))*AVERAGEIFS(Monstres!$AL$7:$AL$98,Monstres!$B$7:$B$98,F96,Monstres!$G$7:$G$98,"Non"))</f>
        <v>0.468</v>
      </c>
      <c r="V96" s="74" t="n">
        <f aca="false">IF(E96="Boss",Butin!$E$10,IF(E96="Dragon",Butin!$E$11,0))</f>
        <v>0</v>
      </c>
      <c r="W96" s="37" t="n">
        <f aca="false">U96+V96</f>
        <v>0.468</v>
      </c>
      <c r="X96" s="77" t="n">
        <f aca="false">U96*INDEX(Butin!$E$15:$K$24,MATCH($A96,Éléments!$C$5:$C$14,1),1)+V96*IF(E96="Boss",INDEX(Butin!$E$28:$K$37,MATCH($A96,Éléments!$C$5:$C$14,1),1),IF(E96="Dragon",INDEX(Butin!$E$41:$K$50,MATCH($A96,Éléments!$C$5:$C$14,1),1),0))</f>
        <v>0.04212</v>
      </c>
      <c r="Y96" s="77" t="n">
        <f aca="false">U96*INDEX(Butin!$E$15:$K$24,MATCH($A96,Éléments!$C$5:$C$14,1),2)+V96*IF(E96="Boss",INDEX(Butin!$E$28:$K$37,MATCH($A96,Éléments!$C$5:$C$14,1),2),IF(E96="Dragon",INDEX(Butin!$E$41:$K$50,MATCH($A96,Éléments!$C$5:$C$14,1),2),0))</f>
        <v>0.08892</v>
      </c>
      <c r="Z96" s="77" t="n">
        <f aca="false">U96*INDEX(Butin!$E$15:$K$24,MATCH($A96,Éléments!$C$5:$C$14,1),3)+V96*IF(E96="Boss",INDEX(Butin!$E$28:$K$37,MATCH($A96,Éléments!$C$5:$C$14,1),3),IF(E96="Dragon",INDEX(Butin!$E$41:$K$50,MATCH($A96,Éléments!$C$5:$C$14,1),3),0))</f>
        <v>0.12636</v>
      </c>
      <c r="AA96" s="77" t="n">
        <f aca="false">U96*INDEX(Butin!$E$15:$K$24,MATCH($A96,Éléments!$C$5:$C$14,1),4)+V96*IF(E96="Boss",INDEX(Butin!$E$28:$K$37,MATCH($A96,Éléments!$C$5:$C$14,1),4),IF(E96="Dragon",INDEX(Butin!$E$41:$K$50,MATCH($A96,Éléments!$C$5:$C$14,1),4),0))</f>
        <v>0.11232</v>
      </c>
      <c r="AB96" s="77" t="n">
        <f aca="false">U96*INDEX(Butin!$E$15:$K$24,MATCH($A96,Éléments!$C$5:$C$14,1),5)+V96*IF(E96="Boss",INDEX(Butin!$E$28:$K$37,MATCH($A96,Éléments!$C$5:$C$14,1),5),IF(E96="Dragon",INDEX(Butin!$E$41:$K$50,MATCH($A96,Éléments!$C$5:$C$14,1),5),0))</f>
        <v>0.06786</v>
      </c>
      <c r="AC96" s="77" t="n">
        <f aca="false">U96*INDEX(Butin!$E$15:$K$24,MATCH($A96,Éléments!$C$5:$C$14,1),6)+V96*IF(E96="Boss",INDEX(Butin!$E$28:$K$37,MATCH($A96,Éléments!$C$5:$C$14,1),6),IF(E96="Dragon",INDEX(Butin!$E$41:$K$50,MATCH($A96,Éléments!$C$5:$C$14,1),6),0))</f>
        <v>0.027144</v>
      </c>
      <c r="AD96" s="77" t="n">
        <f aca="false">U96*INDEX(Butin!$E$15:$K$24,MATCH($A96,Éléments!$C$5:$C$14,1),7)+V96*IF(E96="Boss",INDEX(Butin!$E$28:$K$37,MATCH($A96,Éléments!$C$5:$C$14,1),7),IF(E96="Dragon",INDEX(Butin!$E$41:$K$50,MATCH($A96,Éléments!$C$5:$C$14,1),7),0))</f>
        <v>0.003276</v>
      </c>
    </row>
    <row r="97" customFormat="false" ht="15.75" hidden="false" customHeight="true" outlineLevel="0" collapsed="false">
      <c r="A97" s="71" t="n">
        <v>92</v>
      </c>
      <c r="B97" s="23" t="n">
        <f aca="false">A97</f>
        <v>92</v>
      </c>
      <c r="C97" s="23" t="str">
        <f aca="false" t="array" ref="C97:C97">INDEX(Éléments!$B$5:$B$14,MATCH(A97,Éléments!$C$5:$C$14,1))</f>
        <v>Palais démoniaque</v>
      </c>
      <c r="D97" s="49" t="str">
        <f aca="false" t="array" ref="D97:D97">INDEX(Éléments!$A$5:$A$14,MATCH(A97,Éléments!$C$5:$C$14,1))</f>
        <v>Ombre</v>
      </c>
      <c r="E97" s="23" t="str">
        <f aca="false">IF(MOD(A97,5)=0,"Boss",IF(MOD(A97,10)=9,"Dragon","Normal"))</f>
        <v>Normal</v>
      </c>
      <c r="F97" s="23" t="n">
        <f aca="false">IF(E97="Normal",5*ROUNDUP(A97/5,0),A97)</f>
        <v>95</v>
      </c>
      <c r="G97" s="22" t="str">
        <f aca="false" t="array" ref="G97:G97">INDEX(Zones!$B$6:$B$35,MATCH(F97,Zones!$A$6:$A$35,0))</f>
        <v>Plaine démoniaque</v>
      </c>
      <c r="H97" s="22" t="str">
        <f aca="false" t="array" ref="H97:H97">IF(E97="Normal","—",INDEX(Zones!$L$6:$L$35,MATCH(F97,Zones!$A$6:$A$35,0)))</f>
        <v>—</v>
      </c>
      <c r="I97" s="27" t="n">
        <f aca="false">IF(E97="Normal",Paramètres!$B$40,IF(E97="Boss",Paramètres!$B$41,1))</f>
        <v>3</v>
      </c>
      <c r="J97" s="23" t="n">
        <f aca="false">IF(E97="Normal",Paramètres!$B$40*Paramètres!$B$39,IF(E97="Boss",(Paramètres!$B$41-1)*Paramètres!$B$39+Paramètres!$B$42+1,1))</f>
        <v>9</v>
      </c>
      <c r="K97" s="33" t="n">
        <f aca="false" t="array" ref="K97:K97">IF(E97="Normal",Paramètres!$B$40*Paramètres!$B$39*(INDEX(Zones!$M$6:$M$35,MATCH(F97,Zones!$A$6:$A$35,0))*(1-Paramètres!$B$46)),IF(E97="Boss",((Paramètres!$B$41-1)*Paramètres!$B$39+Paramètres!$B$42)*(INDEX(Zones!$M$6:$M$35,MATCH(F97,Zones!$A$6:$A$35,0))*(1-Paramètres!$B$46))+INDEX(Zones!$P$6:$P$35,MATCH(F97,Zones!$A$6:$A$35,0)),INDEX(Zones!$P$6:$P$35,MATCH(F97,Zones!$A$6:$A$35,0))))</f>
        <v>15.2955</v>
      </c>
      <c r="L97" s="27" t="n">
        <f aca="false">K97*Paramètres!$B$45+I97*Paramètres!$B$47</f>
        <v>88.4775</v>
      </c>
      <c r="M97" s="30" t="n">
        <f aca="false" t="array" ref="M97:M97">IF(E97="Dragon",0,(INDEX(Zones!$N$6:$N$35,MATCH(F97,Zones!$A$6:$A$35,0))*Paramètres!$B$34*(INDEX(Zones!$M$6:$M$35,MATCH(F97,Zones!$A$6:$A$35,0))*(1-Paramètres!$B$46))*Paramètres!$B$39*(Paramètres!$B$39+1)/2))</f>
        <v>0.136772361</v>
      </c>
      <c r="N97" s="30" t="n">
        <f aca="false" t="array" ref="N97:N97">IF(E97="Normal",0,IF(E97="Dragon",INDEX(Zones!$Q$6:$Q$35,MATCH(F97,Zones!$A$6:$A$35,0))*Paramètres!$B$34*INDEX(Zones!$P$6:$P$35,MATCH(F97,Zones!$A$6:$A$35,0)),INDEX(Zones!$Q$6:$Q$35,MATCH(F97,Zones!$A$6:$A$35,0))*Paramètres!$B$34*(INDEX(Zones!$P$6:$P$35,MATCH(F97,Zones!$A$6:$A$35,0))+Paramètres!$B$42*(INDEX(Zones!$M$6:$M$35,MATCH(F97,Zones!$A$6:$A$35,0))*(1-Paramètres!$B$46)))+INDEX(Zones!$N$6:$N$35,MATCH(F97,Zones!$A$6:$A$35,0))*Paramètres!$B$34*(INDEX(Zones!$M$6:$M$35,MATCH(F97,Zones!$A$6:$A$35,0))*(1-Paramètres!$B$46))*(Paramètres!$B$42*(Paramètres!$B$42+1)/2)))</f>
        <v>0</v>
      </c>
      <c r="O97" s="75" t="n">
        <f aca="false">MAX(M97,N97)</f>
        <v>0.136772361</v>
      </c>
      <c r="P97" s="36" t="n">
        <f aca="false">IF(E97="Normal",M97*Paramètres!$B$40,IF(E97="Boss",M97*(Paramètres!$B$41-1)+N97,N97))</f>
        <v>0.410317083</v>
      </c>
      <c r="Q97" s="76" t="str">
        <f aca="false">IF(O97&gt;Paramètres!$B$37,"Trop dur","OK")</f>
        <v>OK</v>
      </c>
      <c r="R97" s="29" t="n">
        <f aca="false" t="array" ref="R97:R97">ROUND(IF(E97="Normal",J97*INDEX(Zones!$O$6:$O$35,MATCH(F97,Zones!$A$6:$A$35,0)),IF(E97="Boss",((Paramètres!$B$41-1)*Paramètres!$B$39+Paramètres!$B$42)*INDEX(Zones!$O$6:$O$35,MATCH(F97,Zones!$A$6:$A$35,0))+INDEX(Zones!$R$6:$R$35,MATCH(F97,Zones!$A$6:$A$35,0)),INDEX(Zones!$R$6:$R$35,MATCH(F97,Zones!$A$6:$A$35,0))))*ROUND(Paramètres!$B$49*B97^Paramètres!$B$50,0),0)</f>
        <v>15698</v>
      </c>
      <c r="S97" s="29" t="n">
        <f aca="false" t="array" ref="S97:S97">ROUND(IF(E97="Normal",J97*INDEX(Zones!$O$6:$O$35,MATCH(F97,Zones!$A$6:$A$35,0)),IF(E97="Boss",((Paramètres!$B$41-1)*Paramètres!$B$39+Paramètres!$B$42)*INDEX(Zones!$O$6:$O$35,MATCH(F97,Zones!$A$6:$A$35,0))+INDEX(Zones!$R$6:$R$35,MATCH(F97,Zones!$A$6:$A$35,0)),INDEX(Zones!$R$6:$R$35,MATCH(F97,Zones!$A$6:$A$35,0))))*ROUND(Paramètres!$B$53*B97^Paramètres!$B$54,0),0)</f>
        <v>12329</v>
      </c>
      <c r="T97" s="22" t="str">
        <f aca="false">IF(E97="Boss",G97,"—")</f>
        <v>—</v>
      </c>
      <c r="U97" s="37" t="n">
        <f aca="false">IF(E97="Dragon",0,(J97-IF(E97="Boss",1,0))*AVERAGEIFS(Monstres!$AL$7:$AL$98,Monstres!$B$7:$B$98,F97,Monstres!$G$7:$G$98,"Non"))</f>
        <v>0.468</v>
      </c>
      <c r="V97" s="74" t="n">
        <f aca="false">IF(E97="Boss",Butin!$E$10,IF(E97="Dragon",Butin!$E$11,0))</f>
        <v>0</v>
      </c>
      <c r="W97" s="37" t="n">
        <f aca="false">U97+V97</f>
        <v>0.468</v>
      </c>
      <c r="X97" s="77" t="n">
        <f aca="false">U97*INDEX(Butin!$E$15:$K$24,MATCH($A97,Éléments!$C$5:$C$14,1),1)+V97*IF(E97="Boss",INDEX(Butin!$E$28:$K$37,MATCH($A97,Éléments!$C$5:$C$14,1),1),IF(E97="Dragon",INDEX(Butin!$E$41:$K$50,MATCH($A97,Éléments!$C$5:$C$14,1),1),0))</f>
        <v>0.04212</v>
      </c>
      <c r="Y97" s="77" t="n">
        <f aca="false">U97*INDEX(Butin!$E$15:$K$24,MATCH($A97,Éléments!$C$5:$C$14,1),2)+V97*IF(E97="Boss",INDEX(Butin!$E$28:$K$37,MATCH($A97,Éléments!$C$5:$C$14,1),2),IF(E97="Dragon",INDEX(Butin!$E$41:$K$50,MATCH($A97,Éléments!$C$5:$C$14,1),2),0))</f>
        <v>0.08892</v>
      </c>
      <c r="Z97" s="77" t="n">
        <f aca="false">U97*INDEX(Butin!$E$15:$K$24,MATCH($A97,Éléments!$C$5:$C$14,1),3)+V97*IF(E97="Boss",INDEX(Butin!$E$28:$K$37,MATCH($A97,Éléments!$C$5:$C$14,1),3),IF(E97="Dragon",INDEX(Butin!$E$41:$K$50,MATCH($A97,Éléments!$C$5:$C$14,1),3),0))</f>
        <v>0.12636</v>
      </c>
      <c r="AA97" s="77" t="n">
        <f aca="false">U97*INDEX(Butin!$E$15:$K$24,MATCH($A97,Éléments!$C$5:$C$14,1),4)+V97*IF(E97="Boss",INDEX(Butin!$E$28:$K$37,MATCH($A97,Éléments!$C$5:$C$14,1),4),IF(E97="Dragon",INDEX(Butin!$E$41:$K$50,MATCH($A97,Éléments!$C$5:$C$14,1),4),0))</f>
        <v>0.11232</v>
      </c>
      <c r="AB97" s="77" t="n">
        <f aca="false">U97*INDEX(Butin!$E$15:$K$24,MATCH($A97,Éléments!$C$5:$C$14,1),5)+V97*IF(E97="Boss",INDEX(Butin!$E$28:$K$37,MATCH($A97,Éléments!$C$5:$C$14,1),5),IF(E97="Dragon",INDEX(Butin!$E$41:$K$50,MATCH($A97,Éléments!$C$5:$C$14,1),5),0))</f>
        <v>0.06786</v>
      </c>
      <c r="AC97" s="77" t="n">
        <f aca="false">U97*INDEX(Butin!$E$15:$K$24,MATCH($A97,Éléments!$C$5:$C$14,1),6)+V97*IF(E97="Boss",INDEX(Butin!$E$28:$K$37,MATCH($A97,Éléments!$C$5:$C$14,1),6),IF(E97="Dragon",INDEX(Butin!$E$41:$K$50,MATCH($A97,Éléments!$C$5:$C$14,1),6),0))</f>
        <v>0.027144</v>
      </c>
      <c r="AD97" s="77" t="n">
        <f aca="false">U97*INDEX(Butin!$E$15:$K$24,MATCH($A97,Éléments!$C$5:$C$14,1),7)+V97*IF(E97="Boss",INDEX(Butin!$E$28:$K$37,MATCH($A97,Éléments!$C$5:$C$14,1),7),IF(E97="Dragon",INDEX(Butin!$E$41:$K$50,MATCH($A97,Éléments!$C$5:$C$14,1),7),0))</f>
        <v>0.003276</v>
      </c>
    </row>
    <row r="98" customFormat="false" ht="15.75" hidden="false" customHeight="true" outlineLevel="0" collapsed="false">
      <c r="A98" s="71" t="n">
        <v>93</v>
      </c>
      <c r="B98" s="23" t="n">
        <f aca="false">A98</f>
        <v>93</v>
      </c>
      <c r="C98" s="23" t="str">
        <f aca="false" t="array" ref="C98:C98">INDEX(Éléments!$B$5:$B$14,MATCH(A98,Éléments!$C$5:$C$14,1))</f>
        <v>Palais démoniaque</v>
      </c>
      <c r="D98" s="49" t="str">
        <f aca="false" t="array" ref="D98:D98">INDEX(Éléments!$A$5:$A$14,MATCH(A98,Éléments!$C$5:$C$14,1))</f>
        <v>Ombre</v>
      </c>
      <c r="E98" s="23" t="str">
        <f aca="false">IF(MOD(A98,5)=0,"Boss",IF(MOD(A98,10)=9,"Dragon","Normal"))</f>
        <v>Normal</v>
      </c>
      <c r="F98" s="23" t="n">
        <f aca="false">IF(E98="Normal",5*ROUNDUP(A98/5,0),A98)</f>
        <v>95</v>
      </c>
      <c r="G98" s="22" t="str">
        <f aca="false" t="array" ref="G98:G98">INDEX(Zones!$B$6:$B$35,MATCH(F98,Zones!$A$6:$A$35,0))</f>
        <v>Plaine démoniaque</v>
      </c>
      <c r="H98" s="22" t="str">
        <f aca="false" t="array" ref="H98:H98">IF(E98="Normal","—",INDEX(Zones!$L$6:$L$35,MATCH(F98,Zones!$A$6:$A$35,0)))</f>
        <v>—</v>
      </c>
      <c r="I98" s="27" t="n">
        <f aca="false">IF(E98="Normal",Paramètres!$B$40,IF(E98="Boss",Paramètres!$B$41,1))</f>
        <v>3</v>
      </c>
      <c r="J98" s="23" t="n">
        <f aca="false">IF(E98="Normal",Paramètres!$B$40*Paramètres!$B$39,IF(E98="Boss",(Paramètres!$B$41-1)*Paramètres!$B$39+Paramètres!$B$42+1,1))</f>
        <v>9</v>
      </c>
      <c r="K98" s="33" t="n">
        <f aca="false" t="array" ref="K98:K98">IF(E98="Normal",Paramètres!$B$40*Paramètres!$B$39*(INDEX(Zones!$M$6:$M$35,MATCH(F98,Zones!$A$6:$A$35,0))*(1-Paramètres!$B$46)),IF(E98="Boss",((Paramètres!$B$41-1)*Paramètres!$B$39+Paramètres!$B$42)*(INDEX(Zones!$M$6:$M$35,MATCH(F98,Zones!$A$6:$A$35,0))*(1-Paramètres!$B$46))+INDEX(Zones!$P$6:$P$35,MATCH(F98,Zones!$A$6:$A$35,0)),INDEX(Zones!$P$6:$P$35,MATCH(F98,Zones!$A$6:$A$35,0))))</f>
        <v>15.2955</v>
      </c>
      <c r="L98" s="27" t="n">
        <f aca="false">K98*Paramètres!$B$45+I98*Paramètres!$B$47</f>
        <v>88.4775</v>
      </c>
      <c r="M98" s="30" t="n">
        <f aca="false" t="array" ref="M98:M98">IF(E98="Dragon",0,(INDEX(Zones!$N$6:$N$35,MATCH(F98,Zones!$A$6:$A$35,0))*Paramètres!$B$34*(INDEX(Zones!$M$6:$M$35,MATCH(F98,Zones!$A$6:$A$35,0))*(1-Paramètres!$B$46))*Paramètres!$B$39*(Paramètres!$B$39+1)/2))</f>
        <v>0.136772361</v>
      </c>
      <c r="N98" s="30" t="n">
        <f aca="false" t="array" ref="N98:N98">IF(E98="Normal",0,IF(E98="Dragon",INDEX(Zones!$Q$6:$Q$35,MATCH(F98,Zones!$A$6:$A$35,0))*Paramètres!$B$34*INDEX(Zones!$P$6:$P$35,MATCH(F98,Zones!$A$6:$A$35,0)),INDEX(Zones!$Q$6:$Q$35,MATCH(F98,Zones!$A$6:$A$35,0))*Paramètres!$B$34*(INDEX(Zones!$P$6:$P$35,MATCH(F98,Zones!$A$6:$A$35,0))+Paramètres!$B$42*(INDEX(Zones!$M$6:$M$35,MATCH(F98,Zones!$A$6:$A$35,0))*(1-Paramètres!$B$46)))+INDEX(Zones!$N$6:$N$35,MATCH(F98,Zones!$A$6:$A$35,0))*Paramètres!$B$34*(INDEX(Zones!$M$6:$M$35,MATCH(F98,Zones!$A$6:$A$35,0))*(1-Paramètres!$B$46))*(Paramètres!$B$42*(Paramètres!$B$42+1)/2)))</f>
        <v>0</v>
      </c>
      <c r="O98" s="75" t="n">
        <f aca="false">MAX(M98,N98)</f>
        <v>0.136772361</v>
      </c>
      <c r="P98" s="36" t="n">
        <f aca="false">IF(E98="Normal",M98*Paramètres!$B$40,IF(E98="Boss",M98*(Paramètres!$B$41-1)+N98,N98))</f>
        <v>0.410317083</v>
      </c>
      <c r="Q98" s="76" t="str">
        <f aca="false">IF(O98&gt;Paramètres!$B$37,"Trop dur","OK")</f>
        <v>OK</v>
      </c>
      <c r="R98" s="29" t="n">
        <f aca="false" t="array" ref="R98:R98">ROUND(IF(E98="Normal",J98*INDEX(Zones!$O$6:$O$35,MATCH(F98,Zones!$A$6:$A$35,0)),IF(E98="Boss",((Paramètres!$B$41-1)*Paramètres!$B$39+Paramètres!$B$42)*INDEX(Zones!$O$6:$O$35,MATCH(F98,Zones!$A$6:$A$35,0))+INDEX(Zones!$R$6:$R$35,MATCH(F98,Zones!$A$6:$A$35,0)),INDEX(Zones!$R$6:$R$35,MATCH(F98,Zones!$A$6:$A$35,0))))*ROUND(Paramètres!$B$49*B98^Paramètres!$B$50,0),0)</f>
        <v>15909</v>
      </c>
      <c r="S98" s="29" t="n">
        <f aca="false" t="array" ref="S98:S98">ROUND(IF(E98="Normal",J98*INDEX(Zones!$O$6:$O$35,MATCH(F98,Zones!$A$6:$A$35,0)),IF(E98="Boss",((Paramètres!$B$41-1)*Paramètres!$B$39+Paramètres!$B$42)*INDEX(Zones!$O$6:$O$35,MATCH(F98,Zones!$A$6:$A$35,0))+INDEX(Zones!$R$6:$R$35,MATCH(F98,Zones!$A$6:$A$35,0)),INDEX(Zones!$R$6:$R$35,MATCH(F98,Zones!$A$6:$A$35,0))))*ROUND(Paramètres!$B$53*B98^Paramètres!$B$54,0),0)</f>
        <v>12512</v>
      </c>
      <c r="T98" s="22" t="str">
        <f aca="false">IF(E98="Boss",G98,"—")</f>
        <v>—</v>
      </c>
      <c r="U98" s="37" t="n">
        <f aca="false">IF(E98="Dragon",0,(J98-IF(E98="Boss",1,0))*AVERAGEIFS(Monstres!$AL$7:$AL$98,Monstres!$B$7:$B$98,F98,Monstres!$G$7:$G$98,"Non"))</f>
        <v>0.468</v>
      </c>
      <c r="V98" s="74" t="n">
        <f aca="false">IF(E98="Boss",Butin!$E$10,IF(E98="Dragon",Butin!$E$11,0))</f>
        <v>0</v>
      </c>
      <c r="W98" s="37" t="n">
        <f aca="false">U98+V98</f>
        <v>0.468</v>
      </c>
      <c r="X98" s="77" t="n">
        <f aca="false">U98*INDEX(Butin!$E$15:$K$24,MATCH($A98,Éléments!$C$5:$C$14,1),1)+V98*IF(E98="Boss",INDEX(Butin!$E$28:$K$37,MATCH($A98,Éléments!$C$5:$C$14,1),1),IF(E98="Dragon",INDEX(Butin!$E$41:$K$50,MATCH($A98,Éléments!$C$5:$C$14,1),1),0))</f>
        <v>0.04212</v>
      </c>
      <c r="Y98" s="77" t="n">
        <f aca="false">U98*INDEX(Butin!$E$15:$K$24,MATCH($A98,Éléments!$C$5:$C$14,1),2)+V98*IF(E98="Boss",INDEX(Butin!$E$28:$K$37,MATCH($A98,Éléments!$C$5:$C$14,1),2),IF(E98="Dragon",INDEX(Butin!$E$41:$K$50,MATCH($A98,Éléments!$C$5:$C$14,1),2),0))</f>
        <v>0.08892</v>
      </c>
      <c r="Z98" s="77" t="n">
        <f aca="false">U98*INDEX(Butin!$E$15:$K$24,MATCH($A98,Éléments!$C$5:$C$14,1),3)+V98*IF(E98="Boss",INDEX(Butin!$E$28:$K$37,MATCH($A98,Éléments!$C$5:$C$14,1),3),IF(E98="Dragon",INDEX(Butin!$E$41:$K$50,MATCH($A98,Éléments!$C$5:$C$14,1),3),0))</f>
        <v>0.12636</v>
      </c>
      <c r="AA98" s="77" t="n">
        <f aca="false">U98*INDEX(Butin!$E$15:$K$24,MATCH($A98,Éléments!$C$5:$C$14,1),4)+V98*IF(E98="Boss",INDEX(Butin!$E$28:$K$37,MATCH($A98,Éléments!$C$5:$C$14,1),4),IF(E98="Dragon",INDEX(Butin!$E$41:$K$50,MATCH($A98,Éléments!$C$5:$C$14,1),4),0))</f>
        <v>0.11232</v>
      </c>
      <c r="AB98" s="77" t="n">
        <f aca="false">U98*INDEX(Butin!$E$15:$K$24,MATCH($A98,Éléments!$C$5:$C$14,1),5)+V98*IF(E98="Boss",INDEX(Butin!$E$28:$K$37,MATCH($A98,Éléments!$C$5:$C$14,1),5),IF(E98="Dragon",INDEX(Butin!$E$41:$K$50,MATCH($A98,Éléments!$C$5:$C$14,1),5),0))</f>
        <v>0.06786</v>
      </c>
      <c r="AC98" s="77" t="n">
        <f aca="false">U98*INDEX(Butin!$E$15:$K$24,MATCH($A98,Éléments!$C$5:$C$14,1),6)+V98*IF(E98="Boss",INDEX(Butin!$E$28:$K$37,MATCH($A98,Éléments!$C$5:$C$14,1),6),IF(E98="Dragon",INDEX(Butin!$E$41:$K$50,MATCH($A98,Éléments!$C$5:$C$14,1),6),0))</f>
        <v>0.027144</v>
      </c>
      <c r="AD98" s="77" t="n">
        <f aca="false">U98*INDEX(Butin!$E$15:$K$24,MATCH($A98,Éléments!$C$5:$C$14,1),7)+V98*IF(E98="Boss",INDEX(Butin!$E$28:$K$37,MATCH($A98,Éléments!$C$5:$C$14,1),7),IF(E98="Dragon",INDEX(Butin!$E$41:$K$50,MATCH($A98,Éléments!$C$5:$C$14,1),7),0))</f>
        <v>0.003276</v>
      </c>
    </row>
    <row r="99" customFormat="false" ht="15.75" hidden="false" customHeight="true" outlineLevel="0" collapsed="false">
      <c r="A99" s="71" t="n">
        <v>94</v>
      </c>
      <c r="B99" s="23" t="n">
        <f aca="false">A99</f>
        <v>94</v>
      </c>
      <c r="C99" s="23" t="str">
        <f aca="false" t="array" ref="C99:C99">INDEX(Éléments!$B$5:$B$14,MATCH(A99,Éléments!$C$5:$C$14,1))</f>
        <v>Palais démoniaque</v>
      </c>
      <c r="D99" s="49" t="str">
        <f aca="false" t="array" ref="D99:D99">INDEX(Éléments!$A$5:$A$14,MATCH(A99,Éléments!$C$5:$C$14,1))</f>
        <v>Ombre</v>
      </c>
      <c r="E99" s="23" t="str">
        <f aca="false">IF(MOD(A99,5)=0,"Boss",IF(MOD(A99,10)=9,"Dragon","Normal"))</f>
        <v>Normal</v>
      </c>
      <c r="F99" s="23" t="n">
        <f aca="false">IF(E99="Normal",5*ROUNDUP(A99/5,0),A99)</f>
        <v>95</v>
      </c>
      <c r="G99" s="22" t="str">
        <f aca="false" t="array" ref="G99:G99">INDEX(Zones!$B$6:$B$35,MATCH(F99,Zones!$A$6:$A$35,0))</f>
        <v>Plaine démoniaque</v>
      </c>
      <c r="H99" s="22" t="str">
        <f aca="false" t="array" ref="H99:H99">IF(E99="Normal","—",INDEX(Zones!$L$6:$L$35,MATCH(F99,Zones!$A$6:$A$35,0)))</f>
        <v>—</v>
      </c>
      <c r="I99" s="27" t="n">
        <f aca="false">IF(E99="Normal",Paramètres!$B$40,IF(E99="Boss",Paramètres!$B$41,1))</f>
        <v>3</v>
      </c>
      <c r="J99" s="23" t="n">
        <f aca="false">IF(E99="Normal",Paramètres!$B$40*Paramètres!$B$39,IF(E99="Boss",(Paramètres!$B$41-1)*Paramètres!$B$39+Paramètres!$B$42+1,1))</f>
        <v>9</v>
      </c>
      <c r="K99" s="33" t="n">
        <f aca="false" t="array" ref="K99:K99">IF(E99="Normal",Paramètres!$B$40*Paramètres!$B$39*(INDEX(Zones!$M$6:$M$35,MATCH(F99,Zones!$A$6:$A$35,0))*(1-Paramètres!$B$46)),IF(E99="Boss",((Paramètres!$B$41-1)*Paramètres!$B$39+Paramètres!$B$42)*(INDEX(Zones!$M$6:$M$35,MATCH(F99,Zones!$A$6:$A$35,0))*(1-Paramètres!$B$46))+INDEX(Zones!$P$6:$P$35,MATCH(F99,Zones!$A$6:$A$35,0)),INDEX(Zones!$P$6:$P$35,MATCH(F99,Zones!$A$6:$A$35,0))))</f>
        <v>15.2955</v>
      </c>
      <c r="L99" s="27" t="n">
        <f aca="false">K99*Paramètres!$B$45+I99*Paramètres!$B$47</f>
        <v>88.4775</v>
      </c>
      <c r="M99" s="30" t="n">
        <f aca="false" t="array" ref="M99:M99">IF(E99="Dragon",0,(INDEX(Zones!$N$6:$N$35,MATCH(F99,Zones!$A$6:$A$35,0))*Paramètres!$B$34*(INDEX(Zones!$M$6:$M$35,MATCH(F99,Zones!$A$6:$A$35,0))*(1-Paramètres!$B$46))*Paramètres!$B$39*(Paramètres!$B$39+1)/2))</f>
        <v>0.136772361</v>
      </c>
      <c r="N99" s="30" t="n">
        <f aca="false" t="array" ref="N99:N99">IF(E99="Normal",0,IF(E99="Dragon",INDEX(Zones!$Q$6:$Q$35,MATCH(F99,Zones!$A$6:$A$35,0))*Paramètres!$B$34*INDEX(Zones!$P$6:$P$35,MATCH(F99,Zones!$A$6:$A$35,0)),INDEX(Zones!$Q$6:$Q$35,MATCH(F99,Zones!$A$6:$A$35,0))*Paramètres!$B$34*(INDEX(Zones!$P$6:$P$35,MATCH(F99,Zones!$A$6:$A$35,0))+Paramètres!$B$42*(INDEX(Zones!$M$6:$M$35,MATCH(F99,Zones!$A$6:$A$35,0))*(1-Paramètres!$B$46)))+INDEX(Zones!$N$6:$N$35,MATCH(F99,Zones!$A$6:$A$35,0))*Paramètres!$B$34*(INDEX(Zones!$M$6:$M$35,MATCH(F99,Zones!$A$6:$A$35,0))*(1-Paramètres!$B$46))*(Paramètres!$B$42*(Paramètres!$B$42+1)/2)))</f>
        <v>0</v>
      </c>
      <c r="O99" s="75" t="n">
        <f aca="false">MAX(M99,N99)</f>
        <v>0.136772361</v>
      </c>
      <c r="P99" s="36" t="n">
        <f aca="false">IF(E99="Normal",M99*Paramètres!$B$40,IF(E99="Boss",M99*(Paramètres!$B$41-1)+N99,N99))</f>
        <v>0.410317083</v>
      </c>
      <c r="Q99" s="76" t="str">
        <f aca="false">IF(O99&gt;Paramètres!$B$37,"Trop dur","OK")</f>
        <v>OK</v>
      </c>
      <c r="R99" s="29" t="n">
        <f aca="false" t="array" ref="R99:R99">ROUND(IF(E99="Normal",J99*INDEX(Zones!$O$6:$O$35,MATCH(F99,Zones!$A$6:$A$35,0)),IF(E99="Boss",((Paramètres!$B$41-1)*Paramètres!$B$39+Paramètres!$B$42)*INDEX(Zones!$O$6:$O$35,MATCH(F99,Zones!$A$6:$A$35,0))+INDEX(Zones!$R$6:$R$35,MATCH(F99,Zones!$A$6:$A$35,0)),INDEX(Zones!$R$6:$R$35,MATCH(F99,Zones!$A$6:$A$35,0))))*ROUND(Paramètres!$B$49*B99^Paramètres!$B$50,0),0)</f>
        <v>16120</v>
      </c>
      <c r="S99" s="29" t="n">
        <f aca="false" t="array" ref="S99:S99">ROUND(IF(E99="Normal",J99*INDEX(Zones!$O$6:$O$35,MATCH(F99,Zones!$A$6:$A$35,0)),IF(E99="Boss",((Paramètres!$B$41-1)*Paramètres!$B$39+Paramètres!$B$42)*INDEX(Zones!$O$6:$O$35,MATCH(F99,Zones!$A$6:$A$35,0))+INDEX(Zones!$R$6:$R$35,MATCH(F99,Zones!$A$6:$A$35,0)),INDEX(Zones!$R$6:$R$35,MATCH(F99,Zones!$A$6:$A$35,0))))*ROUND(Paramètres!$B$53*B99^Paramètres!$B$54,0),0)</f>
        <v>12696</v>
      </c>
      <c r="T99" s="22" t="str">
        <f aca="false">IF(E99="Boss",G99,"—")</f>
        <v>—</v>
      </c>
      <c r="U99" s="37" t="n">
        <f aca="false">IF(E99="Dragon",0,(J99-IF(E99="Boss",1,0))*AVERAGEIFS(Monstres!$AL$7:$AL$98,Monstres!$B$7:$B$98,F99,Monstres!$G$7:$G$98,"Non"))</f>
        <v>0.468</v>
      </c>
      <c r="V99" s="74" t="n">
        <f aca="false">IF(E99="Boss",Butin!$E$10,IF(E99="Dragon",Butin!$E$11,0))</f>
        <v>0</v>
      </c>
      <c r="W99" s="37" t="n">
        <f aca="false">U99+V99</f>
        <v>0.468</v>
      </c>
      <c r="X99" s="77" t="n">
        <f aca="false">U99*INDEX(Butin!$E$15:$K$24,MATCH($A99,Éléments!$C$5:$C$14,1),1)+V99*IF(E99="Boss",INDEX(Butin!$E$28:$K$37,MATCH($A99,Éléments!$C$5:$C$14,1),1),IF(E99="Dragon",INDEX(Butin!$E$41:$K$50,MATCH($A99,Éléments!$C$5:$C$14,1),1),0))</f>
        <v>0.04212</v>
      </c>
      <c r="Y99" s="77" t="n">
        <f aca="false">U99*INDEX(Butin!$E$15:$K$24,MATCH($A99,Éléments!$C$5:$C$14,1),2)+V99*IF(E99="Boss",INDEX(Butin!$E$28:$K$37,MATCH($A99,Éléments!$C$5:$C$14,1),2),IF(E99="Dragon",INDEX(Butin!$E$41:$K$50,MATCH($A99,Éléments!$C$5:$C$14,1),2),0))</f>
        <v>0.08892</v>
      </c>
      <c r="Z99" s="77" t="n">
        <f aca="false">U99*INDEX(Butin!$E$15:$K$24,MATCH($A99,Éléments!$C$5:$C$14,1),3)+V99*IF(E99="Boss",INDEX(Butin!$E$28:$K$37,MATCH($A99,Éléments!$C$5:$C$14,1),3),IF(E99="Dragon",INDEX(Butin!$E$41:$K$50,MATCH($A99,Éléments!$C$5:$C$14,1),3),0))</f>
        <v>0.12636</v>
      </c>
      <c r="AA99" s="77" t="n">
        <f aca="false">U99*INDEX(Butin!$E$15:$K$24,MATCH($A99,Éléments!$C$5:$C$14,1),4)+V99*IF(E99="Boss",INDEX(Butin!$E$28:$K$37,MATCH($A99,Éléments!$C$5:$C$14,1),4),IF(E99="Dragon",INDEX(Butin!$E$41:$K$50,MATCH($A99,Éléments!$C$5:$C$14,1),4),0))</f>
        <v>0.11232</v>
      </c>
      <c r="AB99" s="77" t="n">
        <f aca="false">U99*INDEX(Butin!$E$15:$K$24,MATCH($A99,Éléments!$C$5:$C$14,1),5)+V99*IF(E99="Boss",INDEX(Butin!$E$28:$K$37,MATCH($A99,Éléments!$C$5:$C$14,1),5),IF(E99="Dragon",INDEX(Butin!$E$41:$K$50,MATCH($A99,Éléments!$C$5:$C$14,1),5),0))</f>
        <v>0.06786</v>
      </c>
      <c r="AC99" s="77" t="n">
        <f aca="false">U99*INDEX(Butin!$E$15:$K$24,MATCH($A99,Éléments!$C$5:$C$14,1),6)+V99*IF(E99="Boss",INDEX(Butin!$E$28:$K$37,MATCH($A99,Éléments!$C$5:$C$14,1),6),IF(E99="Dragon",INDEX(Butin!$E$41:$K$50,MATCH($A99,Éléments!$C$5:$C$14,1),6),0))</f>
        <v>0.027144</v>
      </c>
      <c r="AD99" s="77" t="n">
        <f aca="false">U99*INDEX(Butin!$E$15:$K$24,MATCH($A99,Éléments!$C$5:$C$14,1),7)+V99*IF(E99="Boss",INDEX(Butin!$E$28:$K$37,MATCH($A99,Éléments!$C$5:$C$14,1),7),IF(E99="Dragon",INDEX(Butin!$E$41:$K$50,MATCH($A99,Éléments!$C$5:$C$14,1),7),0))</f>
        <v>0.003276</v>
      </c>
    </row>
    <row r="100" customFormat="false" ht="15.75" hidden="false" customHeight="true" outlineLevel="0" collapsed="false">
      <c r="A100" s="71" t="n">
        <v>95</v>
      </c>
      <c r="B100" s="23" t="n">
        <f aca="false">A100</f>
        <v>95</v>
      </c>
      <c r="C100" s="23" t="str">
        <f aca="false" t="array" ref="C100:C100">INDEX(Éléments!$B$5:$B$14,MATCH(A100,Éléments!$C$5:$C$14,1))</f>
        <v>Palais démoniaque</v>
      </c>
      <c r="D100" s="49" t="str">
        <f aca="false" t="array" ref="D100:D100">INDEX(Éléments!$A$5:$A$14,MATCH(A100,Éléments!$C$5:$C$14,1))</f>
        <v>Ombre</v>
      </c>
      <c r="E100" s="23" t="str">
        <f aca="false">IF(MOD(A100,5)=0,"Boss",IF(MOD(A100,10)=9,"Dragon","Normal"))</f>
        <v>Boss</v>
      </c>
      <c r="F100" s="23" t="n">
        <f aca="false">IF(E100="Normal",5*ROUNDUP(A100/5,0),A100)</f>
        <v>95</v>
      </c>
      <c r="G100" s="22" t="str">
        <f aca="false" t="array" ref="G100:G100">INDEX(Zones!$B$6:$B$35,MATCH(F100,Zones!$A$6:$A$35,0))</f>
        <v>Plaine démoniaque</v>
      </c>
      <c r="H100" s="22" t="str">
        <f aca="false" t="array" ref="H100:H100">IF(E100="Normal","—",INDEX(Zones!$L$6:$L$35,MATCH(F100,Zones!$A$6:$A$35,0)))</f>
        <v>Wyverne des ténèbres</v>
      </c>
      <c r="I100" s="27" t="n">
        <f aca="false">IF(E100="Normal",Paramètres!$B$40,IF(E100="Boss",Paramètres!$B$41,1))</f>
        <v>5</v>
      </c>
      <c r="J100" s="27" t="n">
        <f aca="false">IF(E100="Normal",Paramètres!$B$40*Paramètres!$B$39,IF(E100="Boss",(Paramètres!$B$41-1)*Paramètres!$B$39+Paramètres!$B$42+1,1))</f>
        <v>15</v>
      </c>
      <c r="K100" s="33" t="n">
        <f aca="false" t="array" ref="K100:K100">IF(E100="Normal",Paramètres!$B$40*Paramètres!$B$39*(INDEX(Zones!$M$6:$M$35,MATCH(F100,Zones!$A$6:$A$35,0))*(1-Paramètres!$B$46)),IF(E100="Boss",((Paramètres!$B$41-1)*Paramètres!$B$39+Paramètres!$B$42)*(INDEX(Zones!$M$6:$M$35,MATCH(F100,Zones!$A$6:$A$35,0))*(1-Paramètres!$B$46))+INDEX(Zones!$P$6:$P$35,MATCH(F100,Zones!$A$6:$A$35,0)),INDEX(Zones!$P$6:$P$35,MATCH(F100,Zones!$A$6:$A$35,0))))</f>
        <v>32.793</v>
      </c>
      <c r="L100" s="27" t="n">
        <f aca="false">K100*Paramètres!$B$45+I100*Paramètres!$B$47</f>
        <v>183.965</v>
      </c>
      <c r="M100" s="30" t="n">
        <f aca="false" t="array" ref="M100:M100">IF(E100="Dragon",0,(INDEX(Zones!$N$6:$N$35,MATCH(F100,Zones!$A$6:$A$35,0))*Paramètres!$B$34*(INDEX(Zones!$M$6:$M$35,MATCH(F100,Zones!$A$6:$A$35,0))*(1-Paramètres!$B$46))*Paramètres!$B$39*(Paramètres!$B$39+1)/2))</f>
        <v>0.136772361</v>
      </c>
      <c r="N100" s="30" t="n">
        <f aca="false" t="array" ref="N100:N100">IF(E100="Normal",0,IF(E100="Dragon",INDEX(Zones!$Q$6:$Q$35,MATCH(F100,Zones!$A$6:$A$35,0))*Paramètres!$B$34*INDEX(Zones!$P$6:$P$35,MATCH(F100,Zones!$A$6:$A$35,0)),INDEX(Zones!$Q$6:$Q$35,MATCH(F100,Zones!$A$6:$A$35,0))*Paramètres!$B$34*(INDEX(Zones!$P$6:$P$35,MATCH(F100,Zones!$A$6:$A$35,0))+Paramètres!$B$42*(INDEX(Zones!$M$6:$M$35,MATCH(F100,Zones!$A$6:$A$35,0))*(1-Paramètres!$B$46)))+INDEX(Zones!$N$6:$N$35,MATCH(F100,Zones!$A$6:$A$35,0))*Paramètres!$B$34*(INDEX(Zones!$M$6:$M$35,MATCH(F100,Zones!$A$6:$A$35,0))*(1-Paramètres!$B$46))*(Paramètres!$B$42*(Paramètres!$B$42+1)/2)))</f>
        <v>0.4477955805</v>
      </c>
      <c r="O100" s="75" t="n">
        <f aca="false">MAX(M100,N100)</f>
        <v>0.4477955805</v>
      </c>
      <c r="P100" s="36" t="n">
        <f aca="false">IF(E100="Normal",M100*Paramètres!$B$40,IF(E100="Boss",M100*(Paramètres!$B$41-1)+N100,N100))</f>
        <v>0.9948850245</v>
      </c>
      <c r="Q100" s="76" t="str">
        <f aca="false">IF(O100&gt;Paramètres!$B$37,"Trop dur","OK")</f>
        <v>OK</v>
      </c>
      <c r="R100" s="29" t="n">
        <f aca="false" t="array" ref="R100:R100">ROUND(IF(E100="Normal",J100*INDEX(Zones!$O$6:$O$35,MATCH(F100,Zones!$A$6:$A$35,0)),IF(E100="Boss",((Paramètres!$B$41-1)*Paramètres!$B$39+Paramètres!$B$42)*INDEX(Zones!$O$6:$O$35,MATCH(F100,Zones!$A$6:$A$35,0))+INDEX(Zones!$R$6:$R$35,MATCH(F100,Zones!$A$6:$A$35,0)),INDEX(Zones!$R$6:$R$35,MATCH(F100,Zones!$A$6:$A$35,0))))*ROUND(Paramètres!$B$49*B100^Paramètres!$B$50,0),0)</f>
        <v>39658</v>
      </c>
      <c r="S100" s="29" t="n">
        <f aca="false" t="array" ref="S100:S100">ROUND(IF(E100="Normal",J100*INDEX(Zones!$O$6:$O$35,MATCH(F100,Zones!$A$6:$A$35,0)),IF(E100="Boss",((Paramètres!$B$41-1)*Paramètres!$B$39+Paramètres!$B$42)*INDEX(Zones!$O$6:$O$35,MATCH(F100,Zones!$A$6:$A$35,0))+INDEX(Zones!$R$6:$R$35,MATCH(F100,Zones!$A$6:$A$35,0)),INDEX(Zones!$R$6:$R$35,MATCH(F100,Zones!$A$6:$A$35,0))))*ROUND(Paramètres!$B$53*B100^Paramètres!$B$54,0),0)</f>
        <v>31259</v>
      </c>
      <c r="T100" s="22" t="str">
        <f aca="false">IF(E100="Boss",G100,"—")</f>
        <v>Plaine démoniaque</v>
      </c>
      <c r="U100" s="37" t="n">
        <f aca="false">IF(E100="Dragon",0,(J100-IF(E100="Boss",1,0))*AVERAGEIFS(Monstres!$AL$7:$AL$98,Monstres!$B$7:$B$98,F100,Monstres!$G$7:$G$98,"Non"))</f>
        <v>0.728</v>
      </c>
      <c r="V100" s="74" t="n">
        <f aca="false">IF(E100="Boss",Butin!$E$10,IF(E100="Dragon",Butin!$E$11,0))</f>
        <v>1.4</v>
      </c>
      <c r="W100" s="37" t="n">
        <f aca="false">U100+V100</f>
        <v>2.128</v>
      </c>
      <c r="X100" s="77" t="n">
        <f aca="false">U100*INDEX(Butin!$E$15:$K$24,MATCH($A100,Éléments!$C$5:$C$14,1),1)+V100*IF(E100="Boss",INDEX(Butin!$E$28:$K$37,MATCH($A100,Éléments!$C$5:$C$14,1),1),IF(E100="Dragon",INDEX(Butin!$E$41:$K$50,MATCH($A100,Éléments!$C$5:$C$14,1),1),0))</f>
        <v>0.06552</v>
      </c>
      <c r="Y100" s="77" t="n">
        <f aca="false">U100*INDEX(Butin!$E$15:$K$24,MATCH($A100,Éléments!$C$5:$C$14,1),2)+V100*IF(E100="Boss",INDEX(Butin!$E$28:$K$37,MATCH($A100,Éléments!$C$5:$C$14,1),2),IF(E100="Dragon",INDEX(Butin!$E$41:$K$50,MATCH($A100,Éléments!$C$5:$C$14,1),2),0))</f>
        <v>0.22232</v>
      </c>
      <c r="Z100" s="77" t="n">
        <f aca="false">U100*INDEX(Butin!$E$15:$K$24,MATCH($A100,Éléments!$C$5:$C$14,1),3)+V100*IF(E100="Boss",INDEX(Butin!$E$28:$K$37,MATCH($A100,Éléments!$C$5:$C$14,1),3),IF(E100="Dragon",INDEX(Butin!$E$41:$K$50,MATCH($A100,Éléments!$C$5:$C$14,1),3),0))</f>
        <v>0.44856</v>
      </c>
      <c r="AA100" s="77" t="n">
        <f aca="false">U100*INDEX(Butin!$E$15:$K$24,MATCH($A100,Éléments!$C$5:$C$14,1),4)+V100*IF(E100="Boss",INDEX(Butin!$E$28:$K$37,MATCH($A100,Éléments!$C$5:$C$14,1),4),IF(E100="Dragon",INDEX(Butin!$E$41:$K$50,MATCH($A100,Éléments!$C$5:$C$14,1),4),0))</f>
        <v>0.59472</v>
      </c>
      <c r="AB100" s="77" t="n">
        <f aca="false">U100*INDEX(Butin!$E$15:$K$24,MATCH($A100,Éléments!$C$5:$C$14,1),5)+V100*IF(E100="Boss",INDEX(Butin!$E$28:$K$37,MATCH($A100,Éléments!$C$5:$C$14,1),5),IF(E100="Dragon",INDEX(Butin!$E$41:$K$50,MATCH($A100,Éléments!$C$5:$C$14,1),5),0))</f>
        <v>0.48356</v>
      </c>
      <c r="AC100" s="77" t="n">
        <f aca="false">U100*INDEX(Butin!$E$15:$K$24,MATCH($A100,Éléments!$C$5:$C$14,1),6)+V100*IF(E100="Boss",INDEX(Butin!$E$28:$K$37,MATCH($A100,Éléments!$C$5:$C$14,1),6),IF(E100="Dragon",INDEX(Butin!$E$41:$K$50,MATCH($A100,Éléments!$C$5:$C$14,1),6),0))</f>
        <v>0.210224</v>
      </c>
      <c r="AD100" s="77" t="n">
        <f aca="false">U100*INDEX(Butin!$E$15:$K$24,MATCH($A100,Éléments!$C$5:$C$14,1),7)+V100*IF(E100="Boss",INDEX(Butin!$E$28:$K$37,MATCH($A100,Éléments!$C$5:$C$14,1),7),IF(E100="Dragon",INDEX(Butin!$E$41:$K$50,MATCH($A100,Éléments!$C$5:$C$14,1),7),0))</f>
        <v>0.103096</v>
      </c>
    </row>
    <row r="101" customFormat="false" ht="15.75" hidden="false" customHeight="true" outlineLevel="0" collapsed="false">
      <c r="A101" s="71" t="n">
        <v>96</v>
      </c>
      <c r="B101" s="23" t="n">
        <f aca="false">A101</f>
        <v>96</v>
      </c>
      <c r="C101" s="23" t="str">
        <f aca="false" t="array" ref="C101:C101">INDEX(Éléments!$B$5:$B$14,MATCH(A101,Éléments!$C$5:$C$14,1))</f>
        <v>Palais démoniaque</v>
      </c>
      <c r="D101" s="49" t="str">
        <f aca="false" t="array" ref="D101:D101">INDEX(Éléments!$A$5:$A$14,MATCH(A101,Éléments!$C$5:$C$14,1))</f>
        <v>Ombre</v>
      </c>
      <c r="E101" s="23" t="str">
        <f aca="false">IF(MOD(A101,5)=0,"Boss",IF(MOD(A101,10)=9,"Dragon","Normal"))</f>
        <v>Normal</v>
      </c>
      <c r="F101" s="23" t="n">
        <f aca="false">IF(E101="Normal",5*ROUNDUP(A101/5,0),A101)</f>
        <v>100</v>
      </c>
      <c r="G101" s="22" t="str">
        <f aca="false" t="array" ref="G101:G101">INDEX(Zones!$B$6:$B$35,MATCH(F101,Zones!$A$6:$A$35,0))</f>
        <v>Palais démoniaque</v>
      </c>
      <c r="H101" s="22" t="str">
        <f aca="false" t="array" ref="H101:H101">IF(E101="Normal","—",INDEX(Zones!$L$6:$L$35,MATCH(F101,Zones!$A$6:$A$35,0)))</f>
        <v>—</v>
      </c>
      <c r="I101" s="27" t="n">
        <f aca="false">IF(E101="Normal",Paramètres!$B$40,IF(E101="Boss",Paramètres!$B$41,1))</f>
        <v>3</v>
      </c>
      <c r="J101" s="23" t="n">
        <f aca="false">IF(E101="Normal",Paramètres!$B$40*Paramètres!$B$39,IF(E101="Boss",(Paramètres!$B$41-1)*Paramètres!$B$39+Paramètres!$B$42+1,1))</f>
        <v>9</v>
      </c>
      <c r="K101" s="33" t="n">
        <f aca="false" t="array" ref="K101:K101">IF(E101="Normal",Paramètres!$B$40*Paramètres!$B$39*(INDEX(Zones!$M$6:$M$35,MATCH(F101,Zones!$A$6:$A$35,0))*(1-Paramètres!$B$46)),IF(E101="Boss",((Paramètres!$B$41-1)*Paramètres!$B$39+Paramètres!$B$42)*(INDEX(Zones!$M$6:$M$35,MATCH(F101,Zones!$A$6:$A$35,0))*(1-Paramètres!$B$46))+INDEX(Zones!$P$6:$P$35,MATCH(F101,Zones!$A$6:$A$35,0)),INDEX(Zones!$P$6:$P$35,MATCH(F101,Zones!$A$6:$A$35,0))))</f>
        <v>14.529375</v>
      </c>
      <c r="L101" s="27" t="n">
        <f aca="false">K101*Paramètres!$B$45+I101*Paramètres!$B$47</f>
        <v>84.646875</v>
      </c>
      <c r="M101" s="30" t="n">
        <f aca="false" t="array" ref="M101:M101">IF(E101="Dragon",0,(INDEX(Zones!$N$6:$N$35,MATCH(F101,Zones!$A$6:$A$35,0))*Paramètres!$B$34*(INDEX(Zones!$M$6:$M$35,MATCH(F101,Zones!$A$6:$A$35,0))*(1-Paramètres!$B$46))*Paramètres!$B$39*(Paramètres!$B$39+1)/2))</f>
        <v>0.143671303125</v>
      </c>
      <c r="N101" s="30" t="n">
        <f aca="false" t="array" ref="N101:N101">IF(E101="Normal",0,IF(E101="Dragon",INDEX(Zones!$Q$6:$Q$35,MATCH(F101,Zones!$A$6:$A$35,0))*Paramètres!$B$34*INDEX(Zones!$P$6:$P$35,MATCH(F101,Zones!$A$6:$A$35,0)),INDEX(Zones!$Q$6:$Q$35,MATCH(F101,Zones!$A$6:$A$35,0))*Paramètres!$B$34*(INDEX(Zones!$P$6:$P$35,MATCH(F101,Zones!$A$6:$A$35,0))+Paramètres!$B$42*(INDEX(Zones!$M$6:$M$35,MATCH(F101,Zones!$A$6:$A$35,0))*(1-Paramètres!$B$46)))+INDEX(Zones!$N$6:$N$35,MATCH(F101,Zones!$A$6:$A$35,0))*Paramètres!$B$34*(INDEX(Zones!$M$6:$M$35,MATCH(F101,Zones!$A$6:$A$35,0))*(1-Paramètres!$B$46))*(Paramètres!$B$42*(Paramètres!$B$42+1)/2)))</f>
        <v>0</v>
      </c>
      <c r="O101" s="75" t="n">
        <f aca="false">MAX(M101,N101)</f>
        <v>0.143671303125</v>
      </c>
      <c r="P101" s="36" t="n">
        <f aca="false">IF(E101="Normal",M101*Paramètres!$B$40,IF(E101="Boss",M101*(Paramètres!$B$41-1)+N101,N101))</f>
        <v>0.431013909375</v>
      </c>
      <c r="Q101" s="76" t="str">
        <f aca="false">IF(O101&gt;Paramètres!$B$37,"Trop dur","OK")</f>
        <v>OK</v>
      </c>
      <c r="R101" s="29" t="n">
        <f aca="false" t="array" ref="R101:R101">ROUND(IF(E101="Normal",J101*INDEX(Zones!$O$6:$O$35,MATCH(F101,Zones!$A$6:$A$35,0)),IF(E101="Boss",((Paramètres!$B$41-1)*Paramètres!$B$39+Paramètres!$B$42)*INDEX(Zones!$O$6:$O$35,MATCH(F101,Zones!$A$6:$A$35,0))+INDEX(Zones!$R$6:$R$35,MATCH(F101,Zones!$A$6:$A$35,0)),INDEX(Zones!$R$6:$R$35,MATCH(F101,Zones!$A$6:$A$35,0))))*ROUND(Paramètres!$B$49*B101^Paramètres!$B$50,0),0)</f>
        <v>18255</v>
      </c>
      <c r="S101" s="29" t="n">
        <f aca="false" t="array" ref="S101:S101">ROUND(IF(E101="Normal",J101*INDEX(Zones!$O$6:$O$35,MATCH(F101,Zones!$A$6:$A$35,0)),IF(E101="Boss",((Paramètres!$B$41-1)*Paramètres!$B$39+Paramètres!$B$42)*INDEX(Zones!$O$6:$O$35,MATCH(F101,Zones!$A$6:$A$35,0))+INDEX(Zones!$R$6:$R$35,MATCH(F101,Zones!$A$6:$A$35,0)),INDEX(Zones!$R$6:$R$35,MATCH(F101,Zones!$A$6:$A$35,0))))*ROUND(Paramètres!$B$53*B101^Paramètres!$B$54,0),0)</f>
        <v>14408</v>
      </c>
      <c r="T101" s="22" t="str">
        <f aca="false">IF(E101="Boss",G101,"—")</f>
        <v>—</v>
      </c>
      <c r="U101" s="37" t="n">
        <f aca="false">IF(E101="Dragon",0,(J101-IF(E101="Boss",1,0))*AVERAGEIFS(Monstres!$AL$7:$AL$98,Monstres!$B$7:$B$98,F101,Monstres!$G$7:$G$98,"Non"))</f>
        <v>0.54</v>
      </c>
      <c r="V101" s="74" t="n">
        <f aca="false">IF(E101="Boss",Butin!$E$10,IF(E101="Dragon",Butin!$E$11,0))</f>
        <v>0</v>
      </c>
      <c r="W101" s="37" t="n">
        <f aca="false">U101+V101</f>
        <v>0.54</v>
      </c>
      <c r="X101" s="77" t="n">
        <f aca="false">U101*INDEX(Butin!$E$15:$K$24,MATCH($A101,Éléments!$C$5:$C$14,1),1)+V101*IF(E101="Boss",INDEX(Butin!$E$28:$K$37,MATCH($A101,Éléments!$C$5:$C$14,1),1),IF(E101="Dragon",INDEX(Butin!$E$41:$K$50,MATCH($A101,Éléments!$C$5:$C$14,1),1),0))</f>
        <v>0.0486</v>
      </c>
      <c r="Y101" s="77" t="n">
        <f aca="false">U101*INDEX(Butin!$E$15:$K$24,MATCH($A101,Éléments!$C$5:$C$14,1),2)+V101*IF(E101="Boss",INDEX(Butin!$E$28:$K$37,MATCH($A101,Éléments!$C$5:$C$14,1),2),IF(E101="Dragon",INDEX(Butin!$E$41:$K$50,MATCH($A101,Éléments!$C$5:$C$14,1),2),0))</f>
        <v>0.1026</v>
      </c>
      <c r="Z101" s="77" t="n">
        <f aca="false">U101*INDEX(Butin!$E$15:$K$24,MATCH($A101,Éléments!$C$5:$C$14,1),3)+V101*IF(E101="Boss",INDEX(Butin!$E$28:$K$37,MATCH($A101,Éléments!$C$5:$C$14,1),3),IF(E101="Dragon",INDEX(Butin!$E$41:$K$50,MATCH($A101,Éléments!$C$5:$C$14,1),3),0))</f>
        <v>0.1458</v>
      </c>
      <c r="AA101" s="77" t="n">
        <f aca="false">U101*INDEX(Butin!$E$15:$K$24,MATCH($A101,Éléments!$C$5:$C$14,1),4)+V101*IF(E101="Boss",INDEX(Butin!$E$28:$K$37,MATCH($A101,Éléments!$C$5:$C$14,1),4),IF(E101="Dragon",INDEX(Butin!$E$41:$K$50,MATCH($A101,Éléments!$C$5:$C$14,1),4),0))</f>
        <v>0.1296</v>
      </c>
      <c r="AB101" s="77" t="n">
        <f aca="false">U101*INDEX(Butin!$E$15:$K$24,MATCH($A101,Éléments!$C$5:$C$14,1),5)+V101*IF(E101="Boss",INDEX(Butin!$E$28:$K$37,MATCH($A101,Éléments!$C$5:$C$14,1),5),IF(E101="Dragon",INDEX(Butin!$E$41:$K$50,MATCH($A101,Éléments!$C$5:$C$14,1),5),0))</f>
        <v>0.0783</v>
      </c>
      <c r="AC101" s="77" t="n">
        <f aca="false">U101*INDEX(Butin!$E$15:$K$24,MATCH($A101,Éléments!$C$5:$C$14,1),6)+V101*IF(E101="Boss",INDEX(Butin!$E$28:$K$37,MATCH($A101,Éléments!$C$5:$C$14,1),6),IF(E101="Dragon",INDEX(Butin!$E$41:$K$50,MATCH($A101,Éléments!$C$5:$C$14,1),6),0))</f>
        <v>0.03132</v>
      </c>
      <c r="AD101" s="77" t="n">
        <f aca="false">U101*INDEX(Butin!$E$15:$K$24,MATCH($A101,Éléments!$C$5:$C$14,1),7)+V101*IF(E101="Boss",INDEX(Butin!$E$28:$K$37,MATCH($A101,Éléments!$C$5:$C$14,1),7),IF(E101="Dragon",INDEX(Butin!$E$41:$K$50,MATCH($A101,Éléments!$C$5:$C$14,1),7),0))</f>
        <v>0.00378</v>
      </c>
    </row>
    <row r="102" customFormat="false" ht="15.75" hidden="false" customHeight="true" outlineLevel="0" collapsed="false">
      <c r="A102" s="71" t="n">
        <v>97</v>
      </c>
      <c r="B102" s="23" t="n">
        <f aca="false">A102</f>
        <v>97</v>
      </c>
      <c r="C102" s="23" t="str">
        <f aca="false" t="array" ref="C102:C102">INDEX(Éléments!$B$5:$B$14,MATCH(A102,Éléments!$C$5:$C$14,1))</f>
        <v>Palais démoniaque</v>
      </c>
      <c r="D102" s="49" t="str">
        <f aca="false" t="array" ref="D102:D102">INDEX(Éléments!$A$5:$A$14,MATCH(A102,Éléments!$C$5:$C$14,1))</f>
        <v>Ombre</v>
      </c>
      <c r="E102" s="23" t="str">
        <f aca="false">IF(MOD(A102,5)=0,"Boss",IF(MOD(A102,10)=9,"Dragon","Normal"))</f>
        <v>Normal</v>
      </c>
      <c r="F102" s="23" t="n">
        <f aca="false">IF(E102="Normal",5*ROUNDUP(A102/5,0),A102)</f>
        <v>100</v>
      </c>
      <c r="G102" s="22" t="str">
        <f aca="false" t="array" ref="G102:G102">INDEX(Zones!$B$6:$B$35,MATCH(F102,Zones!$A$6:$A$35,0))</f>
        <v>Palais démoniaque</v>
      </c>
      <c r="H102" s="22" t="str">
        <f aca="false" t="array" ref="H102:H102">IF(E102="Normal","—",INDEX(Zones!$L$6:$L$35,MATCH(F102,Zones!$A$6:$A$35,0)))</f>
        <v>—</v>
      </c>
      <c r="I102" s="27" t="n">
        <f aca="false">IF(E102="Normal",Paramètres!$B$40,IF(E102="Boss",Paramètres!$B$41,1))</f>
        <v>3</v>
      </c>
      <c r="J102" s="23" t="n">
        <f aca="false">IF(E102="Normal",Paramètres!$B$40*Paramètres!$B$39,IF(E102="Boss",(Paramètres!$B$41-1)*Paramètres!$B$39+Paramètres!$B$42+1,1))</f>
        <v>9</v>
      </c>
      <c r="K102" s="33" t="n">
        <f aca="false" t="array" ref="K102:K102">IF(E102="Normal",Paramètres!$B$40*Paramètres!$B$39*(INDEX(Zones!$M$6:$M$35,MATCH(F102,Zones!$A$6:$A$35,0))*(1-Paramètres!$B$46)),IF(E102="Boss",((Paramètres!$B$41-1)*Paramètres!$B$39+Paramètres!$B$42)*(INDEX(Zones!$M$6:$M$35,MATCH(F102,Zones!$A$6:$A$35,0))*(1-Paramètres!$B$46))+INDEX(Zones!$P$6:$P$35,MATCH(F102,Zones!$A$6:$A$35,0)),INDEX(Zones!$P$6:$P$35,MATCH(F102,Zones!$A$6:$A$35,0))))</f>
        <v>14.529375</v>
      </c>
      <c r="L102" s="27" t="n">
        <f aca="false">K102*Paramètres!$B$45+I102*Paramètres!$B$47</f>
        <v>84.646875</v>
      </c>
      <c r="M102" s="30" t="n">
        <f aca="false" t="array" ref="M102:M102">IF(E102="Dragon",0,(INDEX(Zones!$N$6:$N$35,MATCH(F102,Zones!$A$6:$A$35,0))*Paramètres!$B$34*(INDEX(Zones!$M$6:$M$35,MATCH(F102,Zones!$A$6:$A$35,0))*(1-Paramètres!$B$46))*Paramètres!$B$39*(Paramètres!$B$39+1)/2))</f>
        <v>0.143671303125</v>
      </c>
      <c r="N102" s="30" t="n">
        <f aca="false" t="array" ref="N102:N102">IF(E102="Normal",0,IF(E102="Dragon",INDEX(Zones!$Q$6:$Q$35,MATCH(F102,Zones!$A$6:$A$35,0))*Paramètres!$B$34*INDEX(Zones!$P$6:$P$35,MATCH(F102,Zones!$A$6:$A$35,0)),INDEX(Zones!$Q$6:$Q$35,MATCH(F102,Zones!$A$6:$A$35,0))*Paramètres!$B$34*(INDEX(Zones!$P$6:$P$35,MATCH(F102,Zones!$A$6:$A$35,0))+Paramètres!$B$42*(INDEX(Zones!$M$6:$M$35,MATCH(F102,Zones!$A$6:$A$35,0))*(1-Paramètres!$B$46)))+INDEX(Zones!$N$6:$N$35,MATCH(F102,Zones!$A$6:$A$35,0))*Paramètres!$B$34*(INDEX(Zones!$M$6:$M$35,MATCH(F102,Zones!$A$6:$A$35,0))*(1-Paramètres!$B$46))*(Paramètres!$B$42*(Paramètres!$B$42+1)/2)))</f>
        <v>0</v>
      </c>
      <c r="O102" s="75" t="n">
        <f aca="false">MAX(M102,N102)</f>
        <v>0.143671303125</v>
      </c>
      <c r="P102" s="36" t="n">
        <f aca="false">IF(E102="Normal",M102*Paramètres!$B$40,IF(E102="Boss",M102*(Paramètres!$B$41-1)+N102,N102))</f>
        <v>0.431013909375</v>
      </c>
      <c r="Q102" s="76" t="str">
        <f aca="false">IF(O102&gt;Paramètres!$B$37,"Trop dur","OK")</f>
        <v>OK</v>
      </c>
      <c r="R102" s="29" t="n">
        <f aca="false" t="array" ref="R102:R102">ROUND(IF(E102="Normal",J102*INDEX(Zones!$O$6:$O$35,MATCH(F102,Zones!$A$6:$A$35,0)),IF(E102="Boss",((Paramètres!$B$41-1)*Paramètres!$B$39+Paramètres!$B$42)*INDEX(Zones!$O$6:$O$35,MATCH(F102,Zones!$A$6:$A$35,0))+INDEX(Zones!$R$6:$R$35,MATCH(F102,Zones!$A$6:$A$35,0)),INDEX(Zones!$R$6:$R$35,MATCH(F102,Zones!$A$6:$A$35,0))))*ROUND(Paramètres!$B$49*B102^Paramètres!$B$50,0),0)</f>
        <v>18488</v>
      </c>
      <c r="S102" s="29" t="n">
        <f aca="false" t="array" ref="S102:S102">ROUND(IF(E102="Normal",J102*INDEX(Zones!$O$6:$O$35,MATCH(F102,Zones!$A$6:$A$35,0)),IF(E102="Boss",((Paramètres!$B$41-1)*Paramètres!$B$39+Paramètres!$B$42)*INDEX(Zones!$O$6:$O$35,MATCH(F102,Zones!$A$6:$A$35,0))+INDEX(Zones!$R$6:$R$35,MATCH(F102,Zones!$A$6:$A$35,0)),INDEX(Zones!$R$6:$R$35,MATCH(F102,Zones!$A$6:$A$35,0))))*ROUND(Paramètres!$B$53*B102^Paramètres!$B$54,0),0)</f>
        <v>14610</v>
      </c>
      <c r="T102" s="22" t="str">
        <f aca="false">IF(E102="Boss",G102,"—")</f>
        <v>—</v>
      </c>
      <c r="U102" s="37" t="n">
        <f aca="false">IF(E102="Dragon",0,(J102-IF(E102="Boss",1,0))*AVERAGEIFS(Monstres!$AL$7:$AL$98,Monstres!$B$7:$B$98,F102,Monstres!$G$7:$G$98,"Non"))</f>
        <v>0.54</v>
      </c>
      <c r="V102" s="74" t="n">
        <f aca="false">IF(E102="Boss",Butin!$E$10,IF(E102="Dragon",Butin!$E$11,0))</f>
        <v>0</v>
      </c>
      <c r="W102" s="37" t="n">
        <f aca="false">U102+V102</f>
        <v>0.54</v>
      </c>
      <c r="X102" s="77" t="n">
        <f aca="false">U102*INDEX(Butin!$E$15:$K$24,MATCH($A102,Éléments!$C$5:$C$14,1),1)+V102*IF(E102="Boss",INDEX(Butin!$E$28:$K$37,MATCH($A102,Éléments!$C$5:$C$14,1),1),IF(E102="Dragon",INDEX(Butin!$E$41:$K$50,MATCH($A102,Éléments!$C$5:$C$14,1),1),0))</f>
        <v>0.0486</v>
      </c>
      <c r="Y102" s="77" t="n">
        <f aca="false">U102*INDEX(Butin!$E$15:$K$24,MATCH($A102,Éléments!$C$5:$C$14,1),2)+V102*IF(E102="Boss",INDEX(Butin!$E$28:$K$37,MATCH($A102,Éléments!$C$5:$C$14,1),2),IF(E102="Dragon",INDEX(Butin!$E$41:$K$50,MATCH($A102,Éléments!$C$5:$C$14,1),2),0))</f>
        <v>0.1026</v>
      </c>
      <c r="Z102" s="77" t="n">
        <f aca="false">U102*INDEX(Butin!$E$15:$K$24,MATCH($A102,Éléments!$C$5:$C$14,1),3)+V102*IF(E102="Boss",INDEX(Butin!$E$28:$K$37,MATCH($A102,Éléments!$C$5:$C$14,1),3),IF(E102="Dragon",INDEX(Butin!$E$41:$K$50,MATCH($A102,Éléments!$C$5:$C$14,1),3),0))</f>
        <v>0.1458</v>
      </c>
      <c r="AA102" s="77" t="n">
        <f aca="false">U102*INDEX(Butin!$E$15:$K$24,MATCH($A102,Éléments!$C$5:$C$14,1),4)+V102*IF(E102="Boss",INDEX(Butin!$E$28:$K$37,MATCH($A102,Éléments!$C$5:$C$14,1),4),IF(E102="Dragon",INDEX(Butin!$E$41:$K$50,MATCH($A102,Éléments!$C$5:$C$14,1),4),0))</f>
        <v>0.1296</v>
      </c>
      <c r="AB102" s="77" t="n">
        <f aca="false">U102*INDEX(Butin!$E$15:$K$24,MATCH($A102,Éléments!$C$5:$C$14,1),5)+V102*IF(E102="Boss",INDEX(Butin!$E$28:$K$37,MATCH($A102,Éléments!$C$5:$C$14,1),5),IF(E102="Dragon",INDEX(Butin!$E$41:$K$50,MATCH($A102,Éléments!$C$5:$C$14,1),5),0))</f>
        <v>0.0783</v>
      </c>
      <c r="AC102" s="77" t="n">
        <f aca="false">U102*INDEX(Butin!$E$15:$K$24,MATCH($A102,Éléments!$C$5:$C$14,1),6)+V102*IF(E102="Boss",INDEX(Butin!$E$28:$K$37,MATCH($A102,Éléments!$C$5:$C$14,1),6),IF(E102="Dragon",INDEX(Butin!$E$41:$K$50,MATCH($A102,Éléments!$C$5:$C$14,1),6),0))</f>
        <v>0.03132</v>
      </c>
      <c r="AD102" s="77" t="n">
        <f aca="false">U102*INDEX(Butin!$E$15:$K$24,MATCH($A102,Éléments!$C$5:$C$14,1),7)+V102*IF(E102="Boss",INDEX(Butin!$E$28:$K$37,MATCH($A102,Éléments!$C$5:$C$14,1),7),IF(E102="Dragon",INDEX(Butin!$E$41:$K$50,MATCH($A102,Éléments!$C$5:$C$14,1),7),0))</f>
        <v>0.00378</v>
      </c>
    </row>
    <row r="103" customFormat="false" ht="15.75" hidden="false" customHeight="true" outlineLevel="0" collapsed="false">
      <c r="A103" s="71" t="n">
        <v>98</v>
      </c>
      <c r="B103" s="23" t="n">
        <f aca="false">A103</f>
        <v>98</v>
      </c>
      <c r="C103" s="23" t="str">
        <f aca="false" t="array" ref="C103:C103">INDEX(Éléments!$B$5:$B$14,MATCH(A103,Éléments!$C$5:$C$14,1))</f>
        <v>Palais démoniaque</v>
      </c>
      <c r="D103" s="49" t="str">
        <f aca="false" t="array" ref="D103:D103">INDEX(Éléments!$A$5:$A$14,MATCH(A103,Éléments!$C$5:$C$14,1))</f>
        <v>Ombre</v>
      </c>
      <c r="E103" s="23" t="str">
        <f aca="false">IF(MOD(A103,5)=0,"Boss",IF(MOD(A103,10)=9,"Dragon","Normal"))</f>
        <v>Normal</v>
      </c>
      <c r="F103" s="23" t="n">
        <f aca="false">IF(E103="Normal",5*ROUNDUP(A103/5,0),A103)</f>
        <v>100</v>
      </c>
      <c r="G103" s="22" t="str">
        <f aca="false" t="array" ref="G103:G103">INDEX(Zones!$B$6:$B$35,MATCH(F103,Zones!$A$6:$A$35,0))</f>
        <v>Palais démoniaque</v>
      </c>
      <c r="H103" s="22" t="str">
        <f aca="false" t="array" ref="H103:H103">IF(E103="Normal","—",INDEX(Zones!$L$6:$L$35,MATCH(F103,Zones!$A$6:$A$35,0)))</f>
        <v>—</v>
      </c>
      <c r="I103" s="27" t="n">
        <f aca="false">IF(E103="Normal",Paramètres!$B$40,IF(E103="Boss",Paramètres!$B$41,1))</f>
        <v>3</v>
      </c>
      <c r="J103" s="23" t="n">
        <f aca="false">IF(E103="Normal",Paramètres!$B$40*Paramètres!$B$39,IF(E103="Boss",(Paramètres!$B$41-1)*Paramètres!$B$39+Paramètres!$B$42+1,1))</f>
        <v>9</v>
      </c>
      <c r="K103" s="33" t="n">
        <f aca="false" t="array" ref="K103:K103">IF(E103="Normal",Paramètres!$B$40*Paramètres!$B$39*(INDEX(Zones!$M$6:$M$35,MATCH(F103,Zones!$A$6:$A$35,0))*(1-Paramètres!$B$46)),IF(E103="Boss",((Paramètres!$B$41-1)*Paramètres!$B$39+Paramètres!$B$42)*(INDEX(Zones!$M$6:$M$35,MATCH(F103,Zones!$A$6:$A$35,0))*(1-Paramètres!$B$46))+INDEX(Zones!$P$6:$P$35,MATCH(F103,Zones!$A$6:$A$35,0)),INDEX(Zones!$P$6:$P$35,MATCH(F103,Zones!$A$6:$A$35,0))))</f>
        <v>14.529375</v>
      </c>
      <c r="L103" s="27" t="n">
        <f aca="false">K103*Paramètres!$B$45+I103*Paramètres!$B$47</f>
        <v>84.646875</v>
      </c>
      <c r="M103" s="30" t="n">
        <f aca="false" t="array" ref="M103:M103">IF(E103="Dragon",0,(INDEX(Zones!$N$6:$N$35,MATCH(F103,Zones!$A$6:$A$35,0))*Paramètres!$B$34*(INDEX(Zones!$M$6:$M$35,MATCH(F103,Zones!$A$6:$A$35,0))*(1-Paramètres!$B$46))*Paramètres!$B$39*(Paramètres!$B$39+1)/2))</f>
        <v>0.143671303125</v>
      </c>
      <c r="N103" s="30" t="n">
        <f aca="false" t="array" ref="N103:N103">IF(E103="Normal",0,IF(E103="Dragon",INDEX(Zones!$Q$6:$Q$35,MATCH(F103,Zones!$A$6:$A$35,0))*Paramètres!$B$34*INDEX(Zones!$P$6:$P$35,MATCH(F103,Zones!$A$6:$A$35,0)),INDEX(Zones!$Q$6:$Q$35,MATCH(F103,Zones!$A$6:$A$35,0))*Paramètres!$B$34*(INDEX(Zones!$P$6:$P$35,MATCH(F103,Zones!$A$6:$A$35,0))+Paramètres!$B$42*(INDEX(Zones!$M$6:$M$35,MATCH(F103,Zones!$A$6:$A$35,0))*(1-Paramètres!$B$46)))+INDEX(Zones!$N$6:$N$35,MATCH(F103,Zones!$A$6:$A$35,0))*Paramètres!$B$34*(INDEX(Zones!$M$6:$M$35,MATCH(F103,Zones!$A$6:$A$35,0))*(1-Paramètres!$B$46))*(Paramètres!$B$42*(Paramètres!$B$42+1)/2)))</f>
        <v>0</v>
      </c>
      <c r="O103" s="75" t="n">
        <f aca="false">MAX(M103,N103)</f>
        <v>0.143671303125</v>
      </c>
      <c r="P103" s="36" t="n">
        <f aca="false">IF(E103="Normal",M103*Paramètres!$B$40,IF(E103="Boss",M103*(Paramètres!$B$41-1)+N103,N103))</f>
        <v>0.431013909375</v>
      </c>
      <c r="Q103" s="76" t="str">
        <f aca="false">IF(O103&gt;Paramètres!$B$37,"Trop dur","OK")</f>
        <v>OK</v>
      </c>
      <c r="R103" s="29" t="n">
        <f aca="false" t="array" ref="R103:R103">ROUND(IF(E103="Normal",J103*INDEX(Zones!$O$6:$O$35,MATCH(F103,Zones!$A$6:$A$35,0)),IF(E103="Boss",((Paramètres!$B$41-1)*Paramètres!$B$39+Paramètres!$B$42)*INDEX(Zones!$O$6:$O$35,MATCH(F103,Zones!$A$6:$A$35,0))+INDEX(Zones!$R$6:$R$35,MATCH(F103,Zones!$A$6:$A$35,0)),INDEX(Zones!$R$6:$R$35,MATCH(F103,Zones!$A$6:$A$35,0))))*ROUND(Paramètres!$B$49*B103^Paramètres!$B$50,0),0)</f>
        <v>18731</v>
      </c>
      <c r="S103" s="29" t="n">
        <f aca="false" t="array" ref="S103:S103">ROUND(IF(E103="Normal",J103*INDEX(Zones!$O$6:$O$35,MATCH(F103,Zones!$A$6:$A$35,0)),IF(E103="Boss",((Paramètres!$B$41-1)*Paramètres!$B$39+Paramètres!$B$42)*INDEX(Zones!$O$6:$O$35,MATCH(F103,Zones!$A$6:$A$35,0))+INDEX(Zones!$R$6:$R$35,MATCH(F103,Zones!$A$6:$A$35,0)),INDEX(Zones!$R$6:$R$35,MATCH(F103,Zones!$A$6:$A$35,0))))*ROUND(Paramètres!$B$53*B103^Paramètres!$B$54,0),0)</f>
        <v>14813</v>
      </c>
      <c r="T103" s="22" t="str">
        <f aca="false">IF(E103="Boss",G103,"—")</f>
        <v>—</v>
      </c>
      <c r="U103" s="37" t="n">
        <f aca="false">IF(E103="Dragon",0,(J103-IF(E103="Boss",1,0))*AVERAGEIFS(Monstres!$AL$7:$AL$98,Monstres!$B$7:$B$98,F103,Monstres!$G$7:$G$98,"Non"))</f>
        <v>0.54</v>
      </c>
      <c r="V103" s="74" t="n">
        <f aca="false">IF(E103="Boss",Butin!$E$10,IF(E103="Dragon",Butin!$E$11,0))</f>
        <v>0</v>
      </c>
      <c r="W103" s="37" t="n">
        <f aca="false">U103+V103</f>
        <v>0.54</v>
      </c>
      <c r="X103" s="77" t="n">
        <f aca="false">U103*INDEX(Butin!$E$15:$K$24,MATCH($A103,Éléments!$C$5:$C$14,1),1)+V103*IF(E103="Boss",INDEX(Butin!$E$28:$K$37,MATCH($A103,Éléments!$C$5:$C$14,1),1),IF(E103="Dragon",INDEX(Butin!$E$41:$K$50,MATCH($A103,Éléments!$C$5:$C$14,1),1),0))</f>
        <v>0.0486</v>
      </c>
      <c r="Y103" s="77" t="n">
        <f aca="false">U103*INDEX(Butin!$E$15:$K$24,MATCH($A103,Éléments!$C$5:$C$14,1),2)+V103*IF(E103="Boss",INDEX(Butin!$E$28:$K$37,MATCH($A103,Éléments!$C$5:$C$14,1),2),IF(E103="Dragon",INDEX(Butin!$E$41:$K$50,MATCH($A103,Éléments!$C$5:$C$14,1),2),0))</f>
        <v>0.1026</v>
      </c>
      <c r="Z103" s="77" t="n">
        <f aca="false">U103*INDEX(Butin!$E$15:$K$24,MATCH($A103,Éléments!$C$5:$C$14,1),3)+V103*IF(E103="Boss",INDEX(Butin!$E$28:$K$37,MATCH($A103,Éléments!$C$5:$C$14,1),3),IF(E103="Dragon",INDEX(Butin!$E$41:$K$50,MATCH($A103,Éléments!$C$5:$C$14,1),3),0))</f>
        <v>0.1458</v>
      </c>
      <c r="AA103" s="77" t="n">
        <f aca="false">U103*INDEX(Butin!$E$15:$K$24,MATCH($A103,Éléments!$C$5:$C$14,1),4)+V103*IF(E103="Boss",INDEX(Butin!$E$28:$K$37,MATCH($A103,Éléments!$C$5:$C$14,1),4),IF(E103="Dragon",INDEX(Butin!$E$41:$K$50,MATCH($A103,Éléments!$C$5:$C$14,1),4),0))</f>
        <v>0.1296</v>
      </c>
      <c r="AB103" s="77" t="n">
        <f aca="false">U103*INDEX(Butin!$E$15:$K$24,MATCH($A103,Éléments!$C$5:$C$14,1),5)+V103*IF(E103="Boss",INDEX(Butin!$E$28:$K$37,MATCH($A103,Éléments!$C$5:$C$14,1),5),IF(E103="Dragon",INDEX(Butin!$E$41:$K$50,MATCH($A103,Éléments!$C$5:$C$14,1),5),0))</f>
        <v>0.0783</v>
      </c>
      <c r="AC103" s="77" t="n">
        <f aca="false">U103*INDEX(Butin!$E$15:$K$24,MATCH($A103,Éléments!$C$5:$C$14,1),6)+V103*IF(E103="Boss",INDEX(Butin!$E$28:$K$37,MATCH($A103,Éléments!$C$5:$C$14,1),6),IF(E103="Dragon",INDEX(Butin!$E$41:$K$50,MATCH($A103,Éléments!$C$5:$C$14,1),6),0))</f>
        <v>0.03132</v>
      </c>
      <c r="AD103" s="77" t="n">
        <f aca="false">U103*INDEX(Butin!$E$15:$K$24,MATCH($A103,Éléments!$C$5:$C$14,1),7)+V103*IF(E103="Boss",INDEX(Butin!$E$28:$K$37,MATCH($A103,Éléments!$C$5:$C$14,1),7),IF(E103="Dragon",INDEX(Butin!$E$41:$K$50,MATCH($A103,Éléments!$C$5:$C$14,1),7),0))</f>
        <v>0.00378</v>
      </c>
    </row>
    <row r="104" customFormat="false" ht="15.75" hidden="false" customHeight="true" outlineLevel="0" collapsed="false">
      <c r="A104" s="71" t="n">
        <v>99</v>
      </c>
      <c r="B104" s="23" t="n">
        <f aca="false">A104</f>
        <v>99</v>
      </c>
      <c r="C104" s="23" t="str">
        <f aca="false" t="array" ref="C104:C104">INDEX(Éléments!$B$5:$B$14,MATCH(A104,Éléments!$C$5:$C$14,1))</f>
        <v>Palais démoniaque</v>
      </c>
      <c r="D104" s="49" t="str">
        <f aca="false" t="array" ref="D104:D104">INDEX(Éléments!$A$5:$A$14,MATCH(A104,Éléments!$C$5:$C$14,1))</f>
        <v>Ombre</v>
      </c>
      <c r="E104" s="23" t="str">
        <f aca="false">IF(MOD(A104,5)=0,"Boss",IF(MOD(A104,10)=9,"Dragon","Normal"))</f>
        <v>Dragon</v>
      </c>
      <c r="F104" s="23" t="n">
        <f aca="false">IF(E104="Normal",5*ROUNDUP(A104/5,0),A104)</f>
        <v>99</v>
      </c>
      <c r="G104" s="22" t="str">
        <f aca="false" t="array" ref="G104:G104">INDEX(Zones!$B$6:$B$35,MATCH(F104,Zones!$A$6:$A$35,0))</f>
        <v>Tannière du dragon (99)</v>
      </c>
      <c r="H104" s="22" t="str">
        <f aca="false" t="array" ref="H104:H104">IF(E104="Normal","—",INDEX(Zones!$L$6:$L$35,MATCH(F104,Zones!$A$6:$A$35,0)))</f>
        <v>Dragon (Ombre)</v>
      </c>
      <c r="I104" s="23" t="n">
        <f aca="false">IF(E104="Normal",Paramètres!$B$40,IF(E104="Boss",Paramètres!$B$41,1))</f>
        <v>1</v>
      </c>
      <c r="J104" s="23" t="n">
        <f aca="false">IF(E104="Normal",Paramètres!$B$40*Paramètres!$B$39,IF(E104="Boss",(Paramètres!$B$41-1)*Paramètres!$B$39+Paramètres!$B$42+1,1))</f>
        <v>1</v>
      </c>
      <c r="K104" s="33" t="n">
        <f aca="false" t="array" ref="K104:K104">IF(E104="Normal",Paramètres!$B$40*Paramètres!$B$39*(INDEX(Zones!$M$6:$M$35,MATCH(F104,Zones!$A$6:$A$35,0))*(1-Paramètres!$B$46)),IF(E104="Boss",((Paramètres!$B$41-1)*Paramètres!$B$39+Paramètres!$B$42)*(INDEX(Zones!$M$6:$M$35,MATCH(F104,Zones!$A$6:$A$35,0))*(1-Paramètres!$B$46))+INDEX(Zones!$P$6:$P$35,MATCH(F104,Zones!$A$6:$A$35,0)),INDEX(Zones!$P$6:$P$35,MATCH(F104,Zones!$A$6:$A$35,0))))</f>
        <v>20</v>
      </c>
      <c r="L104" s="27" t="n">
        <f aca="false">K104*Paramètres!$B$45+I104*Paramètres!$B$47</f>
        <v>104</v>
      </c>
      <c r="M104" s="30" t="n">
        <f aca="false" t="array" ref="M104:M104">IF(E104="Dragon",0,(INDEX(Zones!$N$6:$N$35,MATCH(F104,Zones!$A$6:$A$35,0))*Paramètres!$B$34*(INDEX(Zones!$M$6:$M$35,MATCH(F104,Zones!$A$6:$A$35,0))*(1-Paramètres!$B$46))*Paramètres!$B$39*(Paramètres!$B$39+1)/2))</f>
        <v>0</v>
      </c>
      <c r="N104" s="30" t="n">
        <f aca="false" t="array" ref="N104:N104">IF(E104="Normal",0,IF(E104="Dragon",INDEX(Zones!$Q$6:$Q$35,MATCH(F104,Zones!$A$6:$A$35,0))*Paramètres!$B$34*INDEX(Zones!$P$6:$P$35,MATCH(F104,Zones!$A$6:$A$35,0)),INDEX(Zones!$Q$6:$Q$35,MATCH(F104,Zones!$A$6:$A$35,0))*Paramètres!$B$34*(INDEX(Zones!$P$6:$P$35,MATCH(F104,Zones!$A$6:$A$35,0))+Paramètres!$B$42*(INDEX(Zones!$M$6:$M$35,MATCH(F104,Zones!$A$6:$A$35,0))*(1-Paramètres!$B$46)))+INDEX(Zones!$N$6:$N$35,MATCH(F104,Zones!$A$6:$A$35,0))*Paramètres!$B$34*(INDEX(Zones!$M$6:$M$35,MATCH(F104,Zones!$A$6:$A$35,0))*(1-Paramètres!$B$46))*(Paramètres!$B$42*(Paramètres!$B$42+1)/2)))</f>
        <v>0.51</v>
      </c>
      <c r="O104" s="75" t="n">
        <f aca="false">MAX(M104,N104)</f>
        <v>0.51</v>
      </c>
      <c r="P104" s="36" t="n">
        <f aca="false">IF(E104="Normal",M104*Paramètres!$B$40,IF(E104="Boss",M104*(Paramètres!$B$41-1)+N104,N104))</f>
        <v>0.51</v>
      </c>
      <c r="Q104" s="76" t="str">
        <f aca="false">IF(O104&gt;Paramètres!$B$37,"Trop dur","OK")</f>
        <v>OK</v>
      </c>
      <c r="R104" s="29" t="n">
        <f aca="false" t="array" ref="R104:R104">ROUND(IF(E104="Normal",J104*INDEX(Zones!$O$6:$O$35,MATCH(F104,Zones!$A$6:$A$35,0)),IF(E104="Boss",((Paramètres!$B$41-1)*Paramètres!$B$39+Paramètres!$B$42)*INDEX(Zones!$O$6:$O$35,MATCH(F104,Zones!$A$6:$A$35,0))+INDEX(Zones!$R$6:$R$35,MATCH(F104,Zones!$A$6:$A$35,0)),INDEX(Zones!$R$6:$R$35,MATCH(F104,Zones!$A$6:$A$35,0))))*ROUND(Paramètres!$B$49*B104^Paramètres!$B$50,0),0)</f>
        <v>22488</v>
      </c>
      <c r="S104" s="29" t="n">
        <f aca="false" t="array" ref="S104:S104">ROUND(IF(E104="Normal",J104*INDEX(Zones!$O$6:$O$35,MATCH(F104,Zones!$A$6:$A$35,0)),IF(E104="Boss",((Paramètres!$B$41-1)*Paramètres!$B$39+Paramètres!$B$42)*INDEX(Zones!$O$6:$O$35,MATCH(F104,Zones!$A$6:$A$35,0))+INDEX(Zones!$R$6:$R$35,MATCH(F104,Zones!$A$6:$A$35,0)),INDEX(Zones!$R$6:$R$35,MATCH(F104,Zones!$A$6:$A$35,0))))*ROUND(Paramètres!$B$53*B104^Paramètres!$B$54,0),0)</f>
        <v>17796</v>
      </c>
      <c r="T104" s="22" t="str">
        <f aca="false">IF(E104="Boss",G104,"—")</f>
        <v>—</v>
      </c>
      <c r="U104" s="37" t="n">
        <f aca="false">IF(E104="Dragon",0,(J104-IF(E104="Boss",1,0))*AVERAGEIFS(Monstres!$AL$7:$AL$98,Monstres!$B$7:$B$98,F104,Monstres!$G$7:$G$98,"Non"))</f>
        <v>0</v>
      </c>
      <c r="V104" s="74" t="n">
        <f aca="false">IF(E104="Boss",Butin!$E$10,IF(E104="Dragon",Butin!$E$11,0))</f>
        <v>2.5</v>
      </c>
      <c r="W104" s="37" t="n">
        <f aca="false">U104+V104</f>
        <v>2.5</v>
      </c>
      <c r="X104" s="77" t="n">
        <f aca="false">U104*INDEX(Butin!$E$15:$K$24,MATCH($A104,Éléments!$C$5:$C$14,1),1)+V104*IF(E104="Boss",INDEX(Butin!$E$28:$K$37,MATCH($A104,Éléments!$C$5:$C$14,1),1),IF(E104="Dragon",INDEX(Butin!$E$41:$K$50,MATCH($A104,Éléments!$C$5:$C$14,1),1),0))</f>
        <v>0</v>
      </c>
      <c r="Y104" s="77" t="n">
        <f aca="false">U104*INDEX(Butin!$E$15:$K$24,MATCH($A104,Éléments!$C$5:$C$14,1),2)+V104*IF(E104="Boss",INDEX(Butin!$E$28:$K$37,MATCH($A104,Éléments!$C$5:$C$14,1),2),IF(E104="Dragon",INDEX(Butin!$E$41:$K$50,MATCH($A104,Éléments!$C$5:$C$14,1),2),0))</f>
        <v>0.075</v>
      </c>
      <c r="Z104" s="77" t="n">
        <f aca="false">U104*INDEX(Butin!$E$15:$K$24,MATCH($A104,Éléments!$C$5:$C$14,1),3)+V104*IF(E104="Boss",INDEX(Butin!$E$28:$K$37,MATCH($A104,Éléments!$C$5:$C$14,1),3),IF(E104="Dragon",INDEX(Butin!$E$41:$K$50,MATCH($A104,Éléments!$C$5:$C$14,1),3),0))</f>
        <v>0.3</v>
      </c>
      <c r="AA104" s="77" t="n">
        <f aca="false">U104*INDEX(Butin!$E$15:$K$24,MATCH($A104,Éléments!$C$5:$C$14,1),4)+V104*IF(E104="Boss",INDEX(Butin!$E$28:$K$37,MATCH($A104,Éléments!$C$5:$C$14,1),4),IF(E104="Dragon",INDEX(Butin!$E$41:$K$50,MATCH($A104,Éléments!$C$5:$C$14,1),4),0))</f>
        <v>0.775</v>
      </c>
      <c r="AB104" s="77" t="n">
        <f aca="false">U104*INDEX(Butin!$E$15:$K$24,MATCH($A104,Éléments!$C$5:$C$14,1),5)+V104*IF(E104="Boss",INDEX(Butin!$E$28:$K$37,MATCH($A104,Éléments!$C$5:$C$14,1),5),IF(E104="Dragon",INDEX(Butin!$E$41:$K$50,MATCH($A104,Éléments!$C$5:$C$14,1),5),0))</f>
        <v>0.775</v>
      </c>
      <c r="AC104" s="77" t="n">
        <f aca="false">U104*INDEX(Butin!$E$15:$K$24,MATCH($A104,Éléments!$C$5:$C$14,1),6)+V104*IF(E104="Boss",INDEX(Butin!$E$28:$K$37,MATCH($A104,Éléments!$C$5:$C$14,1),6),IF(E104="Dragon",INDEX(Butin!$E$41:$K$50,MATCH($A104,Éléments!$C$5:$C$14,1),6),0))</f>
        <v>0.325</v>
      </c>
      <c r="AD104" s="77" t="n">
        <f aca="false">U104*INDEX(Butin!$E$15:$K$24,MATCH($A104,Éléments!$C$5:$C$14,1),7)+V104*IF(E104="Boss",INDEX(Butin!$E$28:$K$37,MATCH($A104,Éléments!$C$5:$C$14,1),7),IF(E104="Dragon",INDEX(Butin!$E$41:$K$50,MATCH($A104,Éléments!$C$5:$C$14,1),7),0))</f>
        <v>0.25</v>
      </c>
    </row>
    <row r="105" customFormat="false" ht="15.75" hidden="false" customHeight="true" outlineLevel="0" collapsed="false">
      <c r="A105" s="71" t="n">
        <v>100</v>
      </c>
      <c r="B105" s="23" t="n">
        <f aca="false">A105</f>
        <v>100</v>
      </c>
      <c r="C105" s="23" t="str">
        <f aca="false" t="array" ref="C105:C105">INDEX(Éléments!$B$5:$B$14,MATCH(A105,Éléments!$C$5:$C$14,1))</f>
        <v>Palais démoniaque</v>
      </c>
      <c r="D105" s="49" t="str">
        <f aca="false" t="array" ref="D105:D105">INDEX(Éléments!$A$5:$A$14,MATCH(A105,Éléments!$C$5:$C$14,1))</f>
        <v>Ombre</v>
      </c>
      <c r="E105" s="23" t="str">
        <f aca="false">IF(MOD(A105,5)=0,"Boss",IF(MOD(A105,10)=9,"Dragon","Normal"))</f>
        <v>Boss</v>
      </c>
      <c r="F105" s="23" t="n">
        <f aca="false">IF(E105="Normal",5*ROUNDUP(A105/5,0),A105)</f>
        <v>100</v>
      </c>
      <c r="G105" s="22" t="str">
        <f aca="false" t="array" ref="G105:G105">INDEX(Zones!$B$6:$B$35,MATCH(F105,Zones!$A$6:$A$35,0))</f>
        <v>Palais démoniaque</v>
      </c>
      <c r="H105" s="22" t="str">
        <f aca="false" t="array" ref="H105:H105">IF(E105="Normal","—",INDEX(Zones!$L$6:$L$35,MATCH(F105,Zones!$A$6:$A$35,0)))</f>
        <v>Roi démon</v>
      </c>
      <c r="I105" s="27" t="n">
        <f aca="false">IF(E105="Normal",Paramètres!$B$40,IF(E105="Boss",Paramètres!$B$41,1))</f>
        <v>5</v>
      </c>
      <c r="J105" s="27" t="n">
        <f aca="false">IF(E105="Normal",Paramètres!$B$40*Paramètres!$B$39,IF(E105="Boss",(Paramètres!$B$41-1)*Paramètres!$B$39+Paramètres!$B$42+1,1))</f>
        <v>15</v>
      </c>
      <c r="K105" s="33" t="n">
        <f aca="false" t="array" ref="K105:K105">IF(E105="Normal",Paramètres!$B$40*Paramètres!$B$39*(INDEX(Zones!$M$6:$M$35,MATCH(F105,Zones!$A$6:$A$35,0))*(1-Paramètres!$B$46)),IF(E105="Boss",((Paramètres!$B$41-1)*Paramètres!$B$39+Paramètres!$B$42)*(INDEX(Zones!$M$6:$M$35,MATCH(F105,Zones!$A$6:$A$35,0))*(1-Paramètres!$B$46))+INDEX(Zones!$P$6:$P$35,MATCH(F105,Zones!$A$6:$A$35,0)),INDEX(Zones!$P$6:$P$35,MATCH(F105,Zones!$A$6:$A$35,0))))</f>
        <v>31.00125</v>
      </c>
      <c r="L105" s="27" t="n">
        <f aca="false">K105*Paramètres!$B$45+I105*Paramètres!$B$47</f>
        <v>175.00625</v>
      </c>
      <c r="M105" s="30" t="n">
        <f aca="false" t="array" ref="M105:M105">IF(E105="Dragon",0,(INDEX(Zones!$N$6:$N$35,MATCH(F105,Zones!$A$6:$A$35,0))*Paramètres!$B$34*(INDEX(Zones!$M$6:$M$35,MATCH(F105,Zones!$A$6:$A$35,0))*(1-Paramètres!$B$46))*Paramètres!$B$39*(Paramètres!$B$39+1)/2))</f>
        <v>0.143671303125</v>
      </c>
      <c r="N105" s="30" t="n">
        <f aca="false" t="array" ref="N105:N105">IF(E105="Normal",0,IF(E105="Dragon",INDEX(Zones!$Q$6:$Q$35,MATCH(F105,Zones!$A$6:$A$35,0))*Paramètres!$B$34*INDEX(Zones!$P$6:$P$35,MATCH(F105,Zones!$A$6:$A$35,0)),INDEX(Zones!$Q$6:$Q$35,MATCH(F105,Zones!$A$6:$A$35,0))*Paramètres!$B$34*(INDEX(Zones!$P$6:$P$35,MATCH(F105,Zones!$A$6:$A$35,0))+Paramètres!$B$42*(INDEX(Zones!$M$6:$M$35,MATCH(F105,Zones!$A$6:$A$35,0))*(1-Paramètres!$B$46)))+INDEX(Zones!$N$6:$N$35,MATCH(F105,Zones!$A$6:$A$35,0))*Paramètres!$B$34*(INDEX(Zones!$M$6:$M$35,MATCH(F105,Zones!$A$6:$A$35,0))*(1-Paramètres!$B$46))*(Paramètres!$B$42*(Paramètres!$B$42+1)/2)))</f>
        <v>0.4425020578125</v>
      </c>
      <c r="O105" s="75" t="n">
        <f aca="false">MAX(M105,N105)</f>
        <v>0.4425020578125</v>
      </c>
      <c r="P105" s="36" t="n">
        <f aca="false">IF(E105="Normal",M105*Paramètres!$B$40,IF(E105="Boss",M105*(Paramètres!$B$41-1)+N105,N105))</f>
        <v>1.0171872703125</v>
      </c>
      <c r="Q105" s="76" t="str">
        <f aca="false">IF(O105&gt;Paramètres!$B$37,"Trop dur","OK")</f>
        <v>OK</v>
      </c>
      <c r="R105" s="29" t="n">
        <f aca="false" t="array" ref="R105:R105">ROUND(IF(E105="Normal",J105*INDEX(Zones!$O$6:$O$35,MATCH(F105,Zones!$A$6:$A$35,0)),IF(E105="Boss",((Paramètres!$B$41-1)*Paramètres!$B$39+Paramètres!$B$42)*INDEX(Zones!$O$6:$O$35,MATCH(F105,Zones!$A$6:$A$35,0))+INDEX(Zones!$R$6:$R$35,MATCH(F105,Zones!$A$6:$A$35,0)),INDEX(Zones!$R$6:$R$35,MATCH(F105,Zones!$A$6:$A$35,0))))*ROUND(Paramètres!$B$49*B105^Paramètres!$B$50,0),0)</f>
        <v>45054</v>
      </c>
      <c r="S105" s="29" t="n">
        <f aca="false" t="array" ref="S105:S105">ROUND(IF(E105="Normal",J105*INDEX(Zones!$O$6:$O$35,MATCH(F105,Zones!$A$6:$A$35,0)),IF(E105="Boss",((Paramètres!$B$41-1)*Paramètres!$B$39+Paramètres!$B$42)*INDEX(Zones!$O$6:$O$35,MATCH(F105,Zones!$A$6:$A$35,0))+INDEX(Zones!$R$6:$R$35,MATCH(F105,Zones!$A$6:$A$35,0)),INDEX(Zones!$R$6:$R$35,MATCH(F105,Zones!$A$6:$A$35,0))))*ROUND(Paramètres!$B$53*B105^Paramètres!$B$54,0),0)</f>
        <v>35720</v>
      </c>
      <c r="T105" s="22" t="str">
        <f aca="false">IF(E105="Boss",G105,"—")</f>
        <v>Palais démoniaque</v>
      </c>
      <c r="U105" s="37" t="n">
        <f aca="false">IF(E105="Dragon",0,(J105-IF(E105="Boss",1,0))*AVERAGEIFS(Monstres!$AL$7:$AL$98,Monstres!$B$7:$B$98,F105,Monstres!$G$7:$G$98,"Non"))</f>
        <v>0.84</v>
      </c>
      <c r="V105" s="74" t="n">
        <f aca="false">IF(E105="Boss",Butin!$E$10,IF(E105="Dragon",Butin!$E$11,0))</f>
        <v>1.4</v>
      </c>
      <c r="W105" s="37" t="n">
        <f aca="false">U105+V105</f>
        <v>2.24</v>
      </c>
      <c r="X105" s="77" t="n">
        <f aca="false">U105*INDEX(Butin!$E$15:$K$24,MATCH($A105,Éléments!$C$5:$C$14,1),1)+V105*IF(E105="Boss",INDEX(Butin!$E$28:$K$37,MATCH($A105,Éléments!$C$5:$C$14,1),1),IF(E105="Dragon",INDEX(Butin!$E$41:$K$50,MATCH($A105,Éléments!$C$5:$C$14,1),1),0))</f>
        <v>0.0756</v>
      </c>
      <c r="Y105" s="77" t="n">
        <f aca="false">U105*INDEX(Butin!$E$15:$K$24,MATCH($A105,Éléments!$C$5:$C$14,1),2)+V105*IF(E105="Boss",INDEX(Butin!$E$28:$K$37,MATCH($A105,Éléments!$C$5:$C$14,1),2),IF(E105="Dragon",INDEX(Butin!$E$41:$K$50,MATCH($A105,Éléments!$C$5:$C$14,1),2),0))</f>
        <v>0.2436</v>
      </c>
      <c r="Z105" s="77" t="n">
        <f aca="false">U105*INDEX(Butin!$E$15:$K$24,MATCH($A105,Éléments!$C$5:$C$14,1),3)+V105*IF(E105="Boss",INDEX(Butin!$E$28:$K$37,MATCH($A105,Éléments!$C$5:$C$14,1),3),IF(E105="Dragon",INDEX(Butin!$E$41:$K$50,MATCH($A105,Éléments!$C$5:$C$14,1),3),0))</f>
        <v>0.4788</v>
      </c>
      <c r="AA105" s="77" t="n">
        <f aca="false">U105*INDEX(Butin!$E$15:$K$24,MATCH($A105,Éléments!$C$5:$C$14,1),4)+V105*IF(E105="Boss",INDEX(Butin!$E$28:$K$37,MATCH($A105,Éléments!$C$5:$C$14,1),4),IF(E105="Dragon",INDEX(Butin!$E$41:$K$50,MATCH($A105,Éléments!$C$5:$C$14,1),4),0))</f>
        <v>0.6216</v>
      </c>
      <c r="AB105" s="77" t="n">
        <f aca="false">U105*INDEX(Butin!$E$15:$K$24,MATCH($A105,Éléments!$C$5:$C$14,1),5)+V105*IF(E105="Boss",INDEX(Butin!$E$28:$K$37,MATCH($A105,Éléments!$C$5:$C$14,1),5),IF(E105="Dragon",INDEX(Butin!$E$41:$K$50,MATCH($A105,Éléments!$C$5:$C$14,1),5),0))</f>
        <v>0.4998</v>
      </c>
      <c r="AC105" s="77" t="n">
        <f aca="false">U105*INDEX(Butin!$E$15:$K$24,MATCH($A105,Éléments!$C$5:$C$14,1),6)+V105*IF(E105="Boss",INDEX(Butin!$E$28:$K$37,MATCH($A105,Éléments!$C$5:$C$14,1),6),IF(E105="Dragon",INDEX(Butin!$E$41:$K$50,MATCH($A105,Éléments!$C$5:$C$14,1),6),0))</f>
        <v>0.21672</v>
      </c>
      <c r="AD105" s="77" t="n">
        <f aca="false">U105*INDEX(Butin!$E$15:$K$24,MATCH($A105,Éléments!$C$5:$C$14,1),7)+V105*IF(E105="Boss",INDEX(Butin!$E$28:$K$37,MATCH($A105,Éléments!$C$5:$C$14,1),7),IF(E105="Dragon",INDEX(Butin!$E$41:$K$50,MATCH($A105,Éléments!$C$5:$C$14,1),7),0))</f>
        <v>0.10388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6:AD105">
    <cfRule type="expression" priority="2" aboveAverage="0" equalAverage="0" bottom="0" percent="0" rank="0" text="" dxfId="27">
      <formula>$E6="Boss"</formula>
    </cfRule>
    <cfRule type="expression" priority="3" aboveAverage="0" equalAverage="0" bottom="0" percent="0" rank="0" text="" dxfId="28">
      <formula>$E6="Dragon"</formula>
    </cfRule>
  </conditionalFormatting>
  <conditionalFormatting sqref="Q6:Q105">
    <cfRule type="expression" priority="4" aboveAverage="0" equalAverage="0" bottom="0" percent="0" rank="0" text="" dxfId="29">
      <formula>Q6="Trop dur"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1" min="10" style="1" width="12"/>
    <col collapsed="false" customWidth="true" hidden="false" outlineLevel="0" max="13" min="12" style="1" width="13"/>
    <col collapsed="false" customWidth="true" hidden="false" outlineLevel="0" max="15" min="14" style="1" width="1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26" min="18" style="1" width="8.71"/>
  </cols>
  <sheetData>
    <row r="1" customFormat="false" ht="17.25" hidden="false" customHeight="true" outlineLevel="0" collapsed="false">
      <c r="A1" s="8" t="s">
        <v>531</v>
      </c>
    </row>
    <row r="2" customFormat="false" ht="15" hidden="false" customHeight="true" outlineLevel="0" collapsed="false">
      <c r="A2" s="3" t="s">
        <v>532</v>
      </c>
    </row>
    <row r="4" customFormat="false" ht="15" hidden="false" customHeight="true" outlineLevel="0" collapsed="false">
      <c r="A4" s="52" t="s">
        <v>533</v>
      </c>
    </row>
    <row r="5" customFormat="false" ht="15" hidden="false" customHeight="true" outlineLevel="0" collapsed="false">
      <c r="A5" s="50" t="s">
        <v>534</v>
      </c>
      <c r="B5" s="50"/>
      <c r="C5" s="50"/>
      <c r="D5" s="50"/>
      <c r="E5" s="78" t="n">
        <f aca="false">O113</f>
        <v>7.12641724537037</v>
      </c>
      <c r="I5" s="11" t="s">
        <v>535</v>
      </c>
    </row>
    <row r="6" customFormat="false" ht="15" hidden="false" customHeight="true" outlineLevel="0" collapsed="false">
      <c r="A6" s="53" t="s">
        <v>536</v>
      </c>
      <c r="B6" s="53"/>
      <c r="C6" s="53"/>
      <c r="D6" s="53"/>
      <c r="E6" s="78" t="n">
        <f aca="false">SUM(N14:N113)/3600</f>
        <v>3.13230381944444</v>
      </c>
    </row>
    <row r="7" customFormat="false" ht="15" hidden="false" customHeight="true" outlineLevel="0" collapsed="false">
      <c r="A7" s="53" t="s">
        <v>537</v>
      </c>
      <c r="B7" s="53"/>
      <c r="C7" s="53"/>
      <c r="D7" s="53"/>
      <c r="E7" s="78" t="n">
        <f aca="false">SUM(K14:K113)/3600</f>
        <v>3.99411342592593</v>
      </c>
    </row>
    <row r="8" customFormat="false" ht="15" hidden="false" customHeight="true" outlineLevel="0" collapsed="false">
      <c r="A8" s="53" t="s">
        <v>538</v>
      </c>
      <c r="B8" s="53"/>
      <c r="C8" s="53"/>
      <c r="D8" s="53"/>
      <c r="E8" s="79" t="n">
        <f aca="false">SUM(J14:J113)</f>
        <v>1519</v>
      </c>
    </row>
    <row r="9" customFormat="false" ht="15" hidden="false" customHeight="true" outlineLevel="0" collapsed="false">
      <c r="A9" s="53" t="s">
        <v>539</v>
      </c>
      <c r="B9" s="53"/>
      <c r="C9" s="53"/>
      <c r="D9" s="53"/>
      <c r="E9" s="59" t="n">
        <f aca="false">Q113</f>
        <v>97</v>
      </c>
    </row>
    <row r="10" customFormat="false" ht="15" hidden="false" customHeight="true" outlineLevel="0" collapsed="false">
      <c r="A10" s="53" t="s">
        <v>540</v>
      </c>
      <c r="B10" s="53"/>
      <c r="C10" s="53"/>
      <c r="D10" s="53"/>
      <c r="E10" s="79" t="n">
        <f aca="false">P113</f>
        <v>2490391.73333333</v>
      </c>
    </row>
    <row r="11" customFormat="false" ht="15" hidden="false" customHeight="true" outlineLevel="0" collapsed="false">
      <c r="A11" s="50" t="s">
        <v>541</v>
      </c>
      <c r="B11" s="50"/>
      <c r="C11" s="50"/>
      <c r="D11" s="50"/>
      <c r="E11" s="80" t="str">
        <f aca="false">IF(O113&lt;=1,"OUI : trop facile","NON : minimum "&amp;TEXT(SUM(N14:N113)/3600,"0.0")&amp;" h même sans farm")</f>
        <v>NON : minimum 3.1 h même sans farm</v>
      </c>
      <c r="F11" s="80"/>
      <c r="G11" s="80"/>
      <c r="H11" s="80"/>
    </row>
    <row r="13" customFormat="false" ht="57.75" hidden="false" customHeight="true" outlineLevel="0" collapsed="false">
      <c r="A13" s="12" t="s">
        <v>422</v>
      </c>
      <c r="B13" s="12" t="s">
        <v>542</v>
      </c>
      <c r="C13" s="12" t="s">
        <v>543</v>
      </c>
      <c r="D13" s="12" t="s">
        <v>544</v>
      </c>
      <c r="E13" s="12" t="s">
        <v>545</v>
      </c>
      <c r="F13" s="12" t="s">
        <v>546</v>
      </c>
      <c r="G13" s="12" t="s">
        <v>547</v>
      </c>
      <c r="H13" s="12" t="s">
        <v>548</v>
      </c>
      <c r="I13" s="12" t="s">
        <v>549</v>
      </c>
      <c r="J13" s="12" t="s">
        <v>550</v>
      </c>
      <c r="K13" s="12" t="s">
        <v>551</v>
      </c>
      <c r="L13" s="12" t="s">
        <v>525</v>
      </c>
      <c r="M13" s="12" t="s">
        <v>552</v>
      </c>
      <c r="N13" s="12" t="s">
        <v>553</v>
      </c>
      <c r="O13" s="12" t="s">
        <v>554</v>
      </c>
      <c r="P13" s="12" t="s">
        <v>540</v>
      </c>
      <c r="Q13" s="12" t="s">
        <v>555</v>
      </c>
    </row>
    <row r="14" customFormat="false" ht="15" hidden="false" customHeight="true" outlineLevel="0" collapsed="false">
      <c r="A14" s="71" t="n">
        <v>1</v>
      </c>
      <c r="B14" s="23" t="n">
        <f aca="false">MAX(1,A14-Paramètres!$B$61)</f>
        <v>1</v>
      </c>
      <c r="C14" s="29" t="n">
        <v>0</v>
      </c>
      <c r="D14" s="23" t="n">
        <f aca="false">MATCH(C14,Récompenses!$F$6:$F$105,1)</f>
        <v>1</v>
      </c>
      <c r="E14" s="29" t="n">
        <f aca="false" t="array" ref="E14:E14">INDEX(Récompenses!$F$6:$F$105,B14)</f>
        <v>0</v>
      </c>
      <c r="F14" s="29" t="n">
        <f aca="false">MAX(0,E14-C14)</f>
        <v>0</v>
      </c>
      <c r="G14" s="23" t="n">
        <f aca="false">MAX(5,5*INT((A14-1)/5))</f>
        <v>5</v>
      </c>
      <c r="H14" s="33" t="n">
        <f aca="false">IF(A14&lt;=5,MAX(1,A14-1),G14+Paramètres!$B$43/2)</f>
        <v>1</v>
      </c>
      <c r="I14" s="81" t="n">
        <f aca="false" t="array" ref="I14:I14">INDEX(Zones!$O$6:$O$35,MATCH(G14,Zones!$A$6:$A$35,0))*ROUND(Paramètres!$B$49*H14^Paramètres!$B$50,0)*MAX(Paramètres!$B$56,MIN(Paramètres!$B$57,1+Paramètres!$B$55*(H14-B14)))</f>
        <v>6.8</v>
      </c>
      <c r="J14" s="72" t="n">
        <f aca="false">IF(F14&gt;0,ROUNDUP(F14/I14,0),0)</f>
        <v>0</v>
      </c>
      <c r="K14" s="72" t="n">
        <f aca="false" t="array" ref="K14:K14">J14*INDEX(Zones!$V$6:$V$35,MATCH(G14,Zones!$A$6:$A$35,0))</f>
        <v>0</v>
      </c>
      <c r="L14" s="29" t="n">
        <f aca="false" t="array" ref="L14:L14">INDEX(Étages!$R$6:$R$105,A14)*MAX(Paramètres!$B$56,MIN(Paramètres!$B$57,1+Paramètres!$B$55*(A14-MAX(B14,D14))))</f>
        <v>61</v>
      </c>
      <c r="M14" s="29" t="n">
        <f aca="false">C14+J14*I14+L14</f>
        <v>61</v>
      </c>
      <c r="N14" s="27" t="n">
        <f aca="false" t="array" ref="N14:N14">INDEX(Étages!$L$6:$L$105,A14)</f>
        <v>97.5</v>
      </c>
      <c r="O14" s="82" t="n">
        <f aca="false">(K14+N14)/3600</f>
        <v>0.0270833333333333</v>
      </c>
      <c r="P14" s="29" t="n">
        <f aca="false" t="array" ref="P14:P14">J14*INDEX(Zones!$O$6:$O$35,MATCH(G14,Zones!$A$6:$A$35,0))*ROUND(Paramètres!$B$53*H14^Paramètres!$B$54,0)+INDEX(Étages!$S$6:$S$105,A14)</f>
        <v>31</v>
      </c>
      <c r="Q14" s="23" t="n">
        <f aca="false">MATCH(M14,Récompenses!$F$6:$F$105,1)</f>
        <v>1</v>
      </c>
    </row>
    <row r="15" customFormat="false" ht="15" hidden="false" customHeight="true" outlineLevel="0" collapsed="false">
      <c r="A15" s="71" t="n">
        <v>2</v>
      </c>
      <c r="B15" s="23" t="n">
        <f aca="false">MAX(1,A15-Paramètres!$B$61)</f>
        <v>1</v>
      </c>
      <c r="C15" s="29" t="n">
        <f aca="false">M14</f>
        <v>61</v>
      </c>
      <c r="D15" s="23" t="n">
        <f aca="false">MATCH(C15,Récompenses!$F$6:$F$105,1)</f>
        <v>1</v>
      </c>
      <c r="E15" s="29" t="n">
        <f aca="false" t="array" ref="E15:E15">INDEX(Récompenses!$F$6:$F$105,B15)</f>
        <v>0</v>
      </c>
      <c r="F15" s="29" t="n">
        <f aca="false">MAX(0,E15-C15)</f>
        <v>0</v>
      </c>
      <c r="G15" s="23" t="n">
        <f aca="false">MAX(5,5*INT((A15-1)/5))</f>
        <v>5</v>
      </c>
      <c r="H15" s="33" t="n">
        <f aca="false">IF(A15&lt;=5,MAX(1,A15-1),G15+Paramètres!$B$43/2)</f>
        <v>1</v>
      </c>
      <c r="I15" s="81" t="n">
        <f aca="false" t="array" ref="I15:I15">INDEX(Zones!$O$6:$O$35,MATCH(G15,Zones!$A$6:$A$35,0))*ROUND(Paramètres!$B$49*H15^Paramètres!$B$50,0)*MAX(Paramètres!$B$56,MIN(Paramètres!$B$57,1+Paramètres!$B$55*(H15-B15)))</f>
        <v>6.8</v>
      </c>
      <c r="J15" s="72" t="n">
        <f aca="false">IF(F15&gt;0,ROUNDUP(F15/I15,0),0)</f>
        <v>0</v>
      </c>
      <c r="K15" s="72" t="n">
        <f aca="false" t="array" ref="K15:K15">J15*INDEX(Zones!$V$6:$V$35,MATCH(G15,Zones!$A$6:$A$35,0))</f>
        <v>0</v>
      </c>
      <c r="L15" s="29" t="n">
        <f aca="false" t="array" ref="L15:L15">INDEX(Étages!$R$6:$R$105,A15)*MAX(Paramètres!$B$56,MIN(Paramètres!$B$57,1+Paramètres!$B$55*(A15-MAX(B15,D15))))</f>
        <v>157.3</v>
      </c>
      <c r="M15" s="29" t="n">
        <f aca="false">C15+J15*I15+L15</f>
        <v>218.3</v>
      </c>
      <c r="N15" s="27" t="n">
        <f aca="false" t="array" ref="N15:N15">INDEX(Étages!$L$6:$L$105,A15)</f>
        <v>97.5</v>
      </c>
      <c r="O15" s="82" t="n">
        <f aca="false">O14+(K15+N15)/3600</f>
        <v>0.0541666666666667</v>
      </c>
      <c r="P15" s="29" t="n">
        <f aca="false" t="array" ref="P15:P15">P14+J15*INDEX(Zones!$O$6:$O$35,MATCH(G15,Zones!$A$6:$A$35,0))*ROUND(Paramètres!$B$53*H15^Paramètres!$B$54,0)+INDEX(Étages!$S$6:$S$105,A15)</f>
        <v>113</v>
      </c>
      <c r="Q15" s="23" t="n">
        <f aca="false">MATCH(M15,Récompenses!$F$6:$F$105,1)</f>
        <v>2</v>
      </c>
    </row>
    <row r="16" customFormat="false" ht="15" hidden="false" customHeight="true" outlineLevel="0" collapsed="false">
      <c r="A16" s="71" t="n">
        <v>3</v>
      </c>
      <c r="B16" s="23" t="n">
        <f aca="false">MAX(1,A16-Paramètres!$B$61)</f>
        <v>1</v>
      </c>
      <c r="C16" s="29" t="n">
        <f aca="false">M15</f>
        <v>218.3</v>
      </c>
      <c r="D16" s="23" t="n">
        <f aca="false">MATCH(C16,Récompenses!$F$6:$F$105,1)</f>
        <v>2</v>
      </c>
      <c r="E16" s="29" t="n">
        <f aca="false" t="array" ref="E16:E16">INDEX(Récompenses!$F$6:$F$105,B16)</f>
        <v>0</v>
      </c>
      <c r="F16" s="29" t="n">
        <f aca="false">MAX(0,E16-C16)</f>
        <v>0</v>
      </c>
      <c r="G16" s="23" t="n">
        <f aca="false">MAX(5,5*INT((A16-1)/5))</f>
        <v>5</v>
      </c>
      <c r="H16" s="33" t="n">
        <f aca="false">IF(A16&lt;=5,MAX(1,A16-1),G16+Paramètres!$B$43/2)</f>
        <v>2</v>
      </c>
      <c r="I16" s="81" t="n">
        <f aca="false" t="array" ref="I16:I16">INDEX(Zones!$O$6:$O$35,MATCH(G16,Zones!$A$6:$A$35,0))*ROUND(Paramètres!$B$49*H16^Paramètres!$B$50,0)*MAX(Paramètres!$B$56,MIN(Paramètres!$B$57,1+Paramètres!$B$55*(H16-B16)))</f>
        <v>17.4533333333333</v>
      </c>
      <c r="J16" s="72" t="n">
        <f aca="false">IF(F16&gt;0,ROUNDUP(F16/I16,0),0)</f>
        <v>0</v>
      </c>
      <c r="K16" s="72" t="n">
        <f aca="false" t="array" ref="K16:K16">J16*INDEX(Zones!$V$6:$V$35,MATCH(G16,Zones!$A$6:$A$35,0))</f>
        <v>0</v>
      </c>
      <c r="L16" s="29" t="n">
        <f aca="false" t="array" ref="L16:L16">INDEX(Étages!$R$6:$R$105,A16)*MAX(Paramètres!$B$56,MIN(Paramètres!$B$57,1+Paramètres!$B$55*(A16-MAX(B16,D16))))</f>
        <v>269.5</v>
      </c>
      <c r="M16" s="29" t="n">
        <f aca="false">C16+J16*I16+L16</f>
        <v>487.8</v>
      </c>
      <c r="N16" s="27" t="n">
        <f aca="false" t="array" ref="N16:N16">INDEX(Étages!$L$6:$L$105,A16)</f>
        <v>97.5</v>
      </c>
      <c r="O16" s="82" t="n">
        <f aca="false">O15+(K16+N16)/3600</f>
        <v>0.08125</v>
      </c>
      <c r="P16" s="29" t="n">
        <f aca="false" t="array" ref="P16:P16">P15+J16*INDEX(Zones!$O$6:$O$35,MATCH(G16,Zones!$A$6:$A$35,0))*ROUND(Paramètres!$B$53*H16^Paramètres!$B$54,0)+INDEX(Étages!$S$6:$S$105,A16)</f>
        <v>246</v>
      </c>
      <c r="Q16" s="23" t="n">
        <f aca="false">MATCH(M16,Récompenses!$F$6:$F$105,1)</f>
        <v>3</v>
      </c>
    </row>
    <row r="17" customFormat="false" ht="15" hidden="false" customHeight="true" outlineLevel="0" collapsed="false">
      <c r="A17" s="71" t="n">
        <v>4</v>
      </c>
      <c r="B17" s="23" t="n">
        <f aca="false">MAX(1,A17-Paramètres!$B$61)</f>
        <v>1</v>
      </c>
      <c r="C17" s="29" t="n">
        <f aca="false">M16</f>
        <v>487.8</v>
      </c>
      <c r="D17" s="23" t="n">
        <f aca="false">MATCH(C17,Récompenses!$F$6:$F$105,1)</f>
        <v>3</v>
      </c>
      <c r="E17" s="29" t="n">
        <f aca="false" t="array" ref="E17:E17">INDEX(Récompenses!$F$6:$F$105,B17)</f>
        <v>0</v>
      </c>
      <c r="F17" s="29" t="n">
        <f aca="false">MAX(0,E17-C17)</f>
        <v>0</v>
      </c>
      <c r="G17" s="23" t="n">
        <f aca="false">MAX(5,5*INT((A17-1)/5))</f>
        <v>5</v>
      </c>
      <c r="H17" s="33" t="n">
        <f aca="false">IF(A17&lt;=5,MAX(1,A17-1),G17+Paramètres!$B$43/2)</f>
        <v>3</v>
      </c>
      <c r="I17" s="81" t="n">
        <f aca="false" t="array" ref="I17:I17">INDEX(Zones!$O$6:$O$35,MATCH(G17,Zones!$A$6:$A$35,0))*ROUND(Paramètres!$B$49*H17^Paramètres!$B$50,0)*MAX(Paramètres!$B$56,MIN(Paramètres!$B$57,1+Paramètres!$B$55*(H17-B17)))</f>
        <v>32.64</v>
      </c>
      <c r="J17" s="72" t="n">
        <f aca="false">IF(F17&gt;0,ROUNDUP(F17/I17,0),0)</f>
        <v>0</v>
      </c>
      <c r="K17" s="72" t="n">
        <f aca="false" t="array" ref="K17:K17">J17*INDEX(Zones!$V$6:$V$35,MATCH(G17,Zones!$A$6:$A$35,0))</f>
        <v>0</v>
      </c>
      <c r="L17" s="29" t="n">
        <f aca="false" t="array" ref="L17:L17">INDEX(Étages!$R$6:$R$105,A17)*MAX(Paramètres!$B$56,MIN(Paramètres!$B$57,1+Paramètres!$B$55*(A17-MAX(B17,D17))))</f>
        <v>381.7</v>
      </c>
      <c r="M17" s="29" t="n">
        <f aca="false">C17+J17*I17+L17</f>
        <v>869.5</v>
      </c>
      <c r="N17" s="27" t="n">
        <f aca="false" t="array" ref="N17:N17">INDEX(Étages!$L$6:$L$105,A17)</f>
        <v>97.5</v>
      </c>
      <c r="O17" s="82" t="n">
        <f aca="false">O16+(K17+N17)/3600</f>
        <v>0.108333333333333</v>
      </c>
      <c r="P17" s="29" t="n">
        <f aca="false" t="array" ref="P17:P17">P16+J17*INDEX(Zones!$O$6:$O$35,MATCH(G17,Zones!$A$6:$A$35,0))*ROUND(Paramètres!$B$53*H17^Paramètres!$B$54,0)+INDEX(Étages!$S$6:$S$105,A17)</f>
        <v>440</v>
      </c>
      <c r="Q17" s="23" t="n">
        <f aca="false">MATCH(M17,Récompenses!$F$6:$F$105,1)</f>
        <v>4</v>
      </c>
    </row>
    <row r="18" customFormat="false" ht="15" hidden="false" customHeight="true" outlineLevel="0" collapsed="false">
      <c r="A18" s="71" t="n">
        <v>5</v>
      </c>
      <c r="B18" s="23" t="n">
        <f aca="false">MAX(1,A18-Paramètres!$B$61)</f>
        <v>2</v>
      </c>
      <c r="C18" s="29" t="n">
        <f aca="false">M17</f>
        <v>869.5</v>
      </c>
      <c r="D18" s="23" t="n">
        <f aca="false">MATCH(C18,Récompenses!$F$6:$F$105,1)</f>
        <v>4</v>
      </c>
      <c r="E18" s="29" t="n">
        <f aca="false" t="array" ref="E18:E18">INDEX(Récompenses!$F$6:$F$105,B18)</f>
        <v>64</v>
      </c>
      <c r="F18" s="29" t="n">
        <f aca="false">MAX(0,E18-C18)</f>
        <v>0</v>
      </c>
      <c r="G18" s="23" t="n">
        <f aca="false">MAX(5,5*INT((A18-1)/5))</f>
        <v>5</v>
      </c>
      <c r="H18" s="33" t="n">
        <f aca="false">IF(A18&lt;=5,MAX(1,A18-1),G18+Paramètres!$B$43/2)</f>
        <v>4</v>
      </c>
      <c r="I18" s="81" t="n">
        <f aca="false" t="array" ref="I18:I18">INDEX(Zones!$O$6:$O$35,MATCH(G18,Zones!$A$6:$A$35,0))*ROUND(Paramètres!$B$49*H18^Paramètres!$B$50,0)*MAX(Paramètres!$B$56,MIN(Paramètres!$B$57,1+Paramètres!$B$55*(H18-B18)))</f>
        <v>46.24</v>
      </c>
      <c r="J18" s="72" t="n">
        <f aca="false">IF(F18&gt;0,ROUNDUP(F18/I18,0),0)</f>
        <v>0</v>
      </c>
      <c r="K18" s="72" t="n">
        <f aca="false" t="array" ref="K18:K18">J18*INDEX(Zones!$V$6:$V$35,MATCH(G18,Zones!$A$6:$A$35,0))</f>
        <v>0</v>
      </c>
      <c r="L18" s="29" t="n">
        <f aca="false" t="array" ref="L18:L18">INDEX(Étages!$R$6:$R$105,A18)*MAX(Paramètres!$B$56,MIN(Paramètres!$B$57,1+Paramètres!$B$55*(A18-MAX(B18,D18))))</f>
        <v>1181.4</v>
      </c>
      <c r="M18" s="29" t="n">
        <f aca="false">C18+J18*I18+L18</f>
        <v>2050.9</v>
      </c>
      <c r="N18" s="27" t="n">
        <f aca="false" t="array" ref="N18:N18">INDEX(Étages!$L$6:$L$105,A18)</f>
        <v>243</v>
      </c>
      <c r="O18" s="82" t="n">
        <f aca="false">O17+(K18+N18)/3600</f>
        <v>0.175833333333333</v>
      </c>
      <c r="P18" s="29" t="n">
        <f aca="false" t="array" ref="P18:P18">P17+J18*INDEX(Zones!$O$6:$O$35,MATCH(G18,Zones!$A$6:$A$35,0))*ROUND(Paramètres!$B$53*H18^Paramètres!$B$54,0)+INDEX(Étages!$S$6:$S$105,A18)</f>
        <v>1061</v>
      </c>
      <c r="Q18" s="23" t="n">
        <f aca="false">MATCH(M18,Récompenses!$F$6:$F$105,1)</f>
        <v>6</v>
      </c>
    </row>
    <row r="19" customFormat="false" ht="15" hidden="false" customHeight="true" outlineLevel="0" collapsed="false">
      <c r="A19" s="71" t="n">
        <v>6</v>
      </c>
      <c r="B19" s="23" t="n">
        <f aca="false">MAX(1,A19-Paramètres!$B$61)</f>
        <v>3</v>
      </c>
      <c r="C19" s="29" t="n">
        <f aca="false">M18</f>
        <v>2050.9</v>
      </c>
      <c r="D19" s="23" t="n">
        <f aca="false">MATCH(C19,Récompenses!$F$6:$F$105,1)</f>
        <v>6</v>
      </c>
      <c r="E19" s="29" t="n">
        <f aca="false" t="array" ref="E19:E19">INDEX(Récompenses!$F$6:$F$105,B19)</f>
        <v>224</v>
      </c>
      <c r="F19" s="29" t="n">
        <f aca="false">MAX(0,E19-C19)</f>
        <v>0</v>
      </c>
      <c r="G19" s="23" t="n">
        <f aca="false">MAX(5,5*INT((A19-1)/5))</f>
        <v>5</v>
      </c>
      <c r="H19" s="33" t="n">
        <f aca="false">IF(A19&lt;=5,MAX(1,A19-1),G19+Paramètres!$B$43/2)</f>
        <v>10</v>
      </c>
      <c r="I19" s="81" t="n">
        <f aca="false" t="array" ref="I19:I19">INDEX(Zones!$O$6:$O$35,MATCH(G19,Zones!$A$6:$A$35,0))*ROUND(Paramètres!$B$49*H19^Paramètres!$B$50,0)*MAX(Paramètres!$B$56,MIN(Paramètres!$B$57,1+Paramètres!$B$55*(H19-B19)))</f>
        <v>181.9</v>
      </c>
      <c r="J19" s="72" t="n">
        <f aca="false">IF(F19&gt;0,ROUNDUP(F19/I19,0),0)</f>
        <v>0</v>
      </c>
      <c r="K19" s="72" t="n">
        <f aca="false" t="array" ref="K19:K19">J19*INDEX(Zones!$V$6:$V$35,MATCH(G19,Zones!$A$6:$A$35,0))</f>
        <v>0</v>
      </c>
      <c r="L19" s="29" t="n">
        <f aca="false" t="array" ref="L19:L19">INDEX(Étages!$R$6:$R$105,A19)*MAX(Paramètres!$B$56,MIN(Paramètres!$B$57,1+Paramètres!$B$55*(A19-MAX(B19,D19))))</f>
        <v>466</v>
      </c>
      <c r="M19" s="29" t="n">
        <f aca="false">C19+J19*I19+L19</f>
        <v>2516.9</v>
      </c>
      <c r="N19" s="27" t="n">
        <f aca="false" t="array" ref="N19:N19">INDEX(Étages!$L$6:$L$105,A19)</f>
        <v>68.784375</v>
      </c>
      <c r="O19" s="82" t="n">
        <f aca="false">O18+(K19+N19)/3600</f>
        <v>0.194940104166667</v>
      </c>
      <c r="P19" s="29" t="n">
        <f aca="false" t="array" ref="P19:P19">P18+J19*INDEX(Zones!$O$6:$O$35,MATCH(G19,Zones!$A$6:$A$35,0))*ROUND(Paramètres!$B$53*H19^Paramètres!$B$54,0)+INDEX(Étages!$S$6:$S$105,A19)</f>
        <v>1344</v>
      </c>
      <c r="Q19" s="23" t="n">
        <f aca="false">MATCH(M19,Récompenses!$F$6:$F$105,1)</f>
        <v>7</v>
      </c>
    </row>
    <row r="20" customFormat="false" ht="15" hidden="false" customHeight="true" outlineLevel="0" collapsed="false">
      <c r="A20" s="71" t="n">
        <v>7</v>
      </c>
      <c r="B20" s="23" t="n">
        <f aca="false">MAX(1,A20-Paramètres!$B$61)</f>
        <v>4</v>
      </c>
      <c r="C20" s="29" t="n">
        <f aca="false">M19</f>
        <v>2516.9</v>
      </c>
      <c r="D20" s="23" t="n">
        <f aca="false">MATCH(C20,Récompenses!$F$6:$F$105,1)</f>
        <v>7</v>
      </c>
      <c r="E20" s="29" t="n">
        <f aca="false" t="array" ref="E20:E20">INDEX(Récompenses!$F$6:$F$105,B20)</f>
        <v>514</v>
      </c>
      <c r="F20" s="29" t="n">
        <f aca="false">MAX(0,E20-C20)</f>
        <v>0</v>
      </c>
      <c r="G20" s="23" t="n">
        <f aca="false">MAX(5,5*INT((A20-1)/5))</f>
        <v>5</v>
      </c>
      <c r="H20" s="33" t="n">
        <f aca="false">IF(A20&lt;=5,MAX(1,A20-1),G20+Paramètres!$B$43/2)</f>
        <v>10</v>
      </c>
      <c r="I20" s="81" t="n">
        <f aca="false" t="array" ref="I20:I20">INDEX(Zones!$O$6:$O$35,MATCH(G20,Zones!$A$6:$A$35,0))*ROUND(Paramètres!$B$49*H20^Paramètres!$B$50,0)*MAX(Paramètres!$B$56,MIN(Paramètres!$B$57,1+Paramètres!$B$55*(H20-B20)))</f>
        <v>181.9</v>
      </c>
      <c r="J20" s="72" t="n">
        <f aca="false">IF(F20&gt;0,ROUNDUP(F20/I20,0),0)</f>
        <v>0</v>
      </c>
      <c r="K20" s="72" t="n">
        <f aca="false" t="array" ref="K20:K20">J20*INDEX(Zones!$V$6:$V$35,MATCH(G20,Zones!$A$6:$A$35,0))</f>
        <v>0</v>
      </c>
      <c r="L20" s="29" t="n">
        <f aca="false" t="array" ref="L20:L20">INDEX(Étages!$R$6:$R$105,A20)*MAX(Paramètres!$B$56,MIN(Paramètres!$B$57,1+Paramètres!$B$55*(A20-MAX(B20,D20))))</f>
        <v>566</v>
      </c>
      <c r="M20" s="29" t="n">
        <f aca="false">C20+J20*I20+L20</f>
        <v>3082.9</v>
      </c>
      <c r="N20" s="27" t="n">
        <f aca="false" t="array" ref="N20:N20">INDEX(Étages!$L$6:$L$105,A20)</f>
        <v>68.784375</v>
      </c>
      <c r="O20" s="82" t="n">
        <f aca="false">O19+(K20+N20)/3600</f>
        <v>0.214046875</v>
      </c>
      <c r="P20" s="29" t="n">
        <f aca="false" t="array" ref="P20:P20">P19+J20*INDEX(Zones!$O$6:$O$35,MATCH(G20,Zones!$A$6:$A$35,0))*ROUND(Paramètres!$B$53*H20^Paramètres!$B$54,0)+INDEX(Étages!$S$6:$S$105,A20)</f>
        <v>1685</v>
      </c>
      <c r="Q20" s="23" t="n">
        <f aca="false">MATCH(M20,Récompenses!$F$6:$F$105,1)</f>
        <v>7</v>
      </c>
    </row>
    <row r="21" customFormat="false" ht="15.75" hidden="false" customHeight="true" outlineLevel="0" collapsed="false">
      <c r="A21" s="71" t="n">
        <v>8</v>
      </c>
      <c r="B21" s="23" t="n">
        <f aca="false">MAX(1,A21-Paramètres!$B$61)</f>
        <v>5</v>
      </c>
      <c r="C21" s="29" t="n">
        <f aca="false">M20</f>
        <v>3082.9</v>
      </c>
      <c r="D21" s="23" t="n">
        <f aca="false">MATCH(C21,Récompenses!$F$6:$F$105,1)</f>
        <v>7</v>
      </c>
      <c r="E21" s="29" t="n">
        <f aca="false" t="array" ref="E21:E21">INDEX(Récompenses!$F$6:$F$105,B21)</f>
        <v>949</v>
      </c>
      <c r="F21" s="29" t="n">
        <f aca="false">MAX(0,E21-C21)</f>
        <v>0</v>
      </c>
      <c r="G21" s="23" t="n">
        <f aca="false">MAX(5,5*INT((A21-1)/5))</f>
        <v>5</v>
      </c>
      <c r="H21" s="33" t="n">
        <f aca="false">IF(A21&lt;=5,MAX(1,A21-1),G21+Paramètres!$B$43/2)</f>
        <v>10</v>
      </c>
      <c r="I21" s="81" t="n">
        <f aca="false" t="array" ref="I21:I21">INDEX(Zones!$O$6:$O$35,MATCH(G21,Zones!$A$6:$A$35,0))*ROUND(Paramètres!$B$49*H21^Paramètres!$B$50,0)*MAX(Paramètres!$B$56,MIN(Paramètres!$B$57,1+Paramètres!$B$55*(H21-B21)))</f>
        <v>181.9</v>
      </c>
      <c r="J21" s="72" t="n">
        <f aca="false">IF(F21&gt;0,ROUNDUP(F21/I21,0),0)</f>
        <v>0</v>
      </c>
      <c r="K21" s="72" t="n">
        <f aca="false" t="array" ref="K21:K21">J21*INDEX(Zones!$V$6:$V$35,MATCH(G21,Zones!$A$6:$A$35,0))</f>
        <v>0</v>
      </c>
      <c r="L21" s="29" t="n">
        <f aca="false" t="array" ref="L21:L21">INDEX(Étages!$R$6:$R$105,A21)*MAX(Paramètres!$B$56,MIN(Paramètres!$B$57,1+Paramètres!$B$55*(A21-MAX(B21,D21))))</f>
        <v>741.4</v>
      </c>
      <c r="M21" s="29" t="n">
        <f aca="false">C21+J21*I21+L21</f>
        <v>3824.3</v>
      </c>
      <c r="N21" s="27" t="n">
        <f aca="false" t="array" ref="N21:N21">INDEX(Étages!$L$6:$L$105,A21)</f>
        <v>68.784375</v>
      </c>
      <c r="O21" s="82" t="n">
        <f aca="false">O20+(K21+N21)/3600</f>
        <v>0.233153645833333</v>
      </c>
      <c r="P21" s="29" t="n">
        <f aca="false" t="array" ref="P21:P21">P20+J21*INDEX(Zones!$O$6:$O$35,MATCH(G21,Zones!$A$6:$A$35,0))*ROUND(Paramètres!$B$53*H21^Paramètres!$B$54,0)+INDEX(Étages!$S$6:$S$105,A21)</f>
        <v>2101</v>
      </c>
      <c r="Q21" s="23" t="n">
        <f aca="false">MATCH(M21,Récompenses!$F$6:$F$105,1)</f>
        <v>8</v>
      </c>
    </row>
    <row r="22" customFormat="false" ht="15.75" hidden="false" customHeight="true" outlineLevel="0" collapsed="false">
      <c r="A22" s="71" t="n">
        <v>9</v>
      </c>
      <c r="B22" s="23" t="n">
        <f aca="false">MAX(1,A22-Paramètres!$B$61)</f>
        <v>6</v>
      </c>
      <c r="C22" s="29" t="n">
        <f aca="false">M21</f>
        <v>3824.3</v>
      </c>
      <c r="D22" s="23" t="n">
        <f aca="false">MATCH(C22,Récompenses!$F$6:$F$105,1)</f>
        <v>8</v>
      </c>
      <c r="E22" s="29" t="n">
        <f aca="false" t="array" ref="E22:E22">INDEX(Récompenses!$F$6:$F$105,B22)</f>
        <v>1557</v>
      </c>
      <c r="F22" s="29" t="n">
        <f aca="false">MAX(0,E22-C22)</f>
        <v>0</v>
      </c>
      <c r="G22" s="23" t="n">
        <f aca="false">MAX(5,5*INT((A22-1)/5))</f>
        <v>5</v>
      </c>
      <c r="H22" s="33" t="n">
        <f aca="false">IF(A22&lt;=5,MAX(1,A22-1),G22+Paramètres!$B$43/2)</f>
        <v>10</v>
      </c>
      <c r="I22" s="81" t="n">
        <f aca="false" t="array" ref="I22:I22">INDEX(Zones!$O$6:$O$35,MATCH(G22,Zones!$A$6:$A$35,0))*ROUND(Paramètres!$B$49*H22^Paramètres!$B$50,0)*MAX(Paramètres!$B$56,MIN(Paramètres!$B$57,1+Paramètres!$B$55*(H22-B22)))</f>
        <v>169.773333333333</v>
      </c>
      <c r="J22" s="72" t="n">
        <f aca="false">IF(F22&gt;0,ROUNDUP(F22/I22,0),0)</f>
        <v>0</v>
      </c>
      <c r="K22" s="72" t="n">
        <f aca="false" t="array" ref="K22:K22">J22*INDEX(Zones!$V$6:$V$35,MATCH(G22,Zones!$A$6:$A$35,0))</f>
        <v>0</v>
      </c>
      <c r="L22" s="29" t="n">
        <f aca="false" t="array" ref="L22:L22">INDEX(Étages!$R$6:$R$105,A22)*MAX(Paramètres!$B$56,MIN(Paramètres!$B$57,1+Paramètres!$B$55*(A22-MAX(B22,D22))))</f>
        <v>1240.8</v>
      </c>
      <c r="M22" s="29" t="n">
        <f aca="false">C22+J22*I22+L22</f>
        <v>5065.1</v>
      </c>
      <c r="N22" s="27" t="n">
        <f aca="false" t="array" ref="N22:N22">INDEX(Étages!$L$6:$L$105,A22)</f>
        <v>104</v>
      </c>
      <c r="O22" s="82" t="n">
        <f aca="false">O21+(K22+N22)/3600</f>
        <v>0.262042534722222</v>
      </c>
      <c r="P22" s="29" t="n">
        <f aca="false" t="array" ref="P22:P22">P21+J22*INDEX(Zones!$O$6:$O$35,MATCH(G22,Zones!$A$6:$A$35,0))*ROUND(Paramètres!$B$53*H22^Paramètres!$B$54,0)+INDEX(Étages!$S$6:$S$105,A22)</f>
        <v>2797</v>
      </c>
      <c r="Q22" s="23" t="n">
        <f aca="false">MATCH(M22,Récompenses!$F$6:$F$105,1)</f>
        <v>9</v>
      </c>
    </row>
    <row r="23" customFormat="false" ht="15.75" hidden="false" customHeight="true" outlineLevel="0" collapsed="false">
      <c r="A23" s="71" t="n">
        <v>10</v>
      </c>
      <c r="B23" s="23" t="n">
        <f aca="false">MAX(1,A23-Paramètres!$B$61)</f>
        <v>7</v>
      </c>
      <c r="C23" s="29" t="n">
        <f aca="false">M22</f>
        <v>5065.1</v>
      </c>
      <c r="D23" s="23" t="n">
        <f aca="false">MATCH(C23,Récompenses!$F$6:$F$105,1)</f>
        <v>9</v>
      </c>
      <c r="E23" s="29" t="n">
        <f aca="false" t="array" ref="E23:E23">INDEX(Récompenses!$F$6:$F$105,B23)</f>
        <v>2352</v>
      </c>
      <c r="F23" s="29" t="n">
        <f aca="false">MAX(0,E23-C23)</f>
        <v>0</v>
      </c>
      <c r="G23" s="23" t="n">
        <f aca="false">MAX(5,5*INT((A23-1)/5))</f>
        <v>5</v>
      </c>
      <c r="H23" s="33" t="n">
        <f aca="false">IF(A23&lt;=5,MAX(1,A23-1),G23+Paramètres!$B$43/2)</f>
        <v>10</v>
      </c>
      <c r="I23" s="81" t="n">
        <f aca="false" t="array" ref="I23:I23">INDEX(Zones!$O$6:$O$35,MATCH(G23,Zones!$A$6:$A$35,0))*ROUND(Paramètres!$B$49*H23^Paramètres!$B$50,0)*MAX(Paramètres!$B$56,MIN(Paramètres!$B$57,1+Paramètres!$B$55*(H23-B23)))</f>
        <v>157.646666666667</v>
      </c>
      <c r="J23" s="72" t="n">
        <f aca="false">IF(F23&gt;0,ROUNDUP(F23/I23,0),0)</f>
        <v>0</v>
      </c>
      <c r="K23" s="72" t="n">
        <f aca="false" t="array" ref="K23:K23">J23*INDEX(Zones!$V$6:$V$35,MATCH(G23,Zones!$A$6:$A$35,0))</f>
        <v>0</v>
      </c>
      <c r="L23" s="29" t="n">
        <f aca="false" t="array" ref="L23:L23">INDEX(Étages!$R$6:$R$105,A23)*MAX(Paramètres!$B$56,MIN(Paramètres!$B$57,1+Paramètres!$B$55*(A23-MAX(B23,D23))))</f>
        <v>2466.2</v>
      </c>
      <c r="M23" s="29" t="n">
        <f aca="false">C23+J23*I23+L23</f>
        <v>7531.3</v>
      </c>
      <c r="N23" s="27" t="n">
        <f aca="false" t="array" ref="N23:N23">INDEX(Étages!$L$6:$L$105,A23)</f>
        <v>177.33125</v>
      </c>
      <c r="O23" s="82" t="n">
        <f aca="false">O22+(K23+N23)/3600</f>
        <v>0.311301215277778</v>
      </c>
      <c r="P23" s="29" t="n">
        <f aca="false" t="array" ref="P23:P23">P22+J23*INDEX(Zones!$O$6:$O$35,MATCH(G23,Zones!$A$6:$A$35,0))*ROUND(Paramètres!$B$53*H23^Paramètres!$B$54,0)+INDEX(Étages!$S$6:$S$105,A23)</f>
        <v>4201</v>
      </c>
      <c r="Q23" s="23" t="n">
        <f aca="false">MATCH(M23,Récompenses!$F$6:$F$105,1)</f>
        <v>10</v>
      </c>
    </row>
    <row r="24" customFormat="false" ht="15.75" hidden="false" customHeight="true" outlineLevel="0" collapsed="false">
      <c r="A24" s="71" t="n">
        <v>11</v>
      </c>
      <c r="B24" s="23" t="n">
        <f aca="false">MAX(1,A24-Paramètres!$B$61)</f>
        <v>8</v>
      </c>
      <c r="C24" s="29" t="n">
        <f aca="false">M23</f>
        <v>7531.3</v>
      </c>
      <c r="D24" s="23" t="n">
        <f aca="false">MATCH(C24,Récompenses!$F$6:$F$105,1)</f>
        <v>10</v>
      </c>
      <c r="E24" s="29" t="n">
        <f aca="false" t="array" ref="E24:E24">INDEX(Récompenses!$F$6:$F$105,B24)</f>
        <v>3365</v>
      </c>
      <c r="F24" s="29" t="n">
        <f aca="false">MAX(0,E24-C24)</f>
        <v>0</v>
      </c>
      <c r="G24" s="23" t="n">
        <f aca="false">MAX(5,5*INT((A24-1)/5))</f>
        <v>10</v>
      </c>
      <c r="H24" s="33" t="n">
        <f aca="false">IF(A24&lt;=5,MAX(1,A24-1),G24+Paramètres!$B$43/2)</f>
        <v>15</v>
      </c>
      <c r="I24" s="81" t="n">
        <f aca="false" t="array" ref="I24:I24">INDEX(Zones!$O$6:$O$35,MATCH(G24,Zones!$A$6:$A$35,0))*ROUND(Paramètres!$B$49*H24^Paramètres!$B$50,0)*MAX(Paramètres!$B$56,MIN(Paramètres!$B$57,1+Paramètres!$B$55*(H24-B24)))</f>
        <v>245.5875</v>
      </c>
      <c r="J24" s="72" t="n">
        <f aca="false">IF(F24&gt;0,ROUNDUP(F24/I24,0),0)</f>
        <v>0</v>
      </c>
      <c r="K24" s="72" t="n">
        <f aca="false" t="array" ref="K24:K24">J24*INDEX(Zones!$V$6:$V$35,MATCH(G24,Zones!$A$6:$A$35,0))</f>
        <v>0</v>
      </c>
      <c r="L24" s="29" t="n">
        <f aca="false" t="array" ref="L24:L24">INDEX(Étages!$R$6:$R$105,A24)*MAX(Paramètres!$B$56,MIN(Paramètres!$B$57,1+Paramètres!$B$55*(A24-MAX(B24,D24))))</f>
        <v>1306.8</v>
      </c>
      <c r="M24" s="29" t="n">
        <f aca="false">C24+J24*I24+L24</f>
        <v>8838.1</v>
      </c>
      <c r="N24" s="27" t="n">
        <f aca="false" t="array" ref="N24:N24">INDEX(Étages!$L$6:$L$105,A24)</f>
        <v>83.8875</v>
      </c>
      <c r="O24" s="82" t="n">
        <f aca="false">O23+(K24+N24)/3600</f>
        <v>0.334603298611111</v>
      </c>
      <c r="P24" s="29" t="n">
        <f aca="false" t="array" ref="P24:P24">P23+J24*INDEX(Zones!$O$6:$O$35,MATCH(G24,Zones!$A$6:$A$35,0))*ROUND(Paramètres!$B$53*H24^Paramètres!$B$54,0)+INDEX(Étages!$S$6:$S$105,A24)</f>
        <v>4953</v>
      </c>
      <c r="Q24" s="23" t="n">
        <f aca="false">MATCH(M24,Récompenses!$F$6:$F$105,1)</f>
        <v>11</v>
      </c>
    </row>
    <row r="25" customFormat="false" ht="15.75" hidden="false" customHeight="true" outlineLevel="0" collapsed="false">
      <c r="A25" s="71" t="n">
        <v>12</v>
      </c>
      <c r="B25" s="23" t="n">
        <f aca="false">MAX(1,A25-Paramètres!$B$61)</f>
        <v>9</v>
      </c>
      <c r="C25" s="29" t="n">
        <f aca="false">M24</f>
        <v>8838.1</v>
      </c>
      <c r="D25" s="23" t="n">
        <f aca="false">MATCH(C25,Récompenses!$F$6:$F$105,1)</f>
        <v>11</v>
      </c>
      <c r="E25" s="29" t="n">
        <f aca="false" t="array" ref="E25:E25">INDEX(Récompenses!$F$6:$F$105,B25)</f>
        <v>4629</v>
      </c>
      <c r="F25" s="29" t="n">
        <f aca="false">MAX(0,E25-C25)</f>
        <v>0</v>
      </c>
      <c r="G25" s="23" t="n">
        <f aca="false">MAX(5,5*INT((A25-1)/5))</f>
        <v>10</v>
      </c>
      <c r="H25" s="33" t="n">
        <f aca="false">IF(A25&lt;=5,MAX(1,A25-1),G25+Paramètres!$B$43/2)</f>
        <v>15</v>
      </c>
      <c r="I25" s="81" t="n">
        <f aca="false" t="array" ref="I25:I25">INDEX(Zones!$O$6:$O$35,MATCH(G25,Zones!$A$6:$A$35,0))*ROUND(Paramètres!$B$49*H25^Paramètres!$B$50,0)*MAX(Paramètres!$B$56,MIN(Paramètres!$B$57,1+Paramètres!$B$55*(H25-B25)))</f>
        <v>245.5875</v>
      </c>
      <c r="J25" s="72" t="n">
        <f aca="false">IF(F25&gt;0,ROUNDUP(F25/I25,0),0)</f>
        <v>0</v>
      </c>
      <c r="K25" s="72" t="n">
        <f aca="false" t="array" ref="K25:K25">J25*INDEX(Zones!$V$6:$V$35,MATCH(G25,Zones!$A$6:$A$35,0))</f>
        <v>0</v>
      </c>
      <c r="L25" s="29" t="n">
        <f aca="false" t="array" ref="L25:L25">INDEX(Étages!$R$6:$R$105,A25)*MAX(Paramètres!$B$56,MIN(Paramètres!$B$57,1+Paramètres!$B$55*(A25-MAX(B25,D25))))</f>
        <v>1459.7</v>
      </c>
      <c r="M25" s="29" t="n">
        <f aca="false">C25+J25*I25+L25</f>
        <v>10297.8</v>
      </c>
      <c r="N25" s="27" t="n">
        <f aca="false" t="array" ref="N25:N25">INDEX(Étages!$L$6:$L$105,A25)</f>
        <v>83.8875</v>
      </c>
      <c r="O25" s="82" t="n">
        <f aca="false">O24+(K25+N25)/3600</f>
        <v>0.357905381944444</v>
      </c>
      <c r="P25" s="29" t="n">
        <f aca="false" t="array" ref="P25:P25">P24+J25*INDEX(Zones!$O$6:$O$35,MATCH(G25,Zones!$A$6:$A$35,0))*ROUND(Paramètres!$B$53*H25^Paramètres!$B$54,0)+INDEX(Étages!$S$6:$S$105,A25)</f>
        <v>5804</v>
      </c>
      <c r="Q25" s="23" t="n">
        <f aca="false">MATCH(M25,Récompenses!$F$6:$F$105,1)</f>
        <v>12</v>
      </c>
    </row>
    <row r="26" customFormat="false" ht="15.75" hidden="false" customHeight="true" outlineLevel="0" collapsed="false">
      <c r="A26" s="71" t="n">
        <v>13</v>
      </c>
      <c r="B26" s="23" t="n">
        <f aca="false">MAX(1,A26-Paramètres!$B$61)</f>
        <v>10</v>
      </c>
      <c r="C26" s="29" t="n">
        <f aca="false">M25</f>
        <v>10297.8</v>
      </c>
      <c r="D26" s="23" t="n">
        <f aca="false">MATCH(C26,Récompenses!$F$6:$F$105,1)</f>
        <v>12</v>
      </c>
      <c r="E26" s="29" t="n">
        <f aca="false" t="array" ref="E26:E26">INDEX(Récompenses!$F$6:$F$105,B26)</f>
        <v>6161</v>
      </c>
      <c r="F26" s="29" t="n">
        <f aca="false">MAX(0,E26-C26)</f>
        <v>0</v>
      </c>
      <c r="G26" s="23" t="n">
        <f aca="false">MAX(5,5*INT((A26-1)/5))</f>
        <v>10</v>
      </c>
      <c r="H26" s="33" t="n">
        <f aca="false">IF(A26&lt;=5,MAX(1,A26-1),G26+Paramètres!$B$43/2)</f>
        <v>15</v>
      </c>
      <c r="I26" s="81" t="n">
        <f aca="false" t="array" ref="I26:I26">INDEX(Zones!$O$6:$O$35,MATCH(G26,Zones!$A$6:$A$35,0))*ROUND(Paramètres!$B$49*H26^Paramètres!$B$50,0)*MAX(Paramètres!$B$56,MIN(Paramètres!$B$57,1+Paramètres!$B$55*(H26-B26)))</f>
        <v>245.5875</v>
      </c>
      <c r="J26" s="72" t="n">
        <f aca="false">IF(F26&gt;0,ROUNDUP(F26/I26,0),0)</f>
        <v>0</v>
      </c>
      <c r="K26" s="72" t="n">
        <f aca="false" t="array" ref="K26:K26">J26*INDEX(Zones!$V$6:$V$35,MATCH(G26,Zones!$A$6:$A$35,0))</f>
        <v>0</v>
      </c>
      <c r="L26" s="29" t="n">
        <f aca="false" t="array" ref="L26:L26">INDEX(Étages!$R$6:$R$105,A26)*MAX(Paramètres!$B$56,MIN(Paramètres!$B$57,1+Paramètres!$B$55*(A26-MAX(B26,D26))))</f>
        <v>1611.5</v>
      </c>
      <c r="M26" s="29" t="n">
        <f aca="false">C26+J26*I26+L26</f>
        <v>11909.3</v>
      </c>
      <c r="N26" s="27" t="n">
        <f aca="false" t="array" ref="N26:N26">INDEX(Étages!$L$6:$L$105,A26)</f>
        <v>83.8875</v>
      </c>
      <c r="O26" s="82" t="n">
        <f aca="false">O25+(K26+N26)/3600</f>
        <v>0.381207465277778</v>
      </c>
      <c r="P26" s="29" t="n">
        <f aca="false" t="array" ref="P26:P26">P25+J26*INDEX(Zones!$O$6:$O$35,MATCH(G26,Zones!$A$6:$A$35,0))*ROUND(Paramètres!$B$53*H26^Paramètres!$B$54,0)+INDEX(Étages!$S$6:$S$105,A26)</f>
        <v>6754</v>
      </c>
      <c r="Q26" s="23" t="n">
        <f aca="false">MATCH(M26,Récompenses!$F$6:$F$105,1)</f>
        <v>12</v>
      </c>
    </row>
    <row r="27" customFormat="false" ht="15.75" hidden="false" customHeight="true" outlineLevel="0" collapsed="false">
      <c r="A27" s="71" t="n">
        <v>14</v>
      </c>
      <c r="B27" s="23" t="n">
        <f aca="false">MAX(1,A27-Paramètres!$B$61)</f>
        <v>11</v>
      </c>
      <c r="C27" s="29" t="n">
        <f aca="false">M26</f>
        <v>11909.3</v>
      </c>
      <c r="D27" s="23" t="n">
        <f aca="false">MATCH(C27,Récompenses!$F$6:$F$105,1)</f>
        <v>12</v>
      </c>
      <c r="E27" s="29" t="n">
        <f aca="false" t="array" ref="E27:E27">INDEX(Récompenses!$F$6:$F$105,B27)</f>
        <v>7980</v>
      </c>
      <c r="F27" s="29" t="n">
        <f aca="false">MAX(0,E27-C27)</f>
        <v>0</v>
      </c>
      <c r="G27" s="23" t="n">
        <f aca="false">MAX(5,5*INT((A27-1)/5))</f>
        <v>10</v>
      </c>
      <c r="H27" s="33" t="n">
        <f aca="false">IF(A27&lt;=5,MAX(1,A27-1),G27+Paramètres!$B$43/2)</f>
        <v>15</v>
      </c>
      <c r="I27" s="81" t="n">
        <f aca="false" t="array" ref="I27:I27">INDEX(Zones!$O$6:$O$35,MATCH(G27,Zones!$A$6:$A$35,0))*ROUND(Paramètres!$B$49*H27^Paramètres!$B$50,0)*MAX(Paramètres!$B$56,MIN(Paramètres!$B$57,1+Paramètres!$B$55*(H27-B27)))</f>
        <v>229.215</v>
      </c>
      <c r="J27" s="72" t="n">
        <f aca="false">IF(F27&gt;0,ROUNDUP(F27/I27,0),0)</f>
        <v>0</v>
      </c>
      <c r="K27" s="72" t="n">
        <f aca="false" t="array" ref="K27:K27">J27*INDEX(Zones!$V$6:$V$35,MATCH(G27,Zones!$A$6:$A$35,0))</f>
        <v>0</v>
      </c>
      <c r="L27" s="29" t="n">
        <f aca="false" t="array" ref="L27:L27">INDEX(Étages!$R$6:$R$105,A27)*MAX(Paramètres!$B$56,MIN(Paramètres!$B$57,1+Paramètres!$B$55*(A27-MAX(B27,D27))))</f>
        <v>1924.8</v>
      </c>
      <c r="M27" s="29" t="n">
        <f aca="false">C27+J27*I27+L27</f>
        <v>13834.1</v>
      </c>
      <c r="N27" s="27" t="n">
        <f aca="false" t="array" ref="N27:N27">INDEX(Étages!$L$6:$L$105,A27)</f>
        <v>83.8875</v>
      </c>
      <c r="O27" s="82" t="n">
        <f aca="false">O26+(K27+N27)/3600</f>
        <v>0.404509548611111</v>
      </c>
      <c r="P27" s="29" t="n">
        <f aca="false" t="array" ref="P27:P27">P26+J27*INDEX(Zones!$O$6:$O$35,MATCH(G27,Zones!$A$6:$A$35,0))*ROUND(Paramètres!$B$53*H27^Paramètres!$B$54,0)+INDEX(Étages!$S$6:$S$105,A27)</f>
        <v>7803</v>
      </c>
      <c r="Q27" s="23" t="n">
        <f aca="false">MATCH(M27,Récompenses!$F$6:$F$105,1)</f>
        <v>13</v>
      </c>
    </row>
    <row r="28" customFormat="false" ht="15.75" hidden="false" customHeight="true" outlineLevel="0" collapsed="false">
      <c r="A28" s="71" t="n">
        <v>15</v>
      </c>
      <c r="B28" s="23" t="n">
        <f aca="false">MAX(1,A28-Paramètres!$B$61)</f>
        <v>12</v>
      </c>
      <c r="C28" s="29" t="n">
        <f aca="false">M27</f>
        <v>13834.1</v>
      </c>
      <c r="D28" s="23" t="n">
        <f aca="false">MATCH(C28,Récompenses!$F$6:$F$105,1)</f>
        <v>13</v>
      </c>
      <c r="E28" s="29" t="n">
        <f aca="false" t="array" ref="E28:E28">INDEX(Récompenses!$F$6:$F$105,B28)</f>
        <v>10104</v>
      </c>
      <c r="F28" s="29" t="n">
        <f aca="false">MAX(0,E28-C28)</f>
        <v>0</v>
      </c>
      <c r="G28" s="23" t="n">
        <f aca="false">MAX(5,5*INT((A28-1)/5))</f>
        <v>10</v>
      </c>
      <c r="H28" s="33" t="n">
        <f aca="false">IF(A28&lt;=5,MAX(1,A28-1),G28+Paramètres!$B$43/2)</f>
        <v>15</v>
      </c>
      <c r="I28" s="81" t="n">
        <f aca="false" t="array" ref="I28:I28">INDEX(Zones!$O$6:$O$35,MATCH(G28,Zones!$A$6:$A$35,0))*ROUND(Paramètres!$B$49*H28^Paramètres!$B$50,0)*MAX(Paramètres!$B$56,MIN(Paramètres!$B$57,1+Paramètres!$B$55*(H28-B28)))</f>
        <v>212.8425</v>
      </c>
      <c r="J28" s="72" t="n">
        <f aca="false">IF(F28&gt;0,ROUNDUP(F28/I28,0),0)</f>
        <v>0</v>
      </c>
      <c r="K28" s="72" t="n">
        <f aca="false" t="array" ref="K28:K28">J28*INDEX(Zones!$V$6:$V$35,MATCH(G28,Zones!$A$6:$A$35,0))</f>
        <v>0</v>
      </c>
      <c r="L28" s="29" t="n">
        <f aca="false" t="array" ref="L28:L28">INDEX(Étages!$R$6:$R$105,A28)*MAX(Paramètres!$B$56,MIN(Paramètres!$B$57,1+Paramètres!$B$55*(A28-MAX(B28,D28))))</f>
        <v>4970.4</v>
      </c>
      <c r="M28" s="29" t="n">
        <f aca="false">C28+J28*I28+L28</f>
        <v>18804.5</v>
      </c>
      <c r="N28" s="27" t="n">
        <f aca="false" t="array" ref="N28:N28">INDEX(Étages!$L$6:$L$105,A28)</f>
        <v>182.825</v>
      </c>
      <c r="O28" s="82" t="n">
        <f aca="false">O27+(K28+N28)/3600</f>
        <v>0.455294270833333</v>
      </c>
      <c r="P28" s="29" t="n">
        <f aca="false" t="array" ref="P28:P28">P27+J28*INDEX(Zones!$O$6:$O$35,MATCH(G28,Zones!$A$6:$A$35,0))*ROUND(Paramètres!$B$53*H28^Paramètres!$B$54,0)+INDEX(Étages!$S$6:$S$105,A28)</f>
        <v>10517</v>
      </c>
      <c r="Q28" s="23" t="n">
        <f aca="false">MATCH(M28,Récompenses!$F$6:$F$105,1)</f>
        <v>15</v>
      </c>
    </row>
    <row r="29" customFormat="false" ht="15.75" hidden="false" customHeight="true" outlineLevel="0" collapsed="false">
      <c r="A29" s="71" t="n">
        <v>16</v>
      </c>
      <c r="B29" s="23" t="n">
        <f aca="false">MAX(1,A29-Paramètres!$B$61)</f>
        <v>13</v>
      </c>
      <c r="C29" s="29" t="n">
        <f aca="false">M28</f>
        <v>18804.5</v>
      </c>
      <c r="D29" s="23" t="n">
        <f aca="false">MATCH(C29,Récompenses!$F$6:$F$105,1)</f>
        <v>15</v>
      </c>
      <c r="E29" s="29" t="n">
        <f aca="false" t="array" ref="E29:E29">INDEX(Récompenses!$F$6:$F$105,B29)</f>
        <v>12570</v>
      </c>
      <c r="F29" s="29" t="n">
        <f aca="false">MAX(0,E29-C29)</f>
        <v>0</v>
      </c>
      <c r="G29" s="23" t="n">
        <f aca="false">MAX(5,5*INT((A29-1)/5))</f>
        <v>15</v>
      </c>
      <c r="H29" s="33" t="n">
        <f aca="false">IF(A29&lt;=5,MAX(1,A29-1),G29+Paramètres!$B$43/2)</f>
        <v>20</v>
      </c>
      <c r="I29" s="81" t="n">
        <f aca="false" t="array" ref="I29:I29">INDEX(Zones!$O$6:$O$35,MATCH(G29,Zones!$A$6:$A$35,0))*ROUND(Paramètres!$B$49*H29^Paramètres!$B$50,0)*MAX(Paramètres!$B$56,MIN(Paramètres!$B$57,1+Paramètres!$B$55*(H29-B29)))</f>
        <v>419.1</v>
      </c>
      <c r="J29" s="72" t="n">
        <f aca="false">IF(F29&gt;0,ROUNDUP(F29/I29,0),0)</f>
        <v>0</v>
      </c>
      <c r="K29" s="72" t="n">
        <f aca="false" t="array" ref="K29:K29">J29*INDEX(Zones!$V$6:$V$35,MATCH(G29,Zones!$A$6:$A$35,0))</f>
        <v>0</v>
      </c>
      <c r="L29" s="29" t="n">
        <f aca="false" t="array" ref="L29:L29">INDEX(Étages!$R$6:$R$105,A29)*MAX(Paramètres!$B$56,MIN(Paramètres!$B$57,1+Paramètres!$B$55*(A29-MAX(B29,D29))))</f>
        <v>2153.8</v>
      </c>
      <c r="M29" s="29" t="n">
        <f aca="false">C29+J29*I29+L29</f>
        <v>20958.3</v>
      </c>
      <c r="N29" s="27" t="n">
        <f aca="false" t="array" ref="N29:N29">INDEX(Étages!$L$6:$L$105,A29)</f>
        <v>89.85</v>
      </c>
      <c r="O29" s="82" t="n">
        <f aca="false">O28+(K29+N29)/3600</f>
        <v>0.480252604166667</v>
      </c>
      <c r="P29" s="29" t="n">
        <f aca="false" t="array" ref="P29:P29">P28+J29*INDEX(Zones!$O$6:$O$35,MATCH(G29,Zones!$A$6:$A$35,0))*ROUND(Paramètres!$B$53*H29^Paramètres!$B$54,0)+INDEX(Étages!$S$6:$S$105,A29)</f>
        <v>11812</v>
      </c>
      <c r="Q29" s="23" t="n">
        <f aca="false">MATCH(M29,Récompenses!$F$6:$F$105,1)</f>
        <v>15</v>
      </c>
    </row>
    <row r="30" customFormat="false" ht="15.75" hidden="false" customHeight="true" outlineLevel="0" collapsed="false">
      <c r="A30" s="71" t="n">
        <v>17</v>
      </c>
      <c r="B30" s="23" t="n">
        <f aca="false">MAX(1,A30-Paramètres!$B$61)</f>
        <v>14</v>
      </c>
      <c r="C30" s="29" t="n">
        <f aca="false">M29</f>
        <v>20958.3</v>
      </c>
      <c r="D30" s="23" t="n">
        <f aca="false">MATCH(C30,Récompenses!$F$6:$F$105,1)</f>
        <v>15</v>
      </c>
      <c r="E30" s="29" t="n">
        <f aca="false" t="array" ref="E30:E30">INDEX(Récompenses!$F$6:$F$105,B30)</f>
        <v>15397</v>
      </c>
      <c r="F30" s="29" t="n">
        <f aca="false">MAX(0,E30-C30)</f>
        <v>0</v>
      </c>
      <c r="G30" s="23" t="n">
        <f aca="false">MAX(5,5*INT((A30-1)/5))</f>
        <v>15</v>
      </c>
      <c r="H30" s="33" t="n">
        <f aca="false">IF(A30&lt;=5,MAX(1,A30-1),G30+Paramètres!$B$43/2)</f>
        <v>20</v>
      </c>
      <c r="I30" s="81" t="n">
        <f aca="false" t="array" ref="I30:I30">INDEX(Zones!$O$6:$O$35,MATCH(G30,Zones!$A$6:$A$35,0))*ROUND(Paramètres!$B$49*H30^Paramètres!$B$50,0)*MAX(Paramètres!$B$56,MIN(Paramètres!$B$57,1+Paramètres!$B$55*(H30-B30)))</f>
        <v>419.1</v>
      </c>
      <c r="J30" s="72" t="n">
        <f aca="false">IF(F30&gt;0,ROUNDUP(F30/I30,0),0)</f>
        <v>0</v>
      </c>
      <c r="K30" s="72" t="n">
        <f aca="false" t="array" ref="K30:K30">J30*INDEX(Zones!$V$6:$V$35,MATCH(G30,Zones!$A$6:$A$35,0))</f>
        <v>0</v>
      </c>
      <c r="L30" s="29" t="n">
        <f aca="false" t="array" ref="L30:L30">INDEX(Étages!$R$6:$R$105,A30)*MAX(Paramètres!$B$56,MIN(Paramètres!$B$57,1+Paramètres!$B$55*(A30-MAX(B30,D30))))</f>
        <v>2533.2</v>
      </c>
      <c r="M30" s="29" t="n">
        <f aca="false">C30+J30*I30+L30</f>
        <v>23491.5</v>
      </c>
      <c r="N30" s="27" t="n">
        <f aca="false" t="array" ref="N30:N30">INDEX(Étages!$L$6:$L$105,A30)</f>
        <v>89.85</v>
      </c>
      <c r="O30" s="82" t="n">
        <f aca="false">O29+(K30+N30)/3600</f>
        <v>0.5052109375</v>
      </c>
      <c r="P30" s="29" t="n">
        <f aca="false" t="array" ref="P30:P30">P29+J30*INDEX(Zones!$O$6:$O$35,MATCH(G30,Zones!$A$6:$A$35,0))*ROUND(Paramètres!$B$53*H30^Paramètres!$B$54,0)+INDEX(Étages!$S$6:$S$105,A30)</f>
        <v>13209</v>
      </c>
      <c r="Q30" s="23" t="n">
        <f aca="false">MATCH(M30,Récompenses!$F$6:$F$105,1)</f>
        <v>16</v>
      </c>
    </row>
    <row r="31" customFormat="false" ht="15.75" hidden="false" customHeight="true" outlineLevel="0" collapsed="false">
      <c r="A31" s="71" t="n">
        <v>18</v>
      </c>
      <c r="B31" s="23" t="n">
        <f aca="false">MAX(1,A31-Paramètres!$B$61)</f>
        <v>15</v>
      </c>
      <c r="C31" s="29" t="n">
        <f aca="false">M30</f>
        <v>23491.5</v>
      </c>
      <c r="D31" s="23" t="n">
        <f aca="false">MATCH(C31,Récompenses!$F$6:$F$105,1)</f>
        <v>16</v>
      </c>
      <c r="E31" s="29" t="n">
        <f aca="false" t="array" ref="E31:E31">INDEX(Récompenses!$F$6:$F$105,B31)</f>
        <v>18605</v>
      </c>
      <c r="F31" s="29" t="n">
        <f aca="false">MAX(0,E31-C31)</f>
        <v>0</v>
      </c>
      <c r="G31" s="23" t="n">
        <f aca="false">MAX(5,5*INT((A31-1)/5))</f>
        <v>15</v>
      </c>
      <c r="H31" s="33" t="n">
        <f aca="false">IF(A31&lt;=5,MAX(1,A31-1),G31+Paramètres!$B$43/2)</f>
        <v>20</v>
      </c>
      <c r="I31" s="81" t="n">
        <f aca="false" t="array" ref="I31:I31">INDEX(Zones!$O$6:$O$35,MATCH(G31,Zones!$A$6:$A$35,0))*ROUND(Paramètres!$B$49*H31^Paramètres!$B$50,0)*MAX(Paramètres!$B$56,MIN(Paramètres!$B$57,1+Paramètres!$B$55*(H31-B31)))</f>
        <v>419.1</v>
      </c>
      <c r="J31" s="72" t="n">
        <f aca="false">IF(F31&gt;0,ROUNDUP(F31/I31,0),0)</f>
        <v>0</v>
      </c>
      <c r="K31" s="72" t="n">
        <f aca="false" t="array" ref="K31:K31">J31*INDEX(Zones!$V$6:$V$35,MATCH(G31,Zones!$A$6:$A$35,0))</f>
        <v>0</v>
      </c>
      <c r="L31" s="29" t="n">
        <f aca="false" t="array" ref="L31:L31">INDEX(Étages!$R$6:$R$105,A31)*MAX(Paramètres!$B$56,MIN(Paramètres!$B$57,1+Paramètres!$B$55*(A31-MAX(B31,D31))))</f>
        <v>2716.8</v>
      </c>
      <c r="M31" s="29" t="n">
        <f aca="false">C31+J31*I31+L31</f>
        <v>26208.3</v>
      </c>
      <c r="N31" s="27" t="n">
        <f aca="false" t="array" ref="N31:N31">INDEX(Étages!$L$6:$L$105,A31)</f>
        <v>89.85</v>
      </c>
      <c r="O31" s="82" t="n">
        <f aca="false">O30+(K31+N31)/3600</f>
        <v>0.530169270833333</v>
      </c>
      <c r="P31" s="29" t="n">
        <f aca="false" t="array" ref="P31:P31">P30+J31*INDEX(Zones!$O$6:$O$35,MATCH(G31,Zones!$A$6:$A$35,0))*ROUND(Paramètres!$B$53*H31^Paramètres!$B$54,0)+INDEX(Étages!$S$6:$S$105,A31)</f>
        <v>14729</v>
      </c>
      <c r="Q31" s="23" t="n">
        <f aca="false">MATCH(M31,Récompenses!$F$6:$F$105,1)</f>
        <v>16</v>
      </c>
    </row>
    <row r="32" customFormat="false" ht="15.75" hidden="false" customHeight="true" outlineLevel="0" collapsed="false">
      <c r="A32" s="71" t="n">
        <v>19</v>
      </c>
      <c r="B32" s="23" t="n">
        <f aca="false">MAX(1,A32-Paramètres!$B$61)</f>
        <v>16</v>
      </c>
      <c r="C32" s="29" t="n">
        <f aca="false">M31</f>
        <v>26208.3</v>
      </c>
      <c r="D32" s="23" t="n">
        <f aca="false">MATCH(C32,Récompenses!$F$6:$F$105,1)</f>
        <v>16</v>
      </c>
      <c r="E32" s="29" t="n">
        <f aca="false" t="array" ref="E32:E32">INDEX(Récompenses!$F$6:$F$105,B32)</f>
        <v>22234</v>
      </c>
      <c r="F32" s="29" t="n">
        <f aca="false">MAX(0,E32-C32)</f>
        <v>0</v>
      </c>
      <c r="G32" s="23" t="n">
        <f aca="false">MAX(5,5*INT((A32-1)/5))</f>
        <v>15</v>
      </c>
      <c r="H32" s="33" t="n">
        <f aca="false">IF(A32&lt;=5,MAX(1,A32-1),G32+Paramètres!$B$43/2)</f>
        <v>20</v>
      </c>
      <c r="I32" s="81" t="n">
        <f aca="false" t="array" ref="I32:I32">INDEX(Zones!$O$6:$O$35,MATCH(G32,Zones!$A$6:$A$35,0))*ROUND(Paramètres!$B$49*H32^Paramètres!$B$50,0)*MAX(Paramètres!$B$56,MIN(Paramètres!$B$57,1+Paramètres!$B$55*(H32-B32)))</f>
        <v>391.16</v>
      </c>
      <c r="J32" s="72" t="n">
        <f aca="false">IF(F32&gt;0,ROUNDUP(F32/I32,0),0)</f>
        <v>0</v>
      </c>
      <c r="K32" s="72" t="n">
        <f aca="false" t="array" ref="K32:K32">J32*INDEX(Zones!$V$6:$V$35,MATCH(G32,Zones!$A$6:$A$35,0))</f>
        <v>0</v>
      </c>
      <c r="L32" s="29" t="n">
        <f aca="false" t="array" ref="L32:L32">INDEX(Étages!$R$6:$R$105,A32)*MAX(Paramètres!$B$56,MIN(Paramètres!$B$57,1+Paramètres!$B$55*(A32-MAX(B32,D32))))</f>
        <v>3712.8</v>
      </c>
      <c r="M32" s="29" t="n">
        <f aca="false">C32+J32*I32+L32</f>
        <v>29921.1</v>
      </c>
      <c r="N32" s="27" t="n">
        <f aca="false" t="array" ref="N32:N32">INDEX(Étages!$L$6:$L$105,A32)</f>
        <v>104</v>
      </c>
      <c r="O32" s="82" t="n">
        <f aca="false">O31+(K32+N32)/3600</f>
        <v>0.559058159722222</v>
      </c>
      <c r="P32" s="29" t="n">
        <f aca="false" t="array" ref="P32:P32">P31+J32*INDEX(Zones!$O$6:$O$35,MATCH(G32,Zones!$A$6:$A$35,0))*ROUND(Paramètres!$B$53*H32^Paramètres!$B$54,0)+INDEX(Étages!$S$6:$S$105,A32)</f>
        <v>16649</v>
      </c>
      <c r="Q32" s="23" t="n">
        <f aca="false">MATCH(M32,Récompenses!$F$6:$F$105,1)</f>
        <v>17</v>
      </c>
    </row>
    <row r="33" customFormat="false" ht="15.75" hidden="false" customHeight="true" outlineLevel="0" collapsed="false">
      <c r="A33" s="71" t="n">
        <v>20</v>
      </c>
      <c r="B33" s="23" t="n">
        <f aca="false">MAX(1,A33-Paramètres!$B$61)</f>
        <v>17</v>
      </c>
      <c r="C33" s="29" t="n">
        <f aca="false">M32</f>
        <v>29921.1</v>
      </c>
      <c r="D33" s="23" t="n">
        <f aca="false">MATCH(C33,Récompenses!$F$6:$F$105,1)</f>
        <v>17</v>
      </c>
      <c r="E33" s="29" t="n">
        <f aca="false" t="array" ref="E33:E33">INDEX(Récompenses!$F$6:$F$105,B33)</f>
        <v>26304</v>
      </c>
      <c r="F33" s="29" t="n">
        <f aca="false">MAX(0,E33-C33)</f>
        <v>0</v>
      </c>
      <c r="G33" s="23" t="n">
        <f aca="false">MAX(5,5*INT((A33-1)/5))</f>
        <v>15</v>
      </c>
      <c r="H33" s="33" t="n">
        <f aca="false">IF(A33&lt;=5,MAX(1,A33-1),G33+Paramètres!$B$43/2)</f>
        <v>20</v>
      </c>
      <c r="I33" s="81" t="n">
        <f aca="false" t="array" ref="I33:I33">INDEX(Zones!$O$6:$O$35,MATCH(G33,Zones!$A$6:$A$35,0))*ROUND(Paramètres!$B$49*H33^Paramètres!$B$50,0)*MAX(Paramètres!$B$56,MIN(Paramètres!$B$57,1+Paramètres!$B$55*(H33-B33)))</f>
        <v>363.22</v>
      </c>
      <c r="J33" s="72" t="n">
        <f aca="false">IF(F33&gt;0,ROUNDUP(F33/I33,0),0)</f>
        <v>0</v>
      </c>
      <c r="K33" s="72" t="n">
        <f aca="false" t="array" ref="K33:K33">J33*INDEX(Zones!$V$6:$V$35,MATCH(G33,Zones!$A$6:$A$35,0))</f>
        <v>0</v>
      </c>
      <c r="L33" s="29" t="n">
        <f aca="false" t="array" ref="L33:L33">INDEX(Étages!$R$6:$R$105,A33)*MAX(Paramètres!$B$56,MIN(Paramètres!$B$57,1+Paramètres!$B$55*(A33-MAX(B33,D33))))</f>
        <v>7880.6</v>
      </c>
      <c r="M33" s="29" t="n">
        <f aca="false">C33+J33*I33+L33</f>
        <v>37801.7</v>
      </c>
      <c r="N33" s="27" t="n">
        <f aca="false" t="array" ref="N33:N33">INDEX(Étages!$L$6:$L$105,A33)</f>
        <v>231.1</v>
      </c>
      <c r="O33" s="82" t="n">
        <f aca="false">O32+(K33+N33)/3600</f>
        <v>0.623252604166667</v>
      </c>
      <c r="P33" s="29" t="n">
        <f aca="false" t="array" ref="P33:P33">P32+J33*INDEX(Zones!$O$6:$O$35,MATCH(G33,Zones!$A$6:$A$35,0))*ROUND(Paramètres!$B$53*H33^Paramètres!$B$54,0)+INDEX(Étages!$S$6:$S$105,A33)</f>
        <v>20730</v>
      </c>
      <c r="Q33" s="23" t="n">
        <f aca="false">MATCH(M33,Récompenses!$F$6:$F$105,1)</f>
        <v>19</v>
      </c>
    </row>
    <row r="34" customFormat="false" ht="15.75" hidden="false" customHeight="true" outlineLevel="0" collapsed="false">
      <c r="A34" s="71" t="n">
        <v>21</v>
      </c>
      <c r="B34" s="23" t="n">
        <f aca="false">MAX(1,A34-Paramètres!$B$61)</f>
        <v>18</v>
      </c>
      <c r="C34" s="29" t="n">
        <f aca="false">M33</f>
        <v>37801.7</v>
      </c>
      <c r="D34" s="23" t="n">
        <f aca="false">MATCH(C34,Récompenses!$F$6:$F$105,1)</f>
        <v>19</v>
      </c>
      <c r="E34" s="29" t="n">
        <f aca="false" t="array" ref="E34:E34">INDEX(Récompenses!$F$6:$F$105,B34)</f>
        <v>30837</v>
      </c>
      <c r="F34" s="29" t="n">
        <f aca="false">MAX(0,E34-C34)</f>
        <v>0</v>
      </c>
      <c r="G34" s="23" t="n">
        <f aca="false">MAX(5,5*INT((A34-1)/5))</f>
        <v>20</v>
      </c>
      <c r="H34" s="33" t="n">
        <f aca="false">IF(A34&lt;=5,MAX(1,A34-1),G34+Paramètres!$B$43/2)</f>
        <v>25</v>
      </c>
      <c r="I34" s="81" t="n">
        <f aca="false" t="array" ref="I34:I34">INDEX(Zones!$O$6:$O$35,MATCH(G34,Zones!$A$6:$A$35,0))*ROUND(Paramètres!$B$49*H34^Paramètres!$B$50,0)*MAX(Paramètres!$B$56,MIN(Paramètres!$B$57,1+Paramètres!$B$55*(H34-B34)))</f>
        <v>569.5</v>
      </c>
      <c r="J34" s="72" t="n">
        <f aca="false">IF(F34&gt;0,ROUNDUP(F34/I34,0),0)</f>
        <v>0</v>
      </c>
      <c r="K34" s="72" t="n">
        <f aca="false" t="array" ref="K34:K34">J34*INDEX(Zones!$V$6:$V$35,MATCH(G34,Zones!$A$6:$A$35,0))</f>
        <v>0</v>
      </c>
      <c r="L34" s="29" t="n">
        <f aca="false" t="array" ref="L34:L34">INDEX(Étages!$R$6:$R$105,A34)*MAX(Paramètres!$B$56,MIN(Paramètres!$B$57,1+Paramètres!$B$55*(A34-MAX(B34,D34))))</f>
        <v>3499.2</v>
      </c>
      <c r="M34" s="29" t="n">
        <f aca="false">C34+J34*I34+L34</f>
        <v>41300.9</v>
      </c>
      <c r="N34" s="27" t="n">
        <f aca="false" t="array" ref="N34:N34">INDEX(Étages!$L$6:$L$105,A34)</f>
        <v>114.9375</v>
      </c>
      <c r="O34" s="82" t="n">
        <f aca="false">O33+(K34+N34)/3600</f>
        <v>0.6551796875</v>
      </c>
      <c r="P34" s="29" t="n">
        <f aca="false" t="array" ref="P34:P34">P33+J34*INDEX(Zones!$O$6:$O$35,MATCH(G34,Zones!$A$6:$A$35,0))*ROUND(Paramètres!$B$53*H34^Paramètres!$B$54,0)+INDEX(Étages!$S$6:$S$105,A34)</f>
        <v>22706</v>
      </c>
      <c r="Q34" s="23" t="n">
        <f aca="false">MATCH(M34,Récompenses!$F$6:$F$105,1)</f>
        <v>19</v>
      </c>
    </row>
    <row r="35" customFormat="false" ht="15.75" hidden="false" customHeight="true" outlineLevel="0" collapsed="false">
      <c r="A35" s="71" t="n">
        <v>22</v>
      </c>
      <c r="B35" s="23" t="n">
        <f aca="false">MAX(1,A35-Paramètres!$B$61)</f>
        <v>19</v>
      </c>
      <c r="C35" s="29" t="n">
        <f aca="false">M34</f>
        <v>41300.9</v>
      </c>
      <c r="D35" s="23" t="n">
        <f aca="false">MATCH(C35,Récompenses!$F$6:$F$105,1)</f>
        <v>19</v>
      </c>
      <c r="E35" s="29" t="n">
        <f aca="false" t="array" ref="E35:E35">INDEX(Récompenses!$F$6:$F$105,B35)</f>
        <v>35854</v>
      </c>
      <c r="F35" s="29" t="n">
        <f aca="false">MAX(0,E35-C35)</f>
        <v>0</v>
      </c>
      <c r="G35" s="23" t="n">
        <f aca="false">MAX(5,5*INT((A35-1)/5))</f>
        <v>20</v>
      </c>
      <c r="H35" s="33" t="n">
        <f aca="false">IF(A35&lt;=5,MAX(1,A35-1),G35+Paramètres!$B$43/2)</f>
        <v>25</v>
      </c>
      <c r="I35" s="81" t="n">
        <f aca="false" t="array" ref="I35:I35">INDEX(Zones!$O$6:$O$35,MATCH(G35,Zones!$A$6:$A$35,0))*ROUND(Paramètres!$B$49*H35^Paramètres!$B$50,0)*MAX(Paramètres!$B$56,MIN(Paramètres!$B$57,1+Paramètres!$B$55*(H35-B35)))</f>
        <v>569.5</v>
      </c>
      <c r="J35" s="72" t="n">
        <f aca="false">IF(F35&gt;0,ROUNDUP(F35/I35,0),0)</f>
        <v>0</v>
      </c>
      <c r="K35" s="72" t="n">
        <f aca="false" t="array" ref="K35:K35">J35*INDEX(Zones!$V$6:$V$35,MATCH(G35,Zones!$A$6:$A$35,0))</f>
        <v>0</v>
      </c>
      <c r="L35" s="29" t="n">
        <f aca="false" t="array" ref="L35:L35">INDEX(Étages!$R$6:$R$105,A35)*MAX(Paramètres!$B$56,MIN(Paramètres!$B$57,1+Paramètres!$B$55*(A35-MAX(B35,D35))))</f>
        <v>4015.7</v>
      </c>
      <c r="M35" s="29" t="n">
        <f aca="false">C35+J35*I35+L35</f>
        <v>45316.6</v>
      </c>
      <c r="N35" s="27" t="n">
        <f aca="false" t="array" ref="N35:N35">INDEX(Étages!$L$6:$L$105,A35)</f>
        <v>114.9375</v>
      </c>
      <c r="O35" s="82" t="n">
        <f aca="false">O34+(K35+N35)/3600</f>
        <v>0.687106770833333</v>
      </c>
      <c r="P35" s="29" t="n">
        <f aca="false" t="array" ref="P35:P35">P34+J35*INDEX(Zones!$O$6:$O$35,MATCH(G35,Zones!$A$6:$A$35,0))*ROUND(Paramètres!$B$53*H35^Paramètres!$B$54,0)+INDEX(Étages!$S$6:$S$105,A35)</f>
        <v>24812</v>
      </c>
      <c r="Q35" s="23" t="n">
        <f aca="false">MATCH(M35,Récompenses!$F$6:$F$105,1)</f>
        <v>20</v>
      </c>
    </row>
    <row r="36" customFormat="false" ht="15.75" hidden="false" customHeight="true" outlineLevel="0" collapsed="false">
      <c r="A36" s="71" t="n">
        <v>23</v>
      </c>
      <c r="B36" s="23" t="n">
        <f aca="false">MAX(1,A36-Paramètres!$B$61)</f>
        <v>20</v>
      </c>
      <c r="C36" s="29" t="n">
        <f aca="false">M35</f>
        <v>45316.6</v>
      </c>
      <c r="D36" s="23" t="n">
        <f aca="false">MATCH(C36,Récompenses!$F$6:$F$105,1)</f>
        <v>20</v>
      </c>
      <c r="E36" s="29" t="n">
        <f aca="false" t="array" ref="E36:E36">INDEX(Récompenses!$F$6:$F$105,B36)</f>
        <v>41399</v>
      </c>
      <c r="F36" s="29" t="n">
        <f aca="false">MAX(0,E36-C36)</f>
        <v>0</v>
      </c>
      <c r="G36" s="23" t="n">
        <f aca="false">MAX(5,5*INT((A36-1)/5))</f>
        <v>20</v>
      </c>
      <c r="H36" s="33" t="n">
        <f aca="false">IF(A36&lt;=5,MAX(1,A36-1),G36+Paramètres!$B$43/2)</f>
        <v>25</v>
      </c>
      <c r="I36" s="81" t="n">
        <f aca="false" t="array" ref="I36:I36">INDEX(Zones!$O$6:$O$35,MATCH(G36,Zones!$A$6:$A$35,0))*ROUND(Paramètres!$B$49*H36^Paramètres!$B$50,0)*MAX(Paramètres!$B$56,MIN(Paramètres!$B$57,1+Paramètres!$B$55*(H36-B36)))</f>
        <v>569.5</v>
      </c>
      <c r="J36" s="72" t="n">
        <f aca="false">IF(F36&gt;0,ROUNDUP(F36/I36,0),0)</f>
        <v>0</v>
      </c>
      <c r="K36" s="72" t="n">
        <f aca="false" t="array" ref="K36:K36">J36*INDEX(Zones!$V$6:$V$35,MATCH(G36,Zones!$A$6:$A$35,0))</f>
        <v>0</v>
      </c>
      <c r="L36" s="29" t="n">
        <f aca="false" t="array" ref="L36:L36">INDEX(Étages!$R$6:$R$105,A36)*MAX(Paramètres!$B$56,MIN(Paramètres!$B$57,1+Paramètres!$B$55*(A36-MAX(B36,D36))))</f>
        <v>4240.6</v>
      </c>
      <c r="M36" s="29" t="n">
        <f aca="false">C36+J36*I36+L36</f>
        <v>49557.2</v>
      </c>
      <c r="N36" s="27" t="n">
        <f aca="false" t="array" ref="N36:N36">INDEX(Étages!$L$6:$L$105,A36)</f>
        <v>114.9375</v>
      </c>
      <c r="O36" s="82" t="n">
        <f aca="false">O35+(K36+N36)/3600</f>
        <v>0.719033854166667</v>
      </c>
      <c r="P36" s="29" t="n">
        <f aca="false" t="array" ref="P36:P36">P35+J36*INDEX(Zones!$O$6:$O$35,MATCH(G36,Zones!$A$6:$A$35,0))*ROUND(Paramètres!$B$53*H36^Paramètres!$B$54,0)+INDEX(Étages!$S$6:$S$105,A36)</f>
        <v>27048</v>
      </c>
      <c r="Q36" s="23" t="n">
        <f aca="false">MATCH(M36,Récompenses!$F$6:$F$105,1)</f>
        <v>21</v>
      </c>
    </row>
    <row r="37" customFormat="false" ht="15.75" hidden="false" customHeight="true" outlineLevel="0" collapsed="false">
      <c r="A37" s="71" t="n">
        <v>24</v>
      </c>
      <c r="B37" s="23" t="n">
        <f aca="false">MAX(1,A37-Paramètres!$B$61)</f>
        <v>21</v>
      </c>
      <c r="C37" s="29" t="n">
        <f aca="false">M36</f>
        <v>49557.2</v>
      </c>
      <c r="D37" s="23" t="n">
        <f aca="false">MATCH(C37,Récompenses!$F$6:$F$105,1)</f>
        <v>21</v>
      </c>
      <c r="E37" s="29" t="n">
        <f aca="false" t="array" ref="E37:E37">INDEX(Récompenses!$F$6:$F$105,B37)</f>
        <v>47495</v>
      </c>
      <c r="F37" s="29" t="n">
        <f aca="false">MAX(0,E37-C37)</f>
        <v>0</v>
      </c>
      <c r="G37" s="23" t="n">
        <f aca="false">MAX(5,5*INT((A37-1)/5))</f>
        <v>20</v>
      </c>
      <c r="H37" s="33" t="n">
        <f aca="false">IF(A37&lt;=5,MAX(1,A37-1),G37+Paramètres!$B$43/2)</f>
        <v>25</v>
      </c>
      <c r="I37" s="81" t="n">
        <f aca="false" t="array" ref="I37:I37">INDEX(Zones!$O$6:$O$35,MATCH(G37,Zones!$A$6:$A$35,0))*ROUND(Paramètres!$B$49*H37^Paramètres!$B$50,0)*MAX(Paramètres!$B$56,MIN(Paramètres!$B$57,1+Paramètres!$B$55*(H37-B37)))</f>
        <v>531.533333333333</v>
      </c>
      <c r="J37" s="72" t="n">
        <f aca="false">IF(F37&gt;0,ROUNDUP(F37/I37,0),0)</f>
        <v>0</v>
      </c>
      <c r="K37" s="72" t="n">
        <f aca="false" t="array" ref="K37:K37">J37*INDEX(Zones!$V$6:$V$35,MATCH(G37,Zones!$A$6:$A$35,0))</f>
        <v>0</v>
      </c>
      <c r="L37" s="29" t="n">
        <f aca="false" t="array" ref="L37:L37">INDEX(Étages!$R$6:$R$105,A37)*MAX(Paramètres!$B$56,MIN(Paramètres!$B$57,1+Paramètres!$B$55*(A37-MAX(B37,D37))))</f>
        <v>4478.5</v>
      </c>
      <c r="M37" s="29" t="n">
        <f aca="false">C37+J37*I37+L37</f>
        <v>54035.7</v>
      </c>
      <c r="N37" s="27" t="n">
        <f aca="false" t="array" ref="N37:N37">INDEX(Étages!$L$6:$L$105,A37)</f>
        <v>114.9375</v>
      </c>
      <c r="O37" s="82" t="n">
        <f aca="false">O36+(K37+N37)/3600</f>
        <v>0.7509609375</v>
      </c>
      <c r="P37" s="29" t="n">
        <f aca="false" t="array" ref="P37:P37">P36+J37*INDEX(Zones!$O$6:$O$35,MATCH(G37,Zones!$A$6:$A$35,0))*ROUND(Paramètres!$B$53*H37^Paramètres!$B$54,0)+INDEX(Étages!$S$6:$S$105,A37)</f>
        <v>29413</v>
      </c>
      <c r="Q37" s="23" t="n">
        <f aca="false">MATCH(M37,Récompenses!$F$6:$F$105,1)</f>
        <v>21</v>
      </c>
    </row>
    <row r="38" customFormat="false" ht="15.75" hidden="false" customHeight="true" outlineLevel="0" collapsed="false">
      <c r="A38" s="71" t="n">
        <v>25</v>
      </c>
      <c r="B38" s="23" t="n">
        <f aca="false">MAX(1,A38-Paramètres!$B$61)</f>
        <v>22</v>
      </c>
      <c r="C38" s="29" t="n">
        <f aca="false">M37</f>
        <v>54035.7</v>
      </c>
      <c r="D38" s="23" t="n">
        <f aca="false">MATCH(C38,Récompenses!$F$6:$F$105,1)</f>
        <v>21</v>
      </c>
      <c r="E38" s="29" t="n">
        <f aca="false" t="array" ref="E38:E38">INDEX(Récompenses!$F$6:$F$105,B38)</f>
        <v>54164</v>
      </c>
      <c r="F38" s="29" t="n">
        <f aca="false">MAX(0,E38-C38)</f>
        <v>128.30000000001</v>
      </c>
      <c r="G38" s="23" t="n">
        <f aca="false">MAX(5,5*INT((A38-1)/5))</f>
        <v>20</v>
      </c>
      <c r="H38" s="33" t="n">
        <f aca="false">IF(A38&lt;=5,MAX(1,A38-1),G38+Paramètres!$B$43/2)</f>
        <v>25</v>
      </c>
      <c r="I38" s="81" t="n">
        <f aca="false" t="array" ref="I38:I38">INDEX(Zones!$O$6:$O$35,MATCH(G38,Zones!$A$6:$A$35,0))*ROUND(Paramètres!$B$49*H38^Paramètres!$B$50,0)*MAX(Paramètres!$B$56,MIN(Paramètres!$B$57,1+Paramètres!$B$55*(H38-B38)))</f>
        <v>493.566666666667</v>
      </c>
      <c r="J38" s="72" t="n">
        <f aca="false">IF(F38&gt;0,ROUNDUP(F38/I38,0),0)</f>
        <v>1</v>
      </c>
      <c r="K38" s="72" t="n">
        <f aca="false" t="array" ref="K38:K38">J38*INDEX(Zones!$V$6:$V$35,MATCH(G38,Zones!$A$6:$A$35,0))</f>
        <v>9.98333333333333</v>
      </c>
      <c r="L38" s="29" t="n">
        <f aca="false" t="array" ref="L38:L38">INDEX(Étages!$R$6:$R$105,A38)*MAX(Paramètres!$B$56,MIN(Paramètres!$B$57,1+Paramètres!$B$55*(A38-MAX(B38,D38))))</f>
        <v>10800.4</v>
      </c>
      <c r="M38" s="29" t="n">
        <f aca="false">C38+J38*I38+L38</f>
        <v>65329.6666666667</v>
      </c>
      <c r="N38" s="27" t="n">
        <f aca="false" t="array" ref="N38:N38">INDEX(Étages!$L$6:$L$105,A38)</f>
        <v>270.125</v>
      </c>
      <c r="O38" s="82" t="n">
        <f aca="false">O37+(K38+N38)/3600</f>
        <v>0.82876880787037</v>
      </c>
      <c r="P38" s="29" t="n">
        <f aca="false" t="array" ref="P38:P38">P37+J38*INDEX(Zones!$O$6:$O$35,MATCH(G38,Zones!$A$6:$A$35,0))*ROUND(Paramètres!$B$53*H38^Paramètres!$B$54,0)+INDEX(Étages!$S$6:$S$105,A38)</f>
        <v>35403.8</v>
      </c>
      <c r="Q38" s="23" t="n">
        <f aca="false">MATCH(M38,Récompenses!$F$6:$F$105,1)</f>
        <v>23</v>
      </c>
    </row>
    <row r="39" customFormat="false" ht="15.75" hidden="false" customHeight="true" outlineLevel="0" collapsed="false">
      <c r="A39" s="71" t="n">
        <v>26</v>
      </c>
      <c r="B39" s="23" t="n">
        <f aca="false">MAX(1,A39-Paramètres!$B$61)</f>
        <v>23</v>
      </c>
      <c r="C39" s="29" t="n">
        <f aca="false">M38</f>
        <v>65329.6666666667</v>
      </c>
      <c r="D39" s="23" t="n">
        <f aca="false">MATCH(C39,Récompenses!$F$6:$F$105,1)</f>
        <v>23</v>
      </c>
      <c r="E39" s="29" t="n">
        <f aca="false" t="array" ref="E39:E39">INDEX(Récompenses!$F$6:$F$105,B39)</f>
        <v>61428</v>
      </c>
      <c r="F39" s="29" t="n">
        <f aca="false">MAX(0,E39-C39)</f>
        <v>0</v>
      </c>
      <c r="G39" s="23" t="n">
        <f aca="false">MAX(5,5*INT((A39-1)/5))</f>
        <v>25</v>
      </c>
      <c r="H39" s="33" t="n">
        <f aca="false">IF(A39&lt;=5,MAX(1,A39-1),G39+Paramètres!$B$43/2)</f>
        <v>30</v>
      </c>
      <c r="I39" s="81" t="n">
        <f aca="false" t="array" ref="I39:I39">INDEX(Zones!$O$6:$O$35,MATCH(G39,Zones!$A$6:$A$35,0))*ROUND(Paramètres!$B$49*H39^Paramètres!$B$50,0)*MAX(Paramètres!$B$56,MIN(Paramètres!$B$57,1+Paramètres!$B$55*(H39-B39)))</f>
        <v>757.8</v>
      </c>
      <c r="J39" s="72" t="n">
        <f aca="false">IF(F39&gt;0,ROUNDUP(F39/I39,0),0)</f>
        <v>0</v>
      </c>
      <c r="K39" s="72" t="n">
        <f aca="false" t="array" ref="K39:K39">J39*INDEX(Zones!$V$6:$V$35,MATCH(G39,Zones!$A$6:$A$35,0))</f>
        <v>0</v>
      </c>
      <c r="L39" s="29" t="n">
        <f aca="false" t="array" ref="L39:L39">INDEX(Étages!$R$6:$R$105,A39)*MAX(Paramètres!$B$56,MIN(Paramètres!$B$57,1+Paramètres!$B$55*(A39-MAX(B39,D39))))</f>
        <v>3706.3</v>
      </c>
      <c r="M39" s="29" t="n">
        <f aca="false">C39+J39*I39+L39</f>
        <v>69035.9666666667</v>
      </c>
      <c r="N39" s="27" t="n">
        <f aca="false" t="array" ref="N39:N39">INDEX(Étages!$L$6:$L$105,A39)</f>
        <v>68.5875</v>
      </c>
      <c r="O39" s="82" t="n">
        <f aca="false">O38+(K39+N39)/3600</f>
        <v>0.847820891203704</v>
      </c>
      <c r="P39" s="29" t="n">
        <f aca="false" t="array" ref="P39:P39">P38+J39*INDEX(Zones!$O$6:$O$35,MATCH(G39,Zones!$A$6:$A$35,0))*ROUND(Paramètres!$B$53*H39^Paramètres!$B$54,0)+INDEX(Étages!$S$6:$S$105,A39)</f>
        <v>37379.8</v>
      </c>
      <c r="Q39" s="23" t="n">
        <f aca="false">MATCH(M39,Récompenses!$F$6:$F$105,1)</f>
        <v>23</v>
      </c>
    </row>
    <row r="40" customFormat="false" ht="15.75" hidden="false" customHeight="true" outlineLevel="0" collapsed="false">
      <c r="A40" s="71" t="n">
        <v>27</v>
      </c>
      <c r="B40" s="23" t="n">
        <f aca="false">MAX(1,A40-Paramètres!$B$61)</f>
        <v>24</v>
      </c>
      <c r="C40" s="29" t="n">
        <f aca="false">M39</f>
        <v>69035.9666666667</v>
      </c>
      <c r="D40" s="23" t="n">
        <f aca="false">MATCH(C40,Récompenses!$F$6:$F$105,1)</f>
        <v>23</v>
      </c>
      <c r="E40" s="29" t="n">
        <f aca="false" t="array" ref="E40:E40">INDEX(Récompenses!$F$6:$F$105,B40)</f>
        <v>69310</v>
      </c>
      <c r="F40" s="29" t="n">
        <f aca="false">MAX(0,E40-C40)</f>
        <v>274.03333333334</v>
      </c>
      <c r="G40" s="23" t="n">
        <f aca="false">MAX(5,5*INT((A40-1)/5))</f>
        <v>25</v>
      </c>
      <c r="H40" s="33" t="n">
        <f aca="false">IF(A40&lt;=5,MAX(1,A40-1),G40+Paramètres!$B$43/2)</f>
        <v>30</v>
      </c>
      <c r="I40" s="81" t="n">
        <f aca="false" t="array" ref="I40:I40">INDEX(Zones!$O$6:$O$35,MATCH(G40,Zones!$A$6:$A$35,0))*ROUND(Paramètres!$B$49*H40^Paramètres!$B$50,0)*MAX(Paramètres!$B$56,MIN(Paramètres!$B$57,1+Paramètres!$B$55*(H40-B40)))</f>
        <v>757.8</v>
      </c>
      <c r="J40" s="72" t="n">
        <f aca="false">IF(F40&gt;0,ROUNDUP(F40/I40,0),0)</f>
        <v>1</v>
      </c>
      <c r="K40" s="72" t="n">
        <f aca="false" t="array" ref="K40:K40">J40*INDEX(Zones!$V$6:$V$35,MATCH(G40,Zones!$A$6:$A$35,0))</f>
        <v>12.7708333333333</v>
      </c>
      <c r="L40" s="29" t="n">
        <f aca="false" t="array" ref="L40:L40">INDEX(Étages!$R$6:$R$105,A40)*MAX(Paramètres!$B$56,MIN(Paramètres!$B$57,1+Paramètres!$B$55*(A40-MAX(B40,D40))))</f>
        <v>3885.7</v>
      </c>
      <c r="M40" s="29" t="n">
        <f aca="false">C40+J40*I40+L40</f>
        <v>73679.4666666667</v>
      </c>
      <c r="N40" s="27" t="n">
        <f aca="false" t="array" ref="N40:N40">INDEX(Étages!$L$6:$L$105,A40)</f>
        <v>68.5875</v>
      </c>
      <c r="O40" s="82" t="n">
        <f aca="false">O39+(K40+N40)/3600</f>
        <v>0.870420428240741</v>
      </c>
      <c r="P40" s="29" t="n">
        <f aca="false" t="array" ref="P40:P40">P39+J40*INDEX(Zones!$O$6:$O$35,MATCH(G40,Zones!$A$6:$A$35,0))*ROUND(Paramètres!$B$53*H40^Paramètres!$B$54,0)+INDEX(Étages!$S$6:$S$105,A40)</f>
        <v>39817</v>
      </c>
      <c r="Q40" s="23" t="n">
        <f aca="false">MATCH(M40,Récompenses!$F$6:$F$105,1)</f>
        <v>24</v>
      </c>
    </row>
    <row r="41" customFormat="false" ht="15.75" hidden="false" customHeight="true" outlineLevel="0" collapsed="false">
      <c r="A41" s="71" t="n">
        <v>28</v>
      </c>
      <c r="B41" s="23" t="n">
        <f aca="false">MAX(1,A41-Paramètres!$B$61)</f>
        <v>25</v>
      </c>
      <c r="C41" s="29" t="n">
        <f aca="false">M40</f>
        <v>73679.4666666667</v>
      </c>
      <c r="D41" s="23" t="n">
        <f aca="false">MATCH(C41,Récompenses!$F$6:$F$105,1)</f>
        <v>24</v>
      </c>
      <c r="E41" s="29" t="n">
        <f aca="false" t="array" ref="E41:E41">INDEX(Récompenses!$F$6:$F$105,B41)</f>
        <v>77859</v>
      </c>
      <c r="F41" s="29" t="n">
        <f aca="false">MAX(0,E41-C41)</f>
        <v>4179.53333333334</v>
      </c>
      <c r="G41" s="23" t="n">
        <f aca="false">MAX(5,5*INT((A41-1)/5))</f>
        <v>25</v>
      </c>
      <c r="H41" s="33" t="n">
        <f aca="false">IF(A41&lt;=5,MAX(1,A41-1),G41+Paramètres!$B$43/2)</f>
        <v>30</v>
      </c>
      <c r="I41" s="81" t="n">
        <f aca="false" t="array" ref="I41:I41">INDEX(Zones!$O$6:$O$35,MATCH(G41,Zones!$A$6:$A$35,0))*ROUND(Paramètres!$B$49*H41^Paramètres!$B$50,0)*MAX(Paramètres!$B$56,MIN(Paramètres!$B$57,1+Paramètres!$B$55*(H41-B41)))</f>
        <v>757.8</v>
      </c>
      <c r="J41" s="72" t="n">
        <f aca="false">IF(F41&gt;0,ROUNDUP(F41/I41,0),0)</f>
        <v>6</v>
      </c>
      <c r="K41" s="72" t="n">
        <f aca="false" t="array" ref="K41:K41">J41*INDEX(Zones!$V$6:$V$35,MATCH(G41,Zones!$A$6:$A$35,0))</f>
        <v>76.625</v>
      </c>
      <c r="L41" s="29" t="n">
        <f aca="false" t="array" ref="L41:L41">INDEX(Étages!$R$6:$R$105,A41)*MAX(Paramètres!$B$56,MIN(Paramètres!$B$57,1+Paramètres!$B$55*(A41-MAX(B41,D41))))</f>
        <v>4065.1</v>
      </c>
      <c r="M41" s="29" t="n">
        <f aca="false">C41+J41*I41+L41</f>
        <v>82291.3666666667</v>
      </c>
      <c r="N41" s="27" t="n">
        <f aca="false" t="array" ref="N41:N41">INDEX(Étages!$L$6:$L$105,A41)</f>
        <v>68.5875</v>
      </c>
      <c r="O41" s="82" t="n">
        <f aca="false">O40+(K41+N41)/3600</f>
        <v>0.910757233796296</v>
      </c>
      <c r="P41" s="29" t="n">
        <f aca="false" t="array" ref="P41:P41">P40+J41*INDEX(Zones!$O$6:$O$35,MATCH(G41,Zones!$A$6:$A$35,0))*ROUND(Paramètres!$B$53*H41^Paramètres!$B$54,0)+INDEX(Étages!$S$6:$S$105,A41)</f>
        <v>44135.2</v>
      </c>
      <c r="Q41" s="23" t="n">
        <f aca="false">MATCH(M41,Récompenses!$F$6:$F$105,1)</f>
        <v>25</v>
      </c>
    </row>
    <row r="42" customFormat="false" ht="15.75" hidden="false" customHeight="true" outlineLevel="0" collapsed="false">
      <c r="A42" s="71" t="n">
        <v>29</v>
      </c>
      <c r="B42" s="23" t="n">
        <f aca="false">MAX(1,A42-Paramètres!$B$61)</f>
        <v>26</v>
      </c>
      <c r="C42" s="29" t="n">
        <f aca="false">M41</f>
        <v>82291.3666666667</v>
      </c>
      <c r="D42" s="23" t="n">
        <f aca="false">MATCH(C42,Récompenses!$F$6:$F$105,1)</f>
        <v>25</v>
      </c>
      <c r="E42" s="29" t="n">
        <f aca="false" t="array" ref="E42:E42">INDEX(Récompenses!$F$6:$F$105,B42)</f>
        <v>87072</v>
      </c>
      <c r="F42" s="29" t="n">
        <f aca="false">MAX(0,E42-C42)</f>
        <v>4780.63333333333</v>
      </c>
      <c r="G42" s="23" t="n">
        <f aca="false">MAX(5,5*INT((A42-1)/5))</f>
        <v>25</v>
      </c>
      <c r="H42" s="33" t="n">
        <f aca="false">IF(A42&lt;=5,MAX(1,A42-1),G42+Paramètres!$B$43/2)</f>
        <v>30</v>
      </c>
      <c r="I42" s="81" t="n">
        <f aca="false" t="array" ref="I42:I42">INDEX(Zones!$O$6:$O$35,MATCH(G42,Zones!$A$6:$A$35,0))*ROUND(Paramètres!$B$49*H42^Paramètres!$B$50,0)*MAX(Paramètres!$B$56,MIN(Paramètres!$B$57,1+Paramètres!$B$55*(H42-B42)))</f>
        <v>707.28</v>
      </c>
      <c r="J42" s="72" t="n">
        <f aca="false">IF(F42&gt;0,ROUNDUP(F42/I42,0),0)</f>
        <v>7</v>
      </c>
      <c r="K42" s="72" t="n">
        <f aca="false" t="array" ref="K42:K42">J42*INDEX(Zones!$V$6:$V$35,MATCH(G42,Zones!$A$6:$A$35,0))</f>
        <v>89.3958333333333</v>
      </c>
      <c r="L42" s="29" t="n">
        <f aca="false" t="array" ref="L42:L42">INDEX(Étages!$R$6:$R$105,A42)*MAX(Paramètres!$B$56,MIN(Paramètres!$B$57,1+Paramètres!$B$55*(A42-MAX(B42,D42))))</f>
        <v>6302.4</v>
      </c>
      <c r="M42" s="29" t="n">
        <f aca="false">C42+J42*I42+L42</f>
        <v>93544.7266666667</v>
      </c>
      <c r="N42" s="27" t="n">
        <f aca="false" t="array" ref="N42:N42">INDEX(Étages!$L$6:$L$105,A42)</f>
        <v>104</v>
      </c>
      <c r="O42" s="82" t="n">
        <f aca="false">O41+(K42+N42)/3600</f>
        <v>0.964478298611111</v>
      </c>
      <c r="P42" s="29" t="n">
        <f aca="false" t="array" ref="P42:P42">P41+J42*INDEX(Zones!$O$6:$O$35,MATCH(G42,Zones!$A$6:$A$35,0))*ROUND(Paramètres!$B$53*H42^Paramètres!$B$54,0)+INDEX(Étages!$S$6:$S$105,A42)</f>
        <v>50017.6</v>
      </c>
      <c r="Q42" s="23" t="n">
        <f aca="false">MATCH(M42,Récompenses!$F$6:$F$105,1)</f>
        <v>26</v>
      </c>
    </row>
    <row r="43" customFormat="false" ht="15.75" hidden="false" customHeight="true" outlineLevel="0" collapsed="false">
      <c r="A43" s="71" t="n">
        <v>30</v>
      </c>
      <c r="B43" s="23" t="n">
        <f aca="false">MAX(1,A43-Paramètres!$B$61)</f>
        <v>27</v>
      </c>
      <c r="C43" s="29" t="n">
        <f aca="false">M42</f>
        <v>93544.7266666667</v>
      </c>
      <c r="D43" s="23" t="n">
        <f aca="false">MATCH(C43,Récompenses!$F$6:$F$105,1)</f>
        <v>26</v>
      </c>
      <c r="E43" s="29" t="n">
        <f aca="false" t="array" ref="E43:E43">INDEX(Récompenses!$F$6:$F$105,B43)</f>
        <v>96998</v>
      </c>
      <c r="F43" s="29" t="n">
        <f aca="false">MAX(0,E43-C43)</f>
        <v>3453.27333333333</v>
      </c>
      <c r="G43" s="23" t="n">
        <f aca="false">MAX(5,5*INT((A43-1)/5))</f>
        <v>25</v>
      </c>
      <c r="H43" s="33" t="n">
        <f aca="false">IF(A43&lt;=5,MAX(1,A43-1),G43+Paramètres!$B$43/2)</f>
        <v>30</v>
      </c>
      <c r="I43" s="81" t="n">
        <f aca="false" t="array" ref="I43:I43">INDEX(Zones!$O$6:$O$35,MATCH(G43,Zones!$A$6:$A$35,0))*ROUND(Paramètres!$B$49*H43^Paramètres!$B$50,0)*MAX(Paramètres!$B$56,MIN(Paramètres!$B$57,1+Paramètres!$B$55*(H43-B43)))</f>
        <v>656.76</v>
      </c>
      <c r="J43" s="72" t="n">
        <f aca="false">IF(F43&gt;0,ROUNDUP(F43/I43,0),0)</f>
        <v>6</v>
      </c>
      <c r="K43" s="72" t="n">
        <f aca="false" t="array" ref="K43:K43">J43*INDEX(Zones!$V$6:$V$35,MATCH(G43,Zones!$A$6:$A$35,0))</f>
        <v>76.625</v>
      </c>
      <c r="L43" s="29" t="n">
        <f aca="false" t="array" ref="L43:L43">INDEX(Étages!$R$6:$R$105,A43)*MAX(Paramètres!$B$56,MIN(Paramètres!$B$57,1+Paramètres!$B$55*(A43-MAX(B43,D43))))</f>
        <v>11274.9</v>
      </c>
      <c r="M43" s="29" t="n">
        <f aca="false">C43+J43*I43+L43</f>
        <v>108760.186666667</v>
      </c>
      <c r="N43" s="27" t="n">
        <f aca="false" t="array" ref="N43:N43">INDEX(Étages!$L$6:$L$105,A43)</f>
        <v>150.025</v>
      </c>
      <c r="O43" s="82" t="n">
        <f aca="false">O42+(K43+N43)/3600</f>
        <v>1.02743663194444</v>
      </c>
      <c r="P43" s="29" t="n">
        <f aca="false" t="array" ref="P43:P43">P42+J43*INDEX(Zones!$O$6:$O$35,MATCH(G43,Zones!$A$6:$A$35,0))*ROUND(Paramètres!$B$53*H43^Paramètres!$B$54,0)+INDEX(Étages!$S$6:$S$105,A43)</f>
        <v>58246.8</v>
      </c>
      <c r="Q43" s="23" t="n">
        <f aca="false">MATCH(M43,Récompenses!$F$6:$F$105,1)</f>
        <v>28</v>
      </c>
    </row>
    <row r="44" customFormat="false" ht="15.75" hidden="false" customHeight="true" outlineLevel="0" collapsed="false">
      <c r="A44" s="71" t="n">
        <v>31</v>
      </c>
      <c r="B44" s="23" t="n">
        <f aca="false">MAX(1,A44-Paramètres!$B$61)</f>
        <v>28</v>
      </c>
      <c r="C44" s="29" t="n">
        <f aca="false">M43</f>
        <v>108760.186666667</v>
      </c>
      <c r="D44" s="23" t="n">
        <f aca="false">MATCH(C44,Récompenses!$F$6:$F$105,1)</f>
        <v>28</v>
      </c>
      <c r="E44" s="29" t="n">
        <f aca="false" t="array" ref="E44:E44">INDEX(Récompenses!$F$6:$F$105,B44)</f>
        <v>107662</v>
      </c>
      <c r="F44" s="29" t="n">
        <f aca="false">MAX(0,E44-C44)</f>
        <v>0</v>
      </c>
      <c r="G44" s="23" t="n">
        <f aca="false">MAX(5,5*INT((A44-1)/5))</f>
        <v>30</v>
      </c>
      <c r="H44" s="33" t="n">
        <f aca="false">IF(A44&lt;=5,MAX(1,A44-1),G44+Paramètres!$B$43/2)</f>
        <v>35</v>
      </c>
      <c r="I44" s="81" t="n">
        <f aca="false" t="array" ref="I44:I44">INDEX(Zones!$O$6:$O$35,MATCH(G44,Zones!$A$6:$A$35,0))*ROUND(Paramètres!$B$49*H44^Paramètres!$B$50,0)*MAX(Paramètres!$B$56,MIN(Paramètres!$B$57,1+Paramètres!$B$55*(H44-B44)))</f>
        <v>689.85</v>
      </c>
      <c r="J44" s="72" t="n">
        <f aca="false">IF(F44&gt;0,ROUNDUP(F44/I44,0),0)</f>
        <v>0</v>
      </c>
      <c r="K44" s="72" t="n">
        <f aca="false" t="array" ref="K44:K44">J44*INDEX(Zones!$V$6:$V$35,MATCH(G44,Zones!$A$6:$A$35,0))</f>
        <v>0</v>
      </c>
      <c r="L44" s="29" t="n">
        <f aca="false" t="array" ref="L44:L44">INDEX(Étages!$R$6:$R$105,A44)*MAX(Paramètres!$B$56,MIN(Paramètres!$B$57,1+Paramètres!$B$55*(A44-MAX(B44,D44))))</f>
        <v>5136.3</v>
      </c>
      <c r="M44" s="29" t="n">
        <f aca="false">C44+J44*I44+L44</f>
        <v>113896.486666667</v>
      </c>
      <c r="N44" s="27" t="n">
        <f aca="false" t="array" ref="N44:N44">INDEX(Étages!$L$6:$L$105,A44)</f>
        <v>60.375</v>
      </c>
      <c r="O44" s="82" t="n">
        <f aca="false">O43+(K44+N44)/3600</f>
        <v>1.04420746527778</v>
      </c>
      <c r="P44" s="29" t="n">
        <f aca="false" t="array" ref="P44:P44">P43+J44*INDEX(Zones!$O$6:$O$35,MATCH(G44,Zones!$A$6:$A$35,0))*ROUND(Paramètres!$B$53*H44^Paramètres!$B$54,0)+INDEX(Étages!$S$6:$S$105,A44)</f>
        <v>61027.8</v>
      </c>
      <c r="Q44" s="23" t="n">
        <f aca="false">MATCH(M44,Récompenses!$F$6:$F$105,1)</f>
        <v>28</v>
      </c>
    </row>
    <row r="45" customFormat="false" ht="15.75" hidden="false" customHeight="true" outlineLevel="0" collapsed="false">
      <c r="A45" s="71" t="n">
        <v>32</v>
      </c>
      <c r="B45" s="23" t="n">
        <f aca="false">MAX(1,A45-Paramètres!$B$61)</f>
        <v>29</v>
      </c>
      <c r="C45" s="29" t="n">
        <f aca="false">M44</f>
        <v>113896.486666667</v>
      </c>
      <c r="D45" s="23" t="n">
        <f aca="false">MATCH(C45,Récompenses!$F$6:$F$105,1)</f>
        <v>28</v>
      </c>
      <c r="E45" s="29" t="n">
        <f aca="false" t="array" ref="E45:E45">INDEX(Récompenses!$F$6:$F$105,B45)</f>
        <v>119088</v>
      </c>
      <c r="F45" s="29" t="n">
        <f aca="false">MAX(0,E45-C45)</f>
        <v>5191.51333333334</v>
      </c>
      <c r="G45" s="23" t="n">
        <f aca="false">MAX(5,5*INT((A45-1)/5))</f>
        <v>30</v>
      </c>
      <c r="H45" s="33" t="n">
        <f aca="false">IF(A45&lt;=5,MAX(1,A45-1),G45+Paramètres!$B$43/2)</f>
        <v>35</v>
      </c>
      <c r="I45" s="81" t="n">
        <f aca="false" t="array" ref="I45:I45">INDEX(Zones!$O$6:$O$35,MATCH(G45,Zones!$A$6:$A$35,0))*ROUND(Paramètres!$B$49*H45^Paramètres!$B$50,0)*MAX(Paramètres!$B$56,MIN(Paramètres!$B$57,1+Paramètres!$B$55*(H45-B45)))</f>
        <v>689.85</v>
      </c>
      <c r="J45" s="72" t="n">
        <f aca="false">IF(F45&gt;0,ROUNDUP(F45/I45,0),0)</f>
        <v>8</v>
      </c>
      <c r="K45" s="72" t="n">
        <f aca="false" t="array" ref="K45:K45">J45*INDEX(Zones!$V$6:$V$35,MATCH(G45,Zones!$A$6:$A$35,0))</f>
        <v>60.9666666666667</v>
      </c>
      <c r="L45" s="29" t="n">
        <f aca="false" t="array" ref="L45:L45">INDEX(Étages!$R$6:$R$105,A45)*MAX(Paramètres!$B$56,MIN(Paramètres!$B$57,1+Paramètres!$B$55*(A45-MAX(B45,D45))))</f>
        <v>5346.9</v>
      </c>
      <c r="M45" s="29" t="n">
        <f aca="false">C45+J45*I45+L45</f>
        <v>124762.186666667</v>
      </c>
      <c r="N45" s="27" t="n">
        <f aca="false" t="array" ref="N45:N45">INDEX(Étages!$L$6:$L$105,A45)</f>
        <v>60.375</v>
      </c>
      <c r="O45" s="82" t="n">
        <f aca="false">O44+(K45+N45)/3600</f>
        <v>1.0779134837963</v>
      </c>
      <c r="P45" s="29" t="n">
        <f aca="false" t="array" ref="P45:P45">P44+J45*INDEX(Zones!$O$6:$O$35,MATCH(G45,Zones!$A$6:$A$35,0))*ROUND(Paramètres!$B$53*H45^Paramètres!$B$54,0)+INDEX(Étages!$S$6:$S$105,A45)</f>
        <v>66555.6</v>
      </c>
      <c r="Q45" s="23" t="n">
        <f aca="false">MATCH(M45,Récompenses!$F$6:$F$105,1)</f>
        <v>29</v>
      </c>
    </row>
    <row r="46" customFormat="false" ht="15.75" hidden="false" customHeight="true" outlineLevel="0" collapsed="false">
      <c r="A46" s="71" t="n">
        <v>33</v>
      </c>
      <c r="B46" s="23" t="n">
        <f aca="false">MAX(1,A46-Paramètres!$B$61)</f>
        <v>30</v>
      </c>
      <c r="C46" s="29" t="n">
        <f aca="false">M45</f>
        <v>124762.186666667</v>
      </c>
      <c r="D46" s="23" t="n">
        <f aca="false">MATCH(C46,Récompenses!$F$6:$F$105,1)</f>
        <v>29</v>
      </c>
      <c r="E46" s="29" t="n">
        <f aca="false" t="array" ref="E46:E46">INDEX(Récompenses!$F$6:$F$105,B46)</f>
        <v>131329</v>
      </c>
      <c r="F46" s="29" t="n">
        <f aca="false">MAX(0,E46-C46)</f>
        <v>6566.81333333334</v>
      </c>
      <c r="G46" s="23" t="n">
        <f aca="false">MAX(5,5*INT((A46-1)/5))</f>
        <v>30</v>
      </c>
      <c r="H46" s="33" t="n">
        <f aca="false">IF(A46&lt;=5,MAX(1,A46-1),G46+Paramètres!$B$43/2)</f>
        <v>35</v>
      </c>
      <c r="I46" s="81" t="n">
        <f aca="false" t="array" ref="I46:I46">INDEX(Zones!$O$6:$O$35,MATCH(G46,Zones!$A$6:$A$35,0))*ROUND(Paramètres!$B$49*H46^Paramètres!$B$50,0)*MAX(Paramètres!$B$56,MIN(Paramètres!$B$57,1+Paramètres!$B$55*(H46-B46)))</f>
        <v>689.85</v>
      </c>
      <c r="J46" s="72" t="n">
        <f aca="false">IF(F46&gt;0,ROUNDUP(F46/I46,0),0)</f>
        <v>10</v>
      </c>
      <c r="K46" s="72" t="n">
        <f aca="false" t="array" ref="K46:K46">J46*INDEX(Zones!$V$6:$V$35,MATCH(G46,Zones!$A$6:$A$35,0))</f>
        <v>76.2083333333333</v>
      </c>
      <c r="L46" s="29" t="n">
        <f aca="false" t="array" ref="L46:L46">INDEX(Étages!$R$6:$R$105,A46)*MAX(Paramètres!$B$56,MIN(Paramètres!$B$57,1+Paramètres!$B$55*(A46-MAX(B46,D46))))</f>
        <v>5557.5</v>
      </c>
      <c r="M46" s="29" t="n">
        <f aca="false">C46+J46*I46+L46</f>
        <v>137218.186666667</v>
      </c>
      <c r="N46" s="27" t="n">
        <f aca="false" t="array" ref="N46:N46">INDEX(Étages!$L$6:$L$105,A46)</f>
        <v>60.375</v>
      </c>
      <c r="O46" s="82" t="n">
        <f aca="false">O45+(K46+N46)/3600</f>
        <v>1.11585329861111</v>
      </c>
      <c r="P46" s="29" t="n">
        <f aca="false" t="array" ref="P46:P46">P45+J46*INDEX(Zones!$O$6:$O$35,MATCH(G46,Zones!$A$6:$A$35,0))*ROUND(Paramètres!$B$53*H46^Paramètres!$B$54,0)+INDEX(Étages!$S$6:$S$105,A46)</f>
        <v>72864.6</v>
      </c>
      <c r="Q46" s="23" t="n">
        <f aca="false">MATCH(M46,Récompenses!$F$6:$F$105,1)</f>
        <v>30</v>
      </c>
    </row>
    <row r="47" customFormat="false" ht="15.75" hidden="false" customHeight="true" outlineLevel="0" collapsed="false">
      <c r="A47" s="71" t="n">
        <v>34</v>
      </c>
      <c r="B47" s="23" t="n">
        <f aca="false">MAX(1,A47-Paramètres!$B$61)</f>
        <v>31</v>
      </c>
      <c r="C47" s="29" t="n">
        <f aca="false">M46</f>
        <v>137218.186666667</v>
      </c>
      <c r="D47" s="23" t="n">
        <f aca="false">MATCH(C47,Récompenses!$F$6:$F$105,1)</f>
        <v>30</v>
      </c>
      <c r="E47" s="29" t="n">
        <f aca="false" t="array" ref="E47:E47">INDEX(Récompenses!$F$6:$F$105,B47)</f>
        <v>144380</v>
      </c>
      <c r="F47" s="29" t="n">
        <f aca="false">MAX(0,E47-C47)</f>
        <v>7161.81333333335</v>
      </c>
      <c r="G47" s="23" t="n">
        <f aca="false">MAX(5,5*INT((A47-1)/5))</f>
        <v>30</v>
      </c>
      <c r="H47" s="33" t="n">
        <f aca="false">IF(A47&lt;=5,MAX(1,A47-1),G47+Paramètres!$B$43/2)</f>
        <v>35</v>
      </c>
      <c r="I47" s="81" t="n">
        <f aca="false" t="array" ref="I47:I47">INDEX(Zones!$O$6:$O$35,MATCH(G47,Zones!$A$6:$A$35,0))*ROUND(Paramètres!$B$49*H47^Paramètres!$B$50,0)*MAX(Paramètres!$B$56,MIN(Paramètres!$B$57,1+Paramètres!$B$55*(H47-B47)))</f>
        <v>643.86</v>
      </c>
      <c r="J47" s="72" t="n">
        <f aca="false">IF(F47&gt;0,ROUNDUP(F47/I47,0),0)</f>
        <v>12</v>
      </c>
      <c r="K47" s="72" t="n">
        <f aca="false" t="array" ref="K47:K47">J47*INDEX(Zones!$V$6:$V$35,MATCH(G47,Zones!$A$6:$A$35,0))</f>
        <v>91.45</v>
      </c>
      <c r="L47" s="29" t="n">
        <f aca="false" t="array" ref="L47:L47">INDEX(Étages!$R$6:$R$105,A47)*MAX(Paramètres!$B$56,MIN(Paramètres!$B$57,1+Paramètres!$B$55*(A47-MAX(B47,D47))))</f>
        <v>5768.1</v>
      </c>
      <c r="M47" s="29" t="n">
        <f aca="false">C47+J47*I47+L47</f>
        <v>150712.606666667</v>
      </c>
      <c r="N47" s="27" t="n">
        <f aca="false" t="array" ref="N47:N47">INDEX(Étages!$L$6:$L$105,A47)</f>
        <v>60.375</v>
      </c>
      <c r="O47" s="82" t="n">
        <f aca="false">O46+(K47+N47)/3600</f>
        <v>1.15802690972222</v>
      </c>
      <c r="P47" s="29" t="n">
        <f aca="false" t="array" ref="P47:P47">P46+J47*INDEX(Zones!$O$6:$O$35,MATCH(G47,Zones!$A$6:$A$35,0))*ROUND(Paramètres!$B$53*H47^Paramètres!$B$54,0)+INDEX(Étages!$S$6:$S$105,A47)</f>
        <v>79945.8</v>
      </c>
      <c r="Q47" s="23" t="n">
        <f aca="false">MATCH(M47,Récompenses!$F$6:$F$105,1)</f>
        <v>31</v>
      </c>
    </row>
    <row r="48" customFormat="false" ht="15.75" hidden="false" customHeight="true" outlineLevel="0" collapsed="false">
      <c r="A48" s="71" t="n">
        <v>35</v>
      </c>
      <c r="B48" s="23" t="n">
        <f aca="false">MAX(1,A48-Paramètres!$B$61)</f>
        <v>32</v>
      </c>
      <c r="C48" s="29" t="n">
        <f aca="false">M47</f>
        <v>150712.606666667</v>
      </c>
      <c r="D48" s="23" t="n">
        <f aca="false">MATCH(C48,Récompenses!$F$6:$F$105,1)</f>
        <v>31</v>
      </c>
      <c r="E48" s="29" t="n">
        <f aca="false" t="array" ref="E48:E48">INDEX(Récompenses!$F$6:$F$105,B48)</f>
        <v>158296</v>
      </c>
      <c r="F48" s="29" t="n">
        <f aca="false">MAX(0,E48-C48)</f>
        <v>7583.39333333334</v>
      </c>
      <c r="G48" s="23" t="n">
        <f aca="false">MAX(5,5*INT((A48-1)/5))</f>
        <v>30</v>
      </c>
      <c r="H48" s="33" t="n">
        <f aca="false">IF(A48&lt;=5,MAX(1,A48-1),G48+Paramètres!$B$43/2)</f>
        <v>35</v>
      </c>
      <c r="I48" s="81" t="n">
        <f aca="false" t="array" ref="I48:I48">INDEX(Zones!$O$6:$O$35,MATCH(G48,Zones!$A$6:$A$35,0))*ROUND(Paramètres!$B$49*H48^Paramètres!$B$50,0)*MAX(Paramètres!$B$56,MIN(Paramètres!$B$57,1+Paramètres!$B$55*(H48-B48)))</f>
        <v>597.87</v>
      </c>
      <c r="J48" s="72" t="n">
        <f aca="false">IF(F48&gt;0,ROUNDUP(F48/I48,0),0)</f>
        <v>13</v>
      </c>
      <c r="K48" s="72" t="n">
        <f aca="false" t="array" ref="K48:K48">J48*INDEX(Zones!$V$6:$V$35,MATCH(G48,Zones!$A$6:$A$35,0))</f>
        <v>99.0708333333333</v>
      </c>
      <c r="L48" s="29" t="n">
        <f aca="false" t="array" ref="L48:L48">INDEX(Étages!$R$6:$R$105,A48)*MAX(Paramètres!$B$56,MIN(Paramètres!$B$57,1+Paramètres!$B$55*(A48-MAX(B48,D48))))</f>
        <v>14614.6</v>
      </c>
      <c r="M48" s="29" t="n">
        <f aca="false">C48+J48*I48+L48</f>
        <v>173099.516666667</v>
      </c>
      <c r="N48" s="27" t="n">
        <f aca="false" t="array" ref="N48:N48">INDEX(Étages!$L$6:$L$105,A48)</f>
        <v>185.25</v>
      </c>
      <c r="O48" s="82" t="n">
        <f aca="false">O47+(K48+N48)/3600</f>
        <v>1.23700491898148</v>
      </c>
      <c r="P48" s="29" t="n">
        <f aca="false" t="array" ref="P48:P48">P47+J48*INDEX(Zones!$O$6:$O$35,MATCH(G48,Zones!$A$6:$A$35,0))*ROUND(Paramètres!$B$53*H48^Paramètres!$B$54,0)+INDEX(Étages!$S$6:$S$105,A48)</f>
        <v>92212.6</v>
      </c>
      <c r="Q48" s="23" t="n">
        <f aca="false">MATCH(M48,Récompenses!$F$6:$F$105,1)</f>
        <v>32</v>
      </c>
    </row>
    <row r="49" customFormat="false" ht="15.75" hidden="false" customHeight="true" outlineLevel="0" collapsed="false">
      <c r="A49" s="71" t="n">
        <v>36</v>
      </c>
      <c r="B49" s="23" t="n">
        <f aca="false">MAX(1,A49-Paramètres!$B$61)</f>
        <v>33</v>
      </c>
      <c r="C49" s="29" t="n">
        <f aca="false">M48</f>
        <v>173099.516666667</v>
      </c>
      <c r="D49" s="23" t="n">
        <f aca="false">MATCH(C49,Récompenses!$F$6:$F$105,1)</f>
        <v>32</v>
      </c>
      <c r="E49" s="29" t="n">
        <f aca="false" t="array" ref="E49:E49">INDEX(Récompenses!$F$6:$F$105,B49)</f>
        <v>173103</v>
      </c>
      <c r="F49" s="29" t="n">
        <f aca="false">MAX(0,E49-C49)</f>
        <v>3.48333333333721</v>
      </c>
      <c r="G49" s="23" t="n">
        <f aca="false">MAX(5,5*INT((A49-1)/5))</f>
        <v>35</v>
      </c>
      <c r="H49" s="33" t="n">
        <f aca="false">IF(A49&lt;=5,MAX(1,A49-1),G49+Paramètres!$B$43/2)</f>
        <v>40</v>
      </c>
      <c r="I49" s="81" t="n">
        <f aca="false" t="array" ref="I49:I49">INDEX(Zones!$O$6:$O$35,MATCH(G49,Zones!$A$6:$A$35,0))*ROUND(Paramètres!$B$49*H49^Paramètres!$B$50,0)*MAX(Paramètres!$B$56,MIN(Paramètres!$B$57,1+Paramètres!$B$55*(H49-B49)))</f>
        <v>906</v>
      </c>
      <c r="J49" s="72" t="n">
        <f aca="false">IF(F49&gt;0,ROUNDUP(F49/I49,0),0)</f>
        <v>1</v>
      </c>
      <c r="K49" s="72" t="n">
        <f aca="false" t="array" ref="K49:K49">J49*INDEX(Zones!$V$6:$V$35,MATCH(G49,Zones!$A$6:$A$35,0))</f>
        <v>6.70833333333333</v>
      </c>
      <c r="L49" s="29" t="n">
        <f aca="false" t="array" ref="L49:L49">INDEX(Étages!$R$6:$R$105,A49)*MAX(Paramètres!$B$56,MIN(Paramètres!$B$57,1+Paramètres!$B$55*(A49-MAX(B49,D49))))</f>
        <v>7014.8</v>
      </c>
      <c r="M49" s="29" t="n">
        <f aca="false">C49+J49*I49+L49</f>
        <v>181020.316666667</v>
      </c>
      <c r="N49" s="27" t="n">
        <f aca="false" t="array" ref="N49:N49">INDEX(Étages!$L$6:$L$105,A49)</f>
        <v>102</v>
      </c>
      <c r="O49" s="82" t="n">
        <f aca="false">O48+(K49+N49)/3600</f>
        <v>1.26720167824074</v>
      </c>
      <c r="P49" s="29" t="n">
        <f aca="false" t="array" ref="P49:P49">P48+J49*INDEX(Zones!$O$6:$O$35,MATCH(G49,Zones!$A$6:$A$35,0))*ROUND(Paramètres!$B$53*H49^Paramètres!$B$54,0)+INDEX(Étages!$S$6:$S$105,A49)</f>
        <v>96514.6</v>
      </c>
      <c r="Q49" s="23" t="n">
        <f aca="false">MATCH(M49,Récompenses!$F$6:$F$105,1)</f>
        <v>33</v>
      </c>
    </row>
    <row r="50" customFormat="false" ht="15.75" hidden="false" customHeight="true" outlineLevel="0" collapsed="false">
      <c r="A50" s="71" t="n">
        <v>37</v>
      </c>
      <c r="B50" s="23" t="n">
        <f aca="false">MAX(1,A50-Paramètres!$B$61)</f>
        <v>34</v>
      </c>
      <c r="C50" s="29" t="n">
        <f aca="false">M49</f>
        <v>181020.316666667</v>
      </c>
      <c r="D50" s="23" t="n">
        <f aca="false">MATCH(C50,Récompenses!$F$6:$F$105,1)</f>
        <v>33</v>
      </c>
      <c r="E50" s="29" t="n">
        <f aca="false" t="array" ref="E50:E50">INDEX(Récompenses!$F$6:$F$105,B50)</f>
        <v>188825</v>
      </c>
      <c r="F50" s="29" t="n">
        <f aca="false">MAX(0,E50-C50)</f>
        <v>7804.68333333335</v>
      </c>
      <c r="G50" s="23" t="n">
        <f aca="false">MAX(5,5*INT((A50-1)/5))</f>
        <v>35</v>
      </c>
      <c r="H50" s="33" t="n">
        <f aca="false">IF(A50&lt;=5,MAX(1,A50-1),G50+Paramètres!$B$43/2)</f>
        <v>40</v>
      </c>
      <c r="I50" s="81" t="n">
        <f aca="false" t="array" ref="I50:I50">INDEX(Zones!$O$6:$O$35,MATCH(G50,Zones!$A$6:$A$35,0))*ROUND(Paramètres!$B$49*H50^Paramètres!$B$50,0)*MAX(Paramètres!$B$56,MIN(Paramètres!$B$57,1+Paramètres!$B$55*(H50-B50)))</f>
        <v>906</v>
      </c>
      <c r="J50" s="72" t="n">
        <f aca="false">IF(F50&gt;0,ROUNDUP(F50/I50,0),0)</f>
        <v>9</v>
      </c>
      <c r="K50" s="72" t="n">
        <f aca="false" t="array" ref="K50:K50">J50*INDEX(Zones!$V$6:$V$35,MATCH(G50,Zones!$A$6:$A$35,0))</f>
        <v>60.375</v>
      </c>
      <c r="L50" s="29" t="n">
        <f aca="false" t="array" ref="L50:L50">INDEX(Étages!$R$6:$R$105,A50)*MAX(Paramètres!$B$56,MIN(Paramètres!$B$57,1+Paramètres!$B$55*(A50-MAX(B50,D50))))</f>
        <v>7267</v>
      </c>
      <c r="M50" s="29" t="n">
        <f aca="false">C50+J50*I50+L50</f>
        <v>196441.316666667</v>
      </c>
      <c r="N50" s="27" t="n">
        <f aca="false" t="array" ref="N50:N50">INDEX(Étages!$L$6:$L$105,A50)</f>
        <v>102</v>
      </c>
      <c r="O50" s="82" t="n">
        <f aca="false">O49+(K50+N50)/3600</f>
        <v>1.31230584490741</v>
      </c>
      <c r="P50" s="29" t="n">
        <f aca="false" t="array" ref="P50:P50">P49+J50*INDEX(Zones!$O$6:$O$35,MATCH(G50,Zones!$A$6:$A$35,0))*ROUND(Paramètres!$B$53*H50^Paramètres!$B$54,0)+INDEX(Étages!$S$6:$S$105,A50)</f>
        <v>104447.6</v>
      </c>
      <c r="Q50" s="23" t="n">
        <f aca="false">MATCH(M50,Récompenses!$F$6:$F$105,1)</f>
        <v>34</v>
      </c>
    </row>
    <row r="51" customFormat="false" ht="15.75" hidden="false" customHeight="true" outlineLevel="0" collapsed="false">
      <c r="A51" s="71" t="n">
        <v>38</v>
      </c>
      <c r="B51" s="23" t="n">
        <f aca="false">MAX(1,A51-Paramètres!$B$61)</f>
        <v>35</v>
      </c>
      <c r="C51" s="29" t="n">
        <f aca="false">M50</f>
        <v>196441.316666667</v>
      </c>
      <c r="D51" s="23" t="n">
        <f aca="false">MATCH(C51,Récompenses!$F$6:$F$105,1)</f>
        <v>34</v>
      </c>
      <c r="E51" s="29" t="n">
        <f aca="false" t="array" ref="E51:E51">INDEX(Récompenses!$F$6:$F$105,B51)</f>
        <v>205488</v>
      </c>
      <c r="F51" s="29" t="n">
        <f aca="false">MAX(0,E51-C51)</f>
        <v>9046.68333333335</v>
      </c>
      <c r="G51" s="23" t="n">
        <f aca="false">MAX(5,5*INT((A51-1)/5))</f>
        <v>35</v>
      </c>
      <c r="H51" s="33" t="n">
        <f aca="false">IF(A51&lt;=5,MAX(1,A51-1),G51+Paramètres!$B$43/2)</f>
        <v>40</v>
      </c>
      <c r="I51" s="81" t="n">
        <f aca="false" t="array" ref="I51:I51">INDEX(Zones!$O$6:$O$35,MATCH(G51,Zones!$A$6:$A$35,0))*ROUND(Paramètres!$B$49*H51^Paramètres!$B$50,0)*MAX(Paramètres!$B$56,MIN(Paramètres!$B$57,1+Paramètres!$B$55*(H51-B51)))</f>
        <v>906</v>
      </c>
      <c r="J51" s="72" t="n">
        <f aca="false">IF(F51&gt;0,ROUNDUP(F51/I51,0),0)</f>
        <v>10</v>
      </c>
      <c r="K51" s="72" t="n">
        <f aca="false" t="array" ref="K51:K51">J51*INDEX(Zones!$V$6:$V$35,MATCH(G51,Zones!$A$6:$A$35,0))</f>
        <v>67.0833333333333</v>
      </c>
      <c r="L51" s="29" t="n">
        <f aca="false" t="array" ref="L51:L51">INDEX(Étages!$R$6:$R$105,A51)*MAX(Paramètres!$B$56,MIN(Paramètres!$B$57,1+Paramètres!$B$55*(A51-MAX(B51,D51))))</f>
        <v>7504.9</v>
      </c>
      <c r="M51" s="29" t="n">
        <f aca="false">C51+J51*I51+L51</f>
        <v>213006.216666667</v>
      </c>
      <c r="N51" s="27" t="n">
        <f aca="false" t="array" ref="N51:N51">INDEX(Étages!$L$6:$L$105,A51)</f>
        <v>102</v>
      </c>
      <c r="O51" s="82" t="n">
        <f aca="false">O50+(K51+N51)/3600</f>
        <v>1.3592734375</v>
      </c>
      <c r="P51" s="29" t="n">
        <f aca="false" t="array" ref="P51:P51">P50+J51*INDEX(Zones!$O$6:$O$35,MATCH(G51,Zones!$A$6:$A$35,0))*ROUND(Paramètres!$B$53*H51^Paramètres!$B$54,0)+INDEX(Étages!$S$6:$S$105,A51)</f>
        <v>112958.6</v>
      </c>
      <c r="Q51" s="23" t="n">
        <f aca="false">MATCH(M51,Récompenses!$F$6:$F$105,1)</f>
        <v>35</v>
      </c>
    </row>
    <row r="52" customFormat="false" ht="15.75" hidden="false" customHeight="true" outlineLevel="0" collapsed="false">
      <c r="A52" s="71" t="n">
        <v>39</v>
      </c>
      <c r="B52" s="23" t="n">
        <f aca="false">MAX(1,A52-Paramètres!$B$61)</f>
        <v>36</v>
      </c>
      <c r="C52" s="29" t="n">
        <f aca="false">M51</f>
        <v>213006.216666667</v>
      </c>
      <c r="D52" s="23" t="n">
        <f aca="false">MATCH(C52,Récompenses!$F$6:$F$105,1)</f>
        <v>35</v>
      </c>
      <c r="E52" s="29" t="n">
        <f aca="false" t="array" ref="E52:E52">INDEX(Récompenses!$F$6:$F$105,B52)</f>
        <v>223118</v>
      </c>
      <c r="F52" s="29" t="n">
        <f aca="false">MAX(0,E52-C52)</f>
        <v>10111.7833333334</v>
      </c>
      <c r="G52" s="23" t="n">
        <f aca="false">MAX(5,5*INT((A52-1)/5))</f>
        <v>35</v>
      </c>
      <c r="H52" s="33" t="n">
        <f aca="false">IF(A52&lt;=5,MAX(1,A52-1),G52+Paramètres!$B$43/2)</f>
        <v>40</v>
      </c>
      <c r="I52" s="81" t="n">
        <f aca="false" t="array" ref="I52:I52">INDEX(Zones!$O$6:$O$35,MATCH(G52,Zones!$A$6:$A$35,0))*ROUND(Paramètres!$B$49*H52^Paramètres!$B$50,0)*MAX(Paramètres!$B$56,MIN(Paramètres!$B$57,1+Paramètres!$B$55*(H52-B52)))</f>
        <v>845.6</v>
      </c>
      <c r="J52" s="72" t="n">
        <f aca="false">IF(F52&gt;0,ROUNDUP(F52/I52,0),0)</f>
        <v>12</v>
      </c>
      <c r="K52" s="72" t="n">
        <f aca="false" t="array" ref="K52:K52">J52*INDEX(Zones!$V$6:$V$35,MATCH(G52,Zones!$A$6:$A$35,0))</f>
        <v>80.5</v>
      </c>
      <c r="L52" s="29" t="n">
        <f aca="false" t="array" ref="L52:L52">INDEX(Étages!$R$6:$R$105,A52)*MAX(Paramètres!$B$56,MIN(Paramètres!$B$57,1+Paramètres!$B$55*(A52-MAX(B52,D52))))</f>
        <v>9126</v>
      </c>
      <c r="M52" s="29" t="n">
        <f aca="false">C52+J52*I52+L52</f>
        <v>232279.416666667</v>
      </c>
      <c r="N52" s="27" t="n">
        <f aca="false" t="array" ref="N52:N52">INDEX(Étages!$L$6:$L$105,A52)</f>
        <v>104</v>
      </c>
      <c r="O52" s="82" t="n">
        <f aca="false">O51+(K52+N52)/3600</f>
        <v>1.4105234375</v>
      </c>
      <c r="P52" s="29" t="n">
        <f aca="false" t="array" ref="P52:P52">P51+J52*INDEX(Zones!$O$6:$O$35,MATCH(G52,Zones!$A$6:$A$35,0))*ROUND(Paramètres!$B$53*H52^Paramètres!$B$54,0)+INDEX(Étages!$S$6:$S$105,A52)</f>
        <v>123254.6</v>
      </c>
      <c r="Q52" s="23" t="n">
        <f aca="false">MATCH(M52,Récompenses!$F$6:$F$105,1)</f>
        <v>36</v>
      </c>
    </row>
    <row r="53" customFormat="false" ht="15.75" hidden="false" customHeight="true" outlineLevel="0" collapsed="false">
      <c r="A53" s="71" t="n">
        <v>40</v>
      </c>
      <c r="B53" s="23" t="n">
        <f aca="false">MAX(1,A53-Paramètres!$B$61)</f>
        <v>37</v>
      </c>
      <c r="C53" s="29" t="n">
        <f aca="false">M52</f>
        <v>232279.416666667</v>
      </c>
      <c r="D53" s="23" t="n">
        <f aca="false">MATCH(C53,Récompenses!$F$6:$F$105,1)</f>
        <v>36</v>
      </c>
      <c r="E53" s="29" t="n">
        <f aca="false" t="array" ref="E53:E53">INDEX(Récompenses!$F$6:$F$105,B53)</f>
        <v>241739</v>
      </c>
      <c r="F53" s="29" t="n">
        <f aca="false">MAX(0,E53-C53)</f>
        <v>9459.58333333334</v>
      </c>
      <c r="G53" s="23" t="n">
        <f aca="false">MAX(5,5*INT((A53-1)/5))</f>
        <v>35</v>
      </c>
      <c r="H53" s="33" t="n">
        <f aca="false">IF(A53&lt;=5,MAX(1,A53-1),G53+Paramètres!$B$43/2)</f>
        <v>40</v>
      </c>
      <c r="I53" s="81" t="n">
        <f aca="false" t="array" ref="I53:I53">INDEX(Zones!$O$6:$O$35,MATCH(G53,Zones!$A$6:$A$35,0))*ROUND(Paramètres!$B$49*H53^Paramètres!$B$50,0)*MAX(Paramètres!$B$56,MIN(Paramètres!$B$57,1+Paramètres!$B$55*(H53-B53)))</f>
        <v>785.2</v>
      </c>
      <c r="J53" s="72" t="n">
        <f aca="false">IF(F53&gt;0,ROUNDUP(F53/I53,0),0)</f>
        <v>13</v>
      </c>
      <c r="K53" s="72" t="n">
        <f aca="false" t="array" ref="K53:K53">J53*INDEX(Zones!$V$6:$V$35,MATCH(G53,Zones!$A$6:$A$35,0))</f>
        <v>87.2083333333333</v>
      </c>
      <c r="L53" s="29" t="n">
        <f aca="false" t="array" ref="L53:L53">INDEX(Étages!$R$6:$R$105,A53)*MAX(Paramètres!$B$56,MIN(Paramètres!$B$57,1+Paramètres!$B$55*(A53-MAX(B53,D53))))</f>
        <v>18739.5</v>
      </c>
      <c r="M53" s="29" t="n">
        <f aca="false">C53+J53*I53+L53</f>
        <v>261226.516666667</v>
      </c>
      <c r="N53" s="27" t="n">
        <f aca="false" t="array" ref="N53:N53">INDEX(Étages!$L$6:$L$105,A53)</f>
        <v>229</v>
      </c>
      <c r="O53" s="82" t="n">
        <f aca="false">O52+(K53+N53)/3600</f>
        <v>1.49835908564815</v>
      </c>
      <c r="P53" s="29" t="n">
        <f aca="false" t="array" ref="P53:P53">P52+J53*INDEX(Zones!$O$6:$O$35,MATCH(G53,Zones!$A$6:$A$35,0))*ROUND(Paramètres!$B$53*H53^Paramètres!$B$54,0)+INDEX(Étages!$S$6:$S$105,A53)</f>
        <v>139328.6</v>
      </c>
      <c r="Q53" s="23" t="n">
        <f aca="false">MATCH(M53,Récompenses!$F$6:$F$105,1)</f>
        <v>37</v>
      </c>
    </row>
    <row r="54" customFormat="false" ht="15.75" hidden="false" customHeight="true" outlineLevel="0" collapsed="false">
      <c r="A54" s="71" t="n">
        <v>41</v>
      </c>
      <c r="B54" s="23" t="n">
        <f aca="false">MAX(1,A54-Paramètres!$B$61)</f>
        <v>38</v>
      </c>
      <c r="C54" s="29" t="n">
        <f aca="false">M53</f>
        <v>261226.516666667</v>
      </c>
      <c r="D54" s="23" t="n">
        <f aca="false">MATCH(C54,Récompenses!$F$6:$F$105,1)</f>
        <v>37</v>
      </c>
      <c r="E54" s="29" t="n">
        <f aca="false" t="array" ref="E54:E54">INDEX(Récompenses!$F$6:$F$105,B54)</f>
        <v>261412</v>
      </c>
      <c r="F54" s="29" t="n">
        <f aca="false">MAX(0,E54-C54)</f>
        <v>185.483333333337</v>
      </c>
      <c r="G54" s="23" t="n">
        <f aca="false">MAX(5,5*INT((A54-1)/5))</f>
        <v>40</v>
      </c>
      <c r="H54" s="33" t="n">
        <f aca="false">IF(A54&lt;=5,MAX(1,A54-1),G54+Paramètres!$B$43/2)</f>
        <v>45</v>
      </c>
      <c r="I54" s="81" t="n">
        <f aca="false" t="array" ref="I54:I54">INDEX(Zones!$O$6:$O$35,MATCH(G54,Zones!$A$6:$A$35,0))*ROUND(Paramètres!$B$49*H54^Paramètres!$B$50,0)*MAX(Paramètres!$B$56,MIN(Paramètres!$B$57,1+Paramètres!$B$55*(H54-B54)))</f>
        <v>1188.3</v>
      </c>
      <c r="J54" s="72" t="n">
        <f aca="false">IF(F54&gt;0,ROUNDUP(F54/I54,0),0)</f>
        <v>1</v>
      </c>
      <c r="K54" s="72" t="n">
        <f aca="false" t="array" ref="K54:K54">J54*INDEX(Zones!$V$6:$V$35,MATCH(G54,Zones!$A$6:$A$35,0))</f>
        <v>11.3333333333333</v>
      </c>
      <c r="L54" s="29" t="n">
        <f aca="false" t="array" ref="L54:L54">INDEX(Étages!$R$6:$R$105,A54)*MAX(Paramètres!$B$56,MIN(Paramètres!$B$57,1+Paramètres!$B$55*(A54-MAX(B54,D54))))</f>
        <v>7520.5</v>
      </c>
      <c r="M54" s="29" t="n">
        <f aca="false">C54+J54*I54+L54</f>
        <v>269935.316666667</v>
      </c>
      <c r="N54" s="27" t="n">
        <f aca="false" t="array" ref="N54:N54">INDEX(Étages!$L$6:$L$105,A54)</f>
        <v>76.0125</v>
      </c>
      <c r="O54" s="82" t="n">
        <f aca="false">O53+(K54+N54)/3600</f>
        <v>1.52262181712963</v>
      </c>
      <c r="P54" s="29" t="n">
        <f aca="false" t="array" ref="P54:P54">P53+J54*INDEX(Zones!$O$6:$O$35,MATCH(G54,Zones!$A$6:$A$35,0))*ROUND(Paramètres!$B$53*H54^Paramètres!$B$54,0)+INDEX(Étages!$S$6:$S$105,A54)</f>
        <v>144102.866666667</v>
      </c>
      <c r="Q54" s="23" t="n">
        <f aca="false">MATCH(M54,Récompenses!$F$6:$F$105,1)</f>
        <v>38</v>
      </c>
    </row>
    <row r="55" customFormat="false" ht="15.75" hidden="false" customHeight="true" outlineLevel="0" collapsed="false">
      <c r="A55" s="71" t="n">
        <v>42</v>
      </c>
      <c r="B55" s="23" t="n">
        <f aca="false">MAX(1,A55-Paramètres!$B$61)</f>
        <v>39</v>
      </c>
      <c r="C55" s="29" t="n">
        <f aca="false">M54</f>
        <v>269935.316666667</v>
      </c>
      <c r="D55" s="23" t="n">
        <f aca="false">MATCH(C55,Récompenses!$F$6:$F$105,1)</f>
        <v>38</v>
      </c>
      <c r="E55" s="29" t="n">
        <f aca="false" t="array" ref="E55:E55">INDEX(Récompenses!$F$6:$F$105,B55)</f>
        <v>282128</v>
      </c>
      <c r="F55" s="29" t="n">
        <f aca="false">MAX(0,E55-C55)</f>
        <v>12192.6833333333</v>
      </c>
      <c r="G55" s="23" t="n">
        <f aca="false">MAX(5,5*INT((A55-1)/5))</f>
        <v>40</v>
      </c>
      <c r="H55" s="33" t="n">
        <f aca="false">IF(A55&lt;=5,MAX(1,A55-1),G55+Paramètres!$B$43/2)</f>
        <v>45</v>
      </c>
      <c r="I55" s="81" t="n">
        <f aca="false" t="array" ref="I55:I55">INDEX(Zones!$O$6:$O$35,MATCH(G55,Zones!$A$6:$A$35,0))*ROUND(Paramètres!$B$49*H55^Paramètres!$B$50,0)*MAX(Paramètres!$B$56,MIN(Paramètres!$B$57,1+Paramètres!$B$55*(H55-B55)))</f>
        <v>1188.3</v>
      </c>
      <c r="J55" s="72" t="n">
        <f aca="false">IF(F55&gt;0,ROUNDUP(F55/I55,0),0)</f>
        <v>11</v>
      </c>
      <c r="K55" s="72" t="n">
        <f aca="false" t="array" ref="K55:K55">J55*INDEX(Zones!$V$6:$V$35,MATCH(G55,Zones!$A$6:$A$35,0))</f>
        <v>124.666666666667</v>
      </c>
      <c r="L55" s="29" t="n">
        <f aca="false" t="array" ref="L55:L55">INDEX(Étages!$R$6:$R$105,A55)*MAX(Paramètres!$B$56,MIN(Paramètres!$B$57,1+Paramètres!$B$55*(A55-MAX(B55,D55))))</f>
        <v>7762.3</v>
      </c>
      <c r="M55" s="29" t="n">
        <f aca="false">C55+J55*I55+L55</f>
        <v>290768.916666667</v>
      </c>
      <c r="N55" s="27" t="n">
        <f aca="false" t="array" ref="N55:N55">INDEX(Étages!$L$6:$L$105,A55)</f>
        <v>76.0125</v>
      </c>
      <c r="O55" s="82" t="n">
        <f aca="false">O54+(K55+N55)/3600</f>
        <v>1.57836603009259</v>
      </c>
      <c r="P55" s="29" t="n">
        <f aca="false" t="array" ref="P55:P55">P54+J55*INDEX(Zones!$O$6:$O$35,MATCH(G55,Zones!$A$6:$A$35,0))*ROUND(Paramètres!$B$53*H55^Paramètres!$B$54,0)+INDEX(Étages!$S$6:$S$105,A55)</f>
        <v>154819.8</v>
      </c>
      <c r="Q55" s="23" t="n">
        <f aca="false">MATCH(M55,Récompenses!$F$6:$F$105,1)</f>
        <v>39</v>
      </c>
    </row>
    <row r="56" customFormat="false" ht="15.75" hidden="false" customHeight="true" outlineLevel="0" collapsed="false">
      <c r="A56" s="71" t="n">
        <v>43</v>
      </c>
      <c r="B56" s="23" t="n">
        <f aca="false">MAX(1,A56-Paramètres!$B$61)</f>
        <v>40</v>
      </c>
      <c r="C56" s="29" t="n">
        <f aca="false">M55</f>
        <v>290768.916666667</v>
      </c>
      <c r="D56" s="23" t="n">
        <f aca="false">MATCH(C56,Récompenses!$F$6:$F$105,1)</f>
        <v>39</v>
      </c>
      <c r="E56" s="29" t="n">
        <f aca="false" t="array" ref="E56:E56">INDEX(Récompenses!$F$6:$F$105,B56)</f>
        <v>303949</v>
      </c>
      <c r="F56" s="29" t="n">
        <f aca="false">MAX(0,E56-C56)</f>
        <v>13180.0833333334</v>
      </c>
      <c r="G56" s="23" t="n">
        <f aca="false">MAX(5,5*INT((A56-1)/5))</f>
        <v>40</v>
      </c>
      <c r="H56" s="33" t="n">
        <f aca="false">IF(A56&lt;=5,MAX(1,A56-1),G56+Paramètres!$B$43/2)</f>
        <v>45</v>
      </c>
      <c r="I56" s="81" t="n">
        <f aca="false" t="array" ref="I56:I56">INDEX(Zones!$O$6:$O$35,MATCH(G56,Zones!$A$6:$A$35,0))*ROUND(Paramètres!$B$49*H56^Paramètres!$B$50,0)*MAX(Paramètres!$B$56,MIN(Paramètres!$B$57,1+Paramètres!$B$55*(H56-B56)))</f>
        <v>1188.3</v>
      </c>
      <c r="J56" s="72" t="n">
        <f aca="false">IF(F56&gt;0,ROUNDUP(F56/I56,0),0)</f>
        <v>12</v>
      </c>
      <c r="K56" s="72" t="n">
        <f aca="false" t="array" ref="K56:K56">J56*INDEX(Zones!$V$6:$V$35,MATCH(G56,Zones!$A$6:$A$35,0))</f>
        <v>136</v>
      </c>
      <c r="L56" s="29" t="n">
        <f aca="false" t="array" ref="L56:L56">INDEX(Étages!$R$6:$R$105,A56)*MAX(Paramètres!$B$56,MIN(Paramètres!$B$57,1+Paramètres!$B$55*(A56-MAX(B56,D56))))</f>
        <v>7991.1</v>
      </c>
      <c r="M56" s="29" t="n">
        <f aca="false">C56+J56*I56+L56</f>
        <v>313019.616666667</v>
      </c>
      <c r="N56" s="27" t="n">
        <f aca="false" t="array" ref="N56:N56">INDEX(Étages!$L$6:$L$105,A56)</f>
        <v>76.0125</v>
      </c>
      <c r="O56" s="82" t="n">
        <f aca="false">O55+(K56+N56)/3600</f>
        <v>1.6372583912037</v>
      </c>
      <c r="P56" s="29" t="n">
        <f aca="false" t="array" ref="P56:P56">P55+J56*INDEX(Zones!$O$6:$O$35,MATCH(G56,Zones!$A$6:$A$35,0))*ROUND(Paramètres!$B$53*H56^Paramètres!$B$54,0)+INDEX(Étages!$S$6:$S$105,A56)</f>
        <v>166256</v>
      </c>
      <c r="Q56" s="23" t="n">
        <f aca="false">MATCH(M56,Récompenses!$F$6:$F$105,1)</f>
        <v>40</v>
      </c>
    </row>
    <row r="57" customFormat="false" ht="15.75" hidden="false" customHeight="true" outlineLevel="0" collapsed="false">
      <c r="A57" s="71" t="n">
        <v>44</v>
      </c>
      <c r="B57" s="23" t="n">
        <f aca="false">MAX(1,A57-Paramètres!$B$61)</f>
        <v>41</v>
      </c>
      <c r="C57" s="29" t="n">
        <f aca="false">M56</f>
        <v>313019.616666667</v>
      </c>
      <c r="D57" s="23" t="n">
        <f aca="false">MATCH(C57,Récompenses!$F$6:$F$105,1)</f>
        <v>40</v>
      </c>
      <c r="E57" s="29" t="n">
        <f aca="false" t="array" ref="E57:E57">INDEX(Récompenses!$F$6:$F$105,B57)</f>
        <v>326901</v>
      </c>
      <c r="F57" s="29" t="n">
        <f aca="false">MAX(0,E57-C57)</f>
        <v>13881.3833333334</v>
      </c>
      <c r="G57" s="23" t="n">
        <f aca="false">MAX(5,5*INT((A57-1)/5))</f>
        <v>40</v>
      </c>
      <c r="H57" s="33" t="n">
        <f aca="false">IF(A57&lt;=5,MAX(1,A57-1),G57+Paramètres!$B$43/2)</f>
        <v>45</v>
      </c>
      <c r="I57" s="81" t="n">
        <f aca="false" t="array" ref="I57:I57">INDEX(Zones!$O$6:$O$35,MATCH(G57,Zones!$A$6:$A$35,0))*ROUND(Paramètres!$B$49*H57^Paramètres!$B$50,0)*MAX(Paramètres!$B$56,MIN(Paramètres!$B$57,1+Paramètres!$B$55*(H57-B57)))</f>
        <v>1109.08</v>
      </c>
      <c r="J57" s="72" t="n">
        <f aca="false">IF(F57&gt;0,ROUNDUP(F57/I57,0),0)</f>
        <v>13</v>
      </c>
      <c r="K57" s="72" t="n">
        <f aca="false" t="array" ref="K57:K57">J57*INDEX(Zones!$V$6:$V$35,MATCH(G57,Zones!$A$6:$A$35,0))</f>
        <v>147.333333333333</v>
      </c>
      <c r="L57" s="29" t="n">
        <f aca="false" t="array" ref="L57:L57">INDEX(Étages!$R$6:$R$105,A57)*MAX(Paramètres!$B$56,MIN(Paramètres!$B$57,1+Paramètres!$B$55*(A57-MAX(B57,D57))))</f>
        <v>8221.2</v>
      </c>
      <c r="M57" s="29" t="n">
        <f aca="false">C57+J57*I57+L57</f>
        <v>335658.856666667</v>
      </c>
      <c r="N57" s="27" t="n">
        <f aca="false" t="array" ref="N57:N57">INDEX(Étages!$L$6:$L$105,A57)</f>
        <v>76.0125</v>
      </c>
      <c r="O57" s="82" t="n">
        <f aca="false">O56+(K57+N57)/3600</f>
        <v>1.69929890046296</v>
      </c>
      <c r="P57" s="29" t="n">
        <f aca="false" t="array" ref="P57:P57">P56+J57*INDEX(Zones!$O$6:$O$35,MATCH(G57,Zones!$A$6:$A$35,0))*ROUND(Paramètres!$B$53*H57^Paramètres!$B$54,0)+INDEX(Étages!$S$6:$S$105,A57)</f>
        <v>178412.466666667</v>
      </c>
      <c r="Q57" s="23" t="n">
        <f aca="false">MATCH(M57,Récompenses!$F$6:$F$105,1)</f>
        <v>41</v>
      </c>
    </row>
    <row r="58" customFormat="false" ht="15.75" hidden="false" customHeight="true" outlineLevel="0" collapsed="false">
      <c r="A58" s="71" t="n">
        <v>45</v>
      </c>
      <c r="B58" s="23" t="n">
        <f aca="false">MAX(1,A58-Paramètres!$B$61)</f>
        <v>42</v>
      </c>
      <c r="C58" s="29" t="n">
        <f aca="false">M57</f>
        <v>335658.856666667</v>
      </c>
      <c r="D58" s="23" t="n">
        <f aca="false">MATCH(C58,Récompenses!$F$6:$F$105,1)</f>
        <v>41</v>
      </c>
      <c r="E58" s="29" t="n">
        <f aca="false" t="array" ref="E58:E58">INDEX(Récompenses!$F$6:$F$105,B58)</f>
        <v>350972</v>
      </c>
      <c r="F58" s="29" t="n">
        <f aca="false">MAX(0,E58-C58)</f>
        <v>15313.1433333334</v>
      </c>
      <c r="G58" s="23" t="n">
        <f aca="false">MAX(5,5*INT((A58-1)/5))</f>
        <v>40</v>
      </c>
      <c r="H58" s="33" t="n">
        <f aca="false">IF(A58&lt;=5,MAX(1,A58-1),G58+Paramètres!$B$43/2)</f>
        <v>45</v>
      </c>
      <c r="I58" s="81" t="n">
        <f aca="false" t="array" ref="I58:I58">INDEX(Zones!$O$6:$O$35,MATCH(G58,Zones!$A$6:$A$35,0))*ROUND(Paramètres!$B$49*H58^Paramètres!$B$50,0)*MAX(Paramètres!$B$56,MIN(Paramètres!$B$57,1+Paramètres!$B$55*(H58-B58)))</f>
        <v>1029.86</v>
      </c>
      <c r="J58" s="72" t="n">
        <f aca="false">IF(F58&gt;0,ROUNDUP(F58/I58,0),0)</f>
        <v>15</v>
      </c>
      <c r="K58" s="72" t="n">
        <f aca="false" t="array" ref="K58:K58">J58*INDEX(Zones!$V$6:$V$35,MATCH(G58,Zones!$A$6:$A$35,0))</f>
        <v>170</v>
      </c>
      <c r="L58" s="29" t="n">
        <f aca="false" t="array" ref="L58:L58">INDEX(Étages!$R$6:$R$105,A58)*MAX(Paramètres!$B$56,MIN(Paramètres!$B$57,1+Paramètres!$B$55*(A58-MAX(B58,D58))))</f>
        <v>20415.2</v>
      </c>
      <c r="M58" s="29" t="n">
        <f aca="false">C58+J58*I58+L58</f>
        <v>371521.956666667</v>
      </c>
      <c r="N58" s="27" t="n">
        <f aca="false" t="array" ref="N58:N58">INDEX(Étages!$L$6:$L$105,A58)</f>
        <v>209.575</v>
      </c>
      <c r="O58" s="82" t="n">
        <f aca="false">O57+(K58+N58)/3600</f>
        <v>1.80473640046296</v>
      </c>
      <c r="P58" s="29" t="n">
        <f aca="false" t="array" ref="P58:P58">P57+J58*INDEX(Zones!$O$6:$O$35,MATCH(G58,Zones!$A$6:$A$35,0))*ROUND(Paramètres!$B$53*H58^Paramètres!$B$54,0)+INDEX(Étages!$S$6:$S$105,A58)</f>
        <v>198619.466666667</v>
      </c>
      <c r="Q58" s="23" t="n">
        <f aca="false">MATCH(M58,Récompenses!$F$6:$F$105,1)</f>
        <v>42</v>
      </c>
    </row>
    <row r="59" customFormat="false" ht="15.75" hidden="false" customHeight="true" outlineLevel="0" collapsed="false">
      <c r="A59" s="71" t="n">
        <v>46</v>
      </c>
      <c r="B59" s="23" t="n">
        <f aca="false">MAX(1,A59-Paramètres!$B$61)</f>
        <v>43</v>
      </c>
      <c r="C59" s="29" t="n">
        <f aca="false">M58</f>
        <v>371521.956666667</v>
      </c>
      <c r="D59" s="23" t="n">
        <f aca="false">MATCH(C59,Récompenses!$F$6:$F$105,1)</f>
        <v>42</v>
      </c>
      <c r="E59" s="29" t="n">
        <f aca="false" t="array" ref="E59:E59">INDEX(Récompenses!$F$6:$F$105,B59)</f>
        <v>376267</v>
      </c>
      <c r="F59" s="29" t="n">
        <f aca="false">MAX(0,E59-C59)</f>
        <v>4745.04333333339</v>
      </c>
      <c r="G59" s="23" t="n">
        <f aca="false">MAX(5,5*INT((A59-1)/5))</f>
        <v>45</v>
      </c>
      <c r="H59" s="33" t="n">
        <f aca="false">IF(A59&lt;=5,MAX(1,A59-1),G59+Paramètres!$B$43/2)</f>
        <v>50</v>
      </c>
      <c r="I59" s="81" t="n">
        <f aca="false" t="array" ref="I59:I59">INDEX(Zones!$O$6:$O$35,MATCH(G59,Zones!$A$6:$A$35,0))*ROUND(Paramètres!$B$49*H59^Paramètres!$B$50,0)*MAX(Paramètres!$B$56,MIN(Paramètres!$B$57,1+Paramètres!$B$55*(H59-B59)))</f>
        <v>1236.9</v>
      </c>
      <c r="J59" s="72" t="n">
        <f aca="false">IF(F59&gt;0,ROUNDUP(F59/I59,0),0)</f>
        <v>4</v>
      </c>
      <c r="K59" s="72" t="n">
        <f aca="false" t="array" ref="K59:K59">J59*INDEX(Zones!$V$6:$V$35,MATCH(G59,Zones!$A$6:$A$35,0))</f>
        <v>33.7833333333333</v>
      </c>
      <c r="L59" s="29" t="n">
        <f aca="false" t="array" ref="L59:L59">INDEX(Étages!$R$6:$R$105,A59)*MAX(Paramètres!$B$56,MIN(Paramètres!$B$57,1+Paramètres!$B$55*(A59-MAX(B59,D59))))</f>
        <v>9534.2</v>
      </c>
      <c r="M59" s="29" t="n">
        <f aca="false">C59+J59*I59+L59</f>
        <v>386003.756666667</v>
      </c>
      <c r="N59" s="27" t="n">
        <f aca="false" t="array" ref="N59:N59">INDEX(Étages!$L$6:$L$105,A59)</f>
        <v>109.875</v>
      </c>
      <c r="O59" s="82" t="n">
        <f aca="false">O58+(K59+N59)/3600</f>
        <v>1.84464149305556</v>
      </c>
      <c r="P59" s="29" t="n">
        <f aca="false" t="array" ref="P59:P59">P58+J59*INDEX(Zones!$O$6:$O$35,MATCH(G59,Zones!$A$6:$A$35,0))*ROUND(Paramètres!$B$53*H59^Paramètres!$B$54,0)+INDEX(Étages!$S$6:$S$105,A59)</f>
        <v>206433.133333333</v>
      </c>
      <c r="Q59" s="23" t="n">
        <f aca="false">MATCH(M59,Récompenses!$F$6:$F$105,1)</f>
        <v>43</v>
      </c>
    </row>
    <row r="60" customFormat="false" ht="15.75" hidden="false" customHeight="true" outlineLevel="0" collapsed="false">
      <c r="A60" s="71" t="n">
        <v>47</v>
      </c>
      <c r="B60" s="23" t="n">
        <f aca="false">MAX(1,A60-Paramètres!$B$61)</f>
        <v>44</v>
      </c>
      <c r="C60" s="29" t="n">
        <f aca="false">M59</f>
        <v>386003.756666667</v>
      </c>
      <c r="D60" s="23" t="n">
        <f aca="false">MATCH(C60,Récompenses!$F$6:$F$105,1)</f>
        <v>43</v>
      </c>
      <c r="E60" s="29" t="n">
        <f aca="false" t="array" ref="E60:E60">INDEX(Récompenses!$F$6:$F$105,B60)</f>
        <v>402773</v>
      </c>
      <c r="F60" s="29" t="n">
        <f aca="false">MAX(0,E60-C60)</f>
        <v>16769.2433333334</v>
      </c>
      <c r="G60" s="23" t="n">
        <f aca="false">MAX(5,5*INT((A60-1)/5))</f>
        <v>45</v>
      </c>
      <c r="H60" s="33" t="n">
        <f aca="false">IF(A60&lt;=5,MAX(1,A60-1),G60+Paramètres!$B$43/2)</f>
        <v>50</v>
      </c>
      <c r="I60" s="81" t="n">
        <f aca="false" t="array" ref="I60:I60">INDEX(Zones!$O$6:$O$35,MATCH(G60,Zones!$A$6:$A$35,0))*ROUND(Paramètres!$B$49*H60^Paramètres!$B$50,0)*MAX(Paramètres!$B$56,MIN(Paramètres!$B$57,1+Paramètres!$B$55*(H60-B60)))</f>
        <v>1236.9</v>
      </c>
      <c r="J60" s="72" t="n">
        <f aca="false">IF(F60&gt;0,ROUNDUP(F60/I60,0),0)</f>
        <v>14</v>
      </c>
      <c r="K60" s="72" t="n">
        <f aca="false" t="array" ref="K60:K60">J60*INDEX(Zones!$V$6:$V$35,MATCH(G60,Zones!$A$6:$A$35,0))</f>
        <v>118.241666666667</v>
      </c>
      <c r="L60" s="29" t="n">
        <f aca="false" t="array" ref="L60:L60">INDEX(Étages!$R$6:$R$105,A60)*MAX(Paramètres!$B$56,MIN(Paramètres!$B$57,1+Paramètres!$B$55*(A60-MAX(B60,D60))))</f>
        <v>9786.4</v>
      </c>
      <c r="M60" s="29" t="n">
        <f aca="false">C60+J60*I60+L60</f>
        <v>413106.756666667</v>
      </c>
      <c r="N60" s="27" t="n">
        <f aca="false" t="array" ref="N60:N60">INDEX(Étages!$L$6:$L$105,A60)</f>
        <v>109.875</v>
      </c>
      <c r="O60" s="82" t="n">
        <f aca="false">O59+(K60+N60)/3600</f>
        <v>1.9080072337963</v>
      </c>
      <c r="P60" s="29" t="n">
        <f aca="false" t="array" ref="P60:P60">P59+J60*INDEX(Zones!$O$6:$O$35,MATCH(G60,Zones!$A$6:$A$35,0))*ROUND(Paramètres!$B$53*H60^Paramètres!$B$54,0)+INDEX(Étages!$S$6:$S$105,A60)</f>
        <v>220507.466666667</v>
      </c>
      <c r="Q60" s="23" t="n">
        <f aca="false">MATCH(M60,Récompenses!$F$6:$F$105,1)</f>
        <v>44</v>
      </c>
    </row>
    <row r="61" customFormat="false" ht="15.75" hidden="false" customHeight="true" outlineLevel="0" collapsed="false">
      <c r="A61" s="71" t="n">
        <v>48</v>
      </c>
      <c r="B61" s="23" t="n">
        <f aca="false">MAX(1,A61-Paramètres!$B$61)</f>
        <v>45</v>
      </c>
      <c r="C61" s="29" t="n">
        <f aca="false">M60</f>
        <v>413106.756666667</v>
      </c>
      <c r="D61" s="23" t="n">
        <f aca="false">MATCH(C61,Récompenses!$F$6:$F$105,1)</f>
        <v>44</v>
      </c>
      <c r="E61" s="29" t="n">
        <f aca="false" t="array" ref="E61:E61">INDEX(Récompenses!$F$6:$F$105,B61)</f>
        <v>430517</v>
      </c>
      <c r="F61" s="29" t="n">
        <f aca="false">MAX(0,E61-C61)</f>
        <v>17410.2433333334</v>
      </c>
      <c r="G61" s="23" t="n">
        <f aca="false">MAX(5,5*INT((A61-1)/5))</f>
        <v>45</v>
      </c>
      <c r="H61" s="33" t="n">
        <f aca="false">IF(A61&lt;=5,MAX(1,A61-1),G61+Paramètres!$B$43/2)</f>
        <v>50</v>
      </c>
      <c r="I61" s="81" t="n">
        <f aca="false" t="array" ref="I61:I61">INDEX(Zones!$O$6:$O$35,MATCH(G61,Zones!$A$6:$A$35,0))*ROUND(Paramètres!$B$49*H61^Paramètres!$B$50,0)*MAX(Paramètres!$B$56,MIN(Paramètres!$B$57,1+Paramètres!$B$55*(H61-B61)))</f>
        <v>1236.9</v>
      </c>
      <c r="J61" s="72" t="n">
        <f aca="false">IF(F61&gt;0,ROUNDUP(F61/I61,0),0)</f>
        <v>15</v>
      </c>
      <c r="K61" s="72" t="n">
        <f aca="false" t="array" ref="K61:K61">J61*INDEX(Zones!$V$6:$V$35,MATCH(G61,Zones!$A$6:$A$35,0))</f>
        <v>126.6875</v>
      </c>
      <c r="L61" s="29" t="n">
        <f aca="false" t="array" ref="L61:L61">INDEX(Étages!$R$6:$R$105,A61)*MAX(Paramètres!$B$56,MIN(Paramètres!$B$57,1+Paramètres!$B$55*(A61-MAX(B61,D61))))</f>
        <v>10051.6</v>
      </c>
      <c r="M61" s="29" t="n">
        <f aca="false">C61+J61*I61+L61</f>
        <v>441711.856666667</v>
      </c>
      <c r="N61" s="27" t="n">
        <f aca="false" t="array" ref="N61:N61">INDEX(Étages!$L$6:$L$105,A61)</f>
        <v>109.875</v>
      </c>
      <c r="O61" s="82" t="n">
        <f aca="false">O60+(K61+N61)/3600</f>
        <v>1.97371903935185</v>
      </c>
      <c r="P61" s="29" t="n">
        <f aca="false" t="array" ref="P61:P61">P60+J61*INDEX(Zones!$O$6:$O$35,MATCH(G61,Zones!$A$6:$A$35,0))*ROUND(Paramètres!$B$53*H61^Paramètres!$B$54,0)+INDEX(Étages!$S$6:$S$105,A61)</f>
        <v>235344.466666667</v>
      </c>
      <c r="Q61" s="23" t="n">
        <f aca="false">MATCH(M61,Récompenses!$F$6:$F$105,1)</f>
        <v>45</v>
      </c>
    </row>
    <row r="62" customFormat="false" ht="15.75" hidden="false" customHeight="true" outlineLevel="0" collapsed="false">
      <c r="A62" s="71" t="n">
        <v>49</v>
      </c>
      <c r="B62" s="23" t="n">
        <f aca="false">MAX(1,A62-Paramètres!$B$61)</f>
        <v>46</v>
      </c>
      <c r="C62" s="29" t="n">
        <f aca="false">M61</f>
        <v>441711.856666667</v>
      </c>
      <c r="D62" s="23" t="n">
        <f aca="false">MATCH(C62,Récompenses!$F$6:$F$105,1)</f>
        <v>45</v>
      </c>
      <c r="E62" s="29" t="n">
        <f aca="false" t="array" ref="E62:E62">INDEX(Récompenses!$F$6:$F$105,B62)</f>
        <v>459526</v>
      </c>
      <c r="F62" s="29" t="n">
        <f aca="false">MAX(0,E62-C62)</f>
        <v>17814.1433333334</v>
      </c>
      <c r="G62" s="23" t="n">
        <f aca="false">MAX(5,5*INT((A62-1)/5))</f>
        <v>45</v>
      </c>
      <c r="H62" s="33" t="n">
        <f aca="false">IF(A62&lt;=5,MAX(1,A62-1),G62+Paramètres!$B$43/2)</f>
        <v>50</v>
      </c>
      <c r="I62" s="81" t="n">
        <f aca="false" t="array" ref="I62:I62">INDEX(Zones!$O$6:$O$35,MATCH(G62,Zones!$A$6:$A$35,0))*ROUND(Paramètres!$B$49*H62^Paramètres!$B$50,0)*MAX(Paramètres!$B$56,MIN(Paramètres!$B$57,1+Paramètres!$B$55*(H62-B62)))</f>
        <v>1154.44</v>
      </c>
      <c r="J62" s="72" t="n">
        <f aca="false">IF(F62&gt;0,ROUNDUP(F62/I62,0),0)</f>
        <v>16</v>
      </c>
      <c r="K62" s="72" t="n">
        <f aca="false" t="array" ref="K62:K62">J62*INDEX(Zones!$V$6:$V$35,MATCH(G62,Zones!$A$6:$A$35,0))</f>
        <v>135.133333333333</v>
      </c>
      <c r="L62" s="29" t="n">
        <f aca="false" t="array" ref="L62:L62">INDEX(Étages!$R$6:$R$105,A62)*MAX(Paramètres!$B$56,MIN(Paramètres!$B$57,1+Paramètres!$B$55*(A62-MAX(B62,D62))))</f>
        <v>12136.8</v>
      </c>
      <c r="M62" s="29" t="n">
        <f aca="false">C62+J62*I62+L62</f>
        <v>472319.696666667</v>
      </c>
      <c r="N62" s="27" t="n">
        <f aca="false" t="array" ref="N62:N62">INDEX(Étages!$L$6:$L$105,A62)</f>
        <v>104</v>
      </c>
      <c r="O62" s="82" t="n">
        <f aca="false">O61+(K62+N62)/3600</f>
        <v>2.04014496527778</v>
      </c>
      <c r="P62" s="29" t="n">
        <f aca="false" t="array" ref="P62:P62">P61+J62*INDEX(Zones!$O$6:$O$35,MATCH(G62,Zones!$A$6:$A$35,0))*ROUND(Paramètres!$B$53*H62^Paramètres!$B$54,0)+INDEX(Étages!$S$6:$S$105,A62)</f>
        <v>251987.133333333</v>
      </c>
      <c r="Q62" s="23" t="n">
        <f aca="false">MATCH(M62,Récompenses!$F$6:$F$105,1)</f>
        <v>46</v>
      </c>
    </row>
    <row r="63" customFormat="false" ht="15.75" hidden="false" customHeight="true" outlineLevel="0" collapsed="false">
      <c r="A63" s="71" t="n">
        <v>50</v>
      </c>
      <c r="B63" s="23" t="n">
        <f aca="false">MAX(1,A63-Paramètres!$B$61)</f>
        <v>47</v>
      </c>
      <c r="C63" s="29" t="n">
        <f aca="false">M62</f>
        <v>472319.696666667</v>
      </c>
      <c r="D63" s="23" t="n">
        <f aca="false">MATCH(C63,Récompenses!$F$6:$F$105,1)</f>
        <v>46</v>
      </c>
      <c r="E63" s="29" t="n">
        <f aca="false" t="array" ref="E63:E63">INDEX(Récompenses!$F$6:$F$105,B63)</f>
        <v>489868</v>
      </c>
      <c r="F63" s="29" t="n">
        <f aca="false">MAX(0,E63-C63)</f>
        <v>17548.3033333335</v>
      </c>
      <c r="G63" s="23" t="n">
        <f aca="false">MAX(5,5*INT((A63-1)/5))</f>
        <v>45</v>
      </c>
      <c r="H63" s="33" t="n">
        <f aca="false">IF(A63&lt;=5,MAX(1,A63-1),G63+Paramètres!$B$43/2)</f>
        <v>50</v>
      </c>
      <c r="I63" s="81" t="n">
        <f aca="false" t="array" ref="I63:I63">INDEX(Zones!$O$6:$O$35,MATCH(G63,Zones!$A$6:$A$35,0))*ROUND(Paramètres!$B$49*H63^Paramètres!$B$50,0)*MAX(Paramètres!$B$56,MIN(Paramètres!$B$57,1+Paramètres!$B$55*(H63-B63)))</f>
        <v>1071.98</v>
      </c>
      <c r="J63" s="72" t="n">
        <f aca="false">IF(F63&gt;0,ROUNDUP(F63/I63,0),0)</f>
        <v>17</v>
      </c>
      <c r="K63" s="72" t="n">
        <f aca="false" t="array" ref="K63:K63">J63*INDEX(Zones!$V$6:$V$35,MATCH(G63,Zones!$A$6:$A$35,0))</f>
        <v>143.579166666667</v>
      </c>
      <c r="L63" s="29" t="n">
        <f aca="false" t="array" ref="L63:L63">INDEX(Étages!$R$6:$R$105,A63)*MAX(Paramètres!$B$56,MIN(Paramètres!$B$57,1+Paramètres!$B$55*(A63-MAX(B63,D63))))</f>
        <v>24759.8</v>
      </c>
      <c r="M63" s="29" t="n">
        <f aca="false">C63+J63*I63+L63</f>
        <v>515303.156666667</v>
      </c>
      <c r="N63" s="27" t="n">
        <f aca="false" t="array" ref="N63:N63">INDEX(Étages!$L$6:$L$105,A63)</f>
        <v>262.25</v>
      </c>
      <c r="O63" s="82" t="n">
        <f aca="false">O62+(K63+N63)/3600</f>
        <v>2.15287528935185</v>
      </c>
      <c r="P63" s="29" t="n">
        <f aca="false" t="array" ref="P63:P63">P62+J63*INDEX(Zones!$O$6:$O$35,MATCH(G63,Zones!$A$6:$A$35,0))*ROUND(Paramètres!$B$53*H63^Paramètres!$B$54,0)+INDEX(Étages!$S$6:$S$105,A63)</f>
        <v>276432.466666667</v>
      </c>
      <c r="Q63" s="23" t="n">
        <f aca="false">MATCH(M63,Récompenses!$F$6:$F$105,1)</f>
        <v>47</v>
      </c>
    </row>
    <row r="64" customFormat="false" ht="15.75" hidden="false" customHeight="true" outlineLevel="0" collapsed="false">
      <c r="A64" s="71" t="n">
        <v>51</v>
      </c>
      <c r="B64" s="23" t="n">
        <f aca="false">MAX(1,A64-Paramètres!$B$61)</f>
        <v>48</v>
      </c>
      <c r="C64" s="29" t="n">
        <f aca="false">M63</f>
        <v>515303.156666667</v>
      </c>
      <c r="D64" s="23" t="n">
        <f aca="false">MATCH(C64,Récompenses!$F$6:$F$105,1)</f>
        <v>47</v>
      </c>
      <c r="E64" s="29" t="n">
        <f aca="false" t="array" ref="E64:E64">INDEX(Récompenses!$F$6:$F$105,B64)</f>
        <v>521528</v>
      </c>
      <c r="F64" s="29" t="n">
        <f aca="false">MAX(0,E64-C64)</f>
        <v>6224.8433333335</v>
      </c>
      <c r="G64" s="23" t="n">
        <f aca="false">MAX(5,5*INT((A64-1)/5))</f>
        <v>50</v>
      </c>
      <c r="H64" s="33" t="n">
        <f aca="false">IF(A64&lt;=5,MAX(1,A64-1),G64+Paramètres!$B$43/2)</f>
        <v>55</v>
      </c>
      <c r="I64" s="81" t="n">
        <f aca="false" t="array" ref="I64:I64">INDEX(Zones!$O$6:$O$35,MATCH(G64,Zones!$A$6:$A$35,0))*ROUND(Paramètres!$B$49*H64^Paramètres!$B$50,0)*MAX(Paramètres!$B$56,MIN(Paramètres!$B$57,1+Paramètres!$B$55*(H64-B64)))</f>
        <v>1528.3</v>
      </c>
      <c r="J64" s="72" t="n">
        <f aca="false">IF(F64&gt;0,ROUNDUP(F64/I64,0),0)</f>
        <v>5</v>
      </c>
      <c r="K64" s="72" t="n">
        <f aca="false" t="array" ref="K64:K64">J64*INDEX(Zones!$V$6:$V$35,MATCH(G64,Zones!$A$6:$A$35,0))</f>
        <v>61.0416666666667</v>
      </c>
      <c r="L64" s="29" t="n">
        <f aca="false" t="array" ref="L64:L64">INDEX(Étages!$R$6:$R$105,A64)*MAX(Paramètres!$B$56,MIN(Paramètres!$B$57,1+Paramètres!$B$55*(A64-MAX(B64,D64))))</f>
        <v>10847.2</v>
      </c>
      <c r="M64" s="29" t="n">
        <f aca="false">C64+J64*I64+L64</f>
        <v>533791.856666667</v>
      </c>
      <c r="N64" s="27" t="n">
        <f aca="false" t="array" ref="N64:N64">INDEX(Étages!$L$6:$L$105,A64)</f>
        <v>91.875</v>
      </c>
      <c r="O64" s="82" t="n">
        <f aca="false">O63+(K64+N64)/3600</f>
        <v>2.1953521412037</v>
      </c>
      <c r="P64" s="29" t="n">
        <f aca="false" t="array" ref="P64:P64">P63+J64*INDEX(Zones!$O$6:$O$35,MATCH(G64,Zones!$A$6:$A$35,0))*ROUND(Paramètres!$B$53*H64^Paramètres!$B$54,0)+INDEX(Étages!$S$6:$S$105,A64)</f>
        <v>286415.8</v>
      </c>
      <c r="Q64" s="23" t="n">
        <f aca="false">MATCH(M64,Récompenses!$F$6:$F$105,1)</f>
        <v>48</v>
      </c>
    </row>
    <row r="65" customFormat="false" ht="15.75" hidden="false" customHeight="true" outlineLevel="0" collapsed="false">
      <c r="A65" s="71" t="n">
        <v>52</v>
      </c>
      <c r="B65" s="23" t="n">
        <f aca="false">MAX(1,A65-Paramètres!$B$61)</f>
        <v>49</v>
      </c>
      <c r="C65" s="29" t="n">
        <f aca="false">M64</f>
        <v>533791.856666667</v>
      </c>
      <c r="D65" s="23" t="n">
        <f aca="false">MATCH(C65,Récompenses!$F$6:$F$105,1)</f>
        <v>48</v>
      </c>
      <c r="E65" s="29" t="n">
        <f aca="false" t="array" ref="E65:E65">INDEX(Récompenses!$F$6:$F$105,B65)</f>
        <v>554577</v>
      </c>
      <c r="F65" s="29" t="n">
        <f aca="false">MAX(0,E65-C65)</f>
        <v>20785.1433333335</v>
      </c>
      <c r="G65" s="23" t="n">
        <f aca="false">MAX(5,5*INT((A65-1)/5))</f>
        <v>50</v>
      </c>
      <c r="H65" s="33" t="n">
        <f aca="false">IF(A65&lt;=5,MAX(1,A65-1),G65+Paramètres!$B$43/2)</f>
        <v>55</v>
      </c>
      <c r="I65" s="81" t="n">
        <f aca="false" t="array" ref="I65:I65">INDEX(Zones!$O$6:$O$35,MATCH(G65,Zones!$A$6:$A$35,0))*ROUND(Paramètres!$B$49*H65^Paramètres!$B$50,0)*MAX(Paramètres!$B$56,MIN(Paramètres!$B$57,1+Paramètres!$B$55*(H65-B65)))</f>
        <v>1528.3</v>
      </c>
      <c r="J65" s="72" t="n">
        <f aca="false">IF(F65&gt;0,ROUNDUP(F65/I65,0),0)</f>
        <v>14</v>
      </c>
      <c r="K65" s="72" t="n">
        <f aca="false" t="array" ref="K65:K65">J65*INDEX(Zones!$V$6:$V$35,MATCH(G65,Zones!$A$6:$A$35,0))</f>
        <v>170.916666666667</v>
      </c>
      <c r="L65" s="29" t="n">
        <f aca="false" t="array" ref="L65:L65">INDEX(Étages!$R$6:$R$105,A65)*MAX(Paramètres!$B$56,MIN(Paramètres!$B$57,1+Paramètres!$B$55*(A65-MAX(B65,D65))))</f>
        <v>11112.4</v>
      </c>
      <c r="M65" s="29" t="n">
        <f aca="false">C65+J65*I65+L65</f>
        <v>566300.456666666</v>
      </c>
      <c r="N65" s="27" t="n">
        <f aca="false" t="array" ref="N65:N65">INDEX(Étages!$L$6:$L$105,A65)</f>
        <v>91.875</v>
      </c>
      <c r="O65" s="82" t="n">
        <f aca="false">O64+(K65+N65)/3600</f>
        <v>2.26834982638889</v>
      </c>
      <c r="P65" s="29" t="n">
        <f aca="false" t="array" ref="P65:P65">P64+J65*INDEX(Zones!$O$6:$O$35,MATCH(G65,Zones!$A$6:$A$35,0))*ROUND(Paramètres!$B$53*H65^Paramètres!$B$54,0)+INDEX(Étages!$S$6:$S$105,A65)</f>
        <v>303406.333333333</v>
      </c>
      <c r="Q65" s="23" t="n">
        <f aca="false">MATCH(M65,Récompenses!$F$6:$F$105,1)</f>
        <v>49</v>
      </c>
    </row>
    <row r="66" customFormat="false" ht="15.75" hidden="false" customHeight="true" outlineLevel="0" collapsed="false">
      <c r="A66" s="71" t="n">
        <v>53</v>
      </c>
      <c r="B66" s="23" t="n">
        <f aca="false">MAX(1,A66-Paramètres!$B$61)</f>
        <v>50</v>
      </c>
      <c r="C66" s="29" t="n">
        <f aca="false">M65</f>
        <v>566300.456666666</v>
      </c>
      <c r="D66" s="23" t="n">
        <f aca="false">MATCH(C66,Récompenses!$F$6:$F$105,1)</f>
        <v>49</v>
      </c>
      <c r="E66" s="29" t="n">
        <f aca="false" t="array" ref="E66:E66">INDEX(Récompenses!$F$6:$F$105,B66)</f>
        <v>589042</v>
      </c>
      <c r="F66" s="29" t="n">
        <f aca="false">MAX(0,E66-C66)</f>
        <v>22741.5433333336</v>
      </c>
      <c r="G66" s="23" t="n">
        <f aca="false">MAX(5,5*INT((A66-1)/5))</f>
        <v>50</v>
      </c>
      <c r="H66" s="33" t="n">
        <f aca="false">IF(A66&lt;=5,MAX(1,A66-1),G66+Paramètres!$B$43/2)</f>
        <v>55</v>
      </c>
      <c r="I66" s="81" t="n">
        <f aca="false" t="array" ref="I66:I66">INDEX(Zones!$O$6:$O$35,MATCH(G66,Zones!$A$6:$A$35,0))*ROUND(Paramètres!$B$49*H66^Paramètres!$B$50,0)*MAX(Paramètres!$B$56,MIN(Paramètres!$B$57,1+Paramètres!$B$55*(H66-B66)))</f>
        <v>1528.3</v>
      </c>
      <c r="J66" s="72" t="n">
        <f aca="false">IF(F66&gt;0,ROUNDUP(F66/I66,0),0)</f>
        <v>15</v>
      </c>
      <c r="K66" s="72" t="n">
        <f aca="false" t="array" ref="K66:K66">J66*INDEX(Zones!$V$6:$V$35,MATCH(G66,Zones!$A$6:$A$35,0))</f>
        <v>183.125</v>
      </c>
      <c r="L66" s="29" t="n">
        <f aca="false" t="array" ref="L66:L66">INDEX(Étages!$R$6:$R$105,A66)*MAX(Paramètres!$B$56,MIN(Paramètres!$B$57,1+Paramètres!$B$55*(A66-MAX(B66,D66))))</f>
        <v>11377.6</v>
      </c>
      <c r="M66" s="29" t="n">
        <f aca="false">C66+J66*I66+L66</f>
        <v>600602.556666666</v>
      </c>
      <c r="N66" s="27" t="n">
        <f aca="false" t="array" ref="N66:N66">INDEX(Étages!$L$6:$L$105,A66)</f>
        <v>91.875</v>
      </c>
      <c r="O66" s="82" t="n">
        <f aca="false">O65+(K66+N66)/3600</f>
        <v>2.34473871527778</v>
      </c>
      <c r="P66" s="29" t="n">
        <f aca="false" t="array" ref="P66:P66">P65+J66*INDEX(Zones!$O$6:$O$35,MATCH(G66,Zones!$A$6:$A$35,0))*ROUND(Paramètres!$B$53*H66^Paramètres!$B$54,0)+INDEX(Étages!$S$6:$S$105,A66)</f>
        <v>321321.333333333</v>
      </c>
      <c r="Q66" s="23" t="n">
        <f aca="false">MATCH(M66,Récompenses!$F$6:$F$105,1)</f>
        <v>50</v>
      </c>
    </row>
    <row r="67" customFormat="false" ht="15.75" hidden="false" customHeight="true" outlineLevel="0" collapsed="false">
      <c r="A67" s="71" t="n">
        <v>54</v>
      </c>
      <c r="B67" s="23" t="n">
        <f aca="false">MAX(1,A67-Paramètres!$B$61)</f>
        <v>51</v>
      </c>
      <c r="C67" s="29" t="n">
        <f aca="false">M66</f>
        <v>600602.556666666</v>
      </c>
      <c r="D67" s="23" t="n">
        <f aca="false">MATCH(C67,Récompenses!$F$6:$F$105,1)</f>
        <v>50</v>
      </c>
      <c r="E67" s="29" t="n">
        <f aca="false" t="array" ref="E67:E67">INDEX(Récompenses!$F$6:$F$105,B67)</f>
        <v>624952</v>
      </c>
      <c r="F67" s="29" t="n">
        <f aca="false">MAX(0,E67-C67)</f>
        <v>24349.4433333336</v>
      </c>
      <c r="G67" s="23" t="n">
        <f aca="false">MAX(5,5*INT((A67-1)/5))</f>
        <v>50</v>
      </c>
      <c r="H67" s="33" t="n">
        <f aca="false">IF(A67&lt;=5,MAX(1,A67-1),G67+Paramètres!$B$43/2)</f>
        <v>55</v>
      </c>
      <c r="I67" s="81" t="n">
        <f aca="false" t="array" ref="I67:I67">INDEX(Zones!$O$6:$O$35,MATCH(G67,Zones!$A$6:$A$35,0))*ROUND(Paramètres!$B$49*H67^Paramètres!$B$50,0)*MAX(Paramètres!$B$56,MIN(Paramètres!$B$57,1+Paramètres!$B$55*(H67-B67)))</f>
        <v>1426.41333333333</v>
      </c>
      <c r="J67" s="72" t="n">
        <f aca="false">IF(F67&gt;0,ROUNDUP(F67/I67,0),0)</f>
        <v>18</v>
      </c>
      <c r="K67" s="72" t="n">
        <f aca="false" t="array" ref="K67:K67">J67*INDEX(Zones!$V$6:$V$35,MATCH(G67,Zones!$A$6:$A$35,0))</f>
        <v>219.75</v>
      </c>
      <c r="L67" s="29" t="n">
        <f aca="false" t="array" ref="L67:L67">INDEX(Étages!$R$6:$R$105,A67)*MAX(Paramètres!$B$56,MIN(Paramètres!$B$57,1+Paramètres!$B$55*(A67-MAX(B67,D67))))</f>
        <v>11642.8</v>
      </c>
      <c r="M67" s="29" t="n">
        <f aca="false">C67+J67*I67+L67</f>
        <v>637920.796666666</v>
      </c>
      <c r="N67" s="27" t="n">
        <f aca="false" t="array" ref="N67:N67">INDEX(Étages!$L$6:$L$105,A67)</f>
        <v>91.875</v>
      </c>
      <c r="O67" s="82" t="n">
        <f aca="false">O66+(K67+N67)/3600</f>
        <v>2.43130121527778</v>
      </c>
      <c r="P67" s="29" t="n">
        <f aca="false" t="array" ref="P67:P67">P66+J67*INDEX(Zones!$O$6:$O$35,MATCH(G67,Zones!$A$6:$A$35,0))*ROUND(Paramètres!$B$53*H67^Paramètres!$B$54,0)+INDEX(Étages!$S$6:$S$105,A67)</f>
        <v>341680.733333333</v>
      </c>
      <c r="Q67" s="23" t="n">
        <f aca="false">MATCH(M67,Récompenses!$F$6:$F$105,1)</f>
        <v>51</v>
      </c>
    </row>
    <row r="68" customFormat="false" ht="15.75" hidden="false" customHeight="true" outlineLevel="0" collapsed="false">
      <c r="A68" s="71" t="n">
        <v>55</v>
      </c>
      <c r="B68" s="23" t="n">
        <f aca="false">MAX(1,A68-Paramètres!$B$61)</f>
        <v>52</v>
      </c>
      <c r="C68" s="29" t="n">
        <f aca="false">M67</f>
        <v>637920.796666666</v>
      </c>
      <c r="D68" s="23" t="n">
        <f aca="false">MATCH(C68,Récompenses!$F$6:$F$105,1)</f>
        <v>51</v>
      </c>
      <c r="E68" s="29" t="n">
        <f aca="false" t="array" ref="E68:E68">INDEX(Récompenses!$F$6:$F$105,B68)</f>
        <v>662335</v>
      </c>
      <c r="F68" s="29" t="n">
        <f aca="false">MAX(0,E68-C68)</f>
        <v>24414.2033333336</v>
      </c>
      <c r="G68" s="23" t="n">
        <f aca="false">MAX(5,5*INT((A68-1)/5))</f>
        <v>50</v>
      </c>
      <c r="H68" s="33" t="n">
        <f aca="false">IF(A68&lt;=5,MAX(1,A68-1),G68+Paramètres!$B$43/2)</f>
        <v>55</v>
      </c>
      <c r="I68" s="81" t="n">
        <f aca="false" t="array" ref="I68:I68">INDEX(Zones!$O$6:$O$35,MATCH(G68,Zones!$A$6:$A$35,0))*ROUND(Paramètres!$B$49*H68^Paramètres!$B$50,0)*MAX(Paramètres!$B$56,MIN(Paramètres!$B$57,1+Paramètres!$B$55*(H68-B68)))</f>
        <v>1324.52666666667</v>
      </c>
      <c r="J68" s="72" t="n">
        <f aca="false">IF(F68&gt;0,ROUNDUP(F68/I68,0),0)</f>
        <v>19</v>
      </c>
      <c r="K68" s="72" t="n">
        <f aca="false" t="array" ref="K68:K68">J68*INDEX(Zones!$V$6:$V$35,MATCH(G68,Zones!$A$6:$A$35,0))</f>
        <v>231.958333333333</v>
      </c>
      <c r="L68" s="29" t="n">
        <f aca="false" t="array" ref="L68:L68">INDEX(Étages!$R$6:$R$105,A68)*MAX(Paramètres!$B$56,MIN(Paramètres!$B$57,1+Paramètres!$B$55*(A68-MAX(B68,D68))))</f>
        <v>27892.8</v>
      </c>
      <c r="M68" s="29" t="n">
        <f aca="false">C68+J68*I68+L68</f>
        <v>690979.603333333</v>
      </c>
      <c r="N68" s="27" t="n">
        <f aca="false" t="array" ref="N68:N68">INDEX(Étages!$L$6:$L$105,A68)</f>
        <v>234.25</v>
      </c>
      <c r="O68" s="82" t="n">
        <f aca="false">O67+(K68+N68)/3600</f>
        <v>2.56080353009259</v>
      </c>
      <c r="P68" s="29" t="n">
        <f aca="false" t="array" ref="P68:P68">P67+J68*INDEX(Zones!$O$6:$O$35,MATCH(G68,Zones!$A$6:$A$35,0))*ROUND(Paramètres!$B$53*H68^Paramètres!$B$54,0)+INDEX(Étages!$S$6:$S$105,A68)</f>
        <v>372144.6</v>
      </c>
      <c r="Q68" s="23" t="n">
        <f aca="false">MATCH(M68,Récompenses!$F$6:$F$105,1)</f>
        <v>52</v>
      </c>
    </row>
    <row r="69" customFormat="false" ht="15.75" hidden="false" customHeight="true" outlineLevel="0" collapsed="false">
      <c r="A69" s="71" t="n">
        <v>56</v>
      </c>
      <c r="B69" s="23" t="n">
        <f aca="false">MAX(1,A69-Paramètres!$B$61)</f>
        <v>53</v>
      </c>
      <c r="C69" s="29" t="n">
        <f aca="false">M68</f>
        <v>690979.603333333</v>
      </c>
      <c r="D69" s="23" t="n">
        <f aca="false">MATCH(C69,Récompenses!$F$6:$F$105,1)</f>
        <v>52</v>
      </c>
      <c r="E69" s="29" t="n">
        <f aca="false" t="array" ref="E69:E69">INDEX(Récompenses!$F$6:$F$105,B69)</f>
        <v>701218</v>
      </c>
      <c r="F69" s="29" t="n">
        <f aca="false">MAX(0,E69-C69)</f>
        <v>10238.3966666668</v>
      </c>
      <c r="G69" s="23" t="n">
        <f aca="false">MAX(5,5*INT((A69-1)/5))</f>
        <v>55</v>
      </c>
      <c r="H69" s="33" t="n">
        <f aca="false">IF(A69&lt;=5,MAX(1,A69-1),G69+Paramètres!$B$43/2)</f>
        <v>60</v>
      </c>
      <c r="I69" s="81" t="n">
        <f aca="false" t="array" ref="I69:I69">INDEX(Zones!$O$6:$O$35,MATCH(G69,Zones!$A$6:$A$35,0))*ROUND(Paramètres!$B$49*H69^Paramètres!$B$50,0)*MAX(Paramètres!$B$56,MIN(Paramètres!$B$57,1+Paramètres!$B$55*(H69-B69)))</f>
        <v>1703.4</v>
      </c>
      <c r="J69" s="72" t="n">
        <f aca="false">IF(F69&gt;0,ROUNDUP(F69/I69,0),0)</f>
        <v>7</v>
      </c>
      <c r="K69" s="72" t="n">
        <f aca="false" t="array" ref="K69:K69">J69*INDEX(Zones!$V$6:$V$35,MATCH(G69,Zones!$A$6:$A$35,0))</f>
        <v>71.4583333333333</v>
      </c>
      <c r="L69" s="29" t="n">
        <f aca="false" t="array" ref="L69:L69">INDEX(Étages!$R$6:$R$105,A69)*MAX(Paramètres!$B$56,MIN(Paramètres!$B$57,1+Paramètres!$B$55*(A69-MAX(B69,D69))))</f>
        <v>10752.3</v>
      </c>
      <c r="M69" s="29" t="n">
        <f aca="false">C69+J69*I69+L69</f>
        <v>713655.703333333</v>
      </c>
      <c r="N69" s="27" t="n">
        <f aca="false" t="array" ref="N69:N69">INDEX(Étages!$L$6:$L$105,A69)</f>
        <v>71.625</v>
      </c>
      <c r="O69" s="82" t="n">
        <f aca="false">O68+(K69+N69)/3600</f>
        <v>2.60054890046296</v>
      </c>
      <c r="P69" s="29" t="n">
        <f aca="false" t="array" ref="P69:P69">P68+J69*INDEX(Zones!$O$6:$O$35,MATCH(G69,Zones!$A$6:$A$35,0))*ROUND(Paramètres!$B$53*H69^Paramètres!$B$54,0)+INDEX(Étages!$S$6:$S$105,A69)</f>
        <v>384309.333333333</v>
      </c>
      <c r="Q69" s="23" t="n">
        <f aca="false">MATCH(M69,Récompenses!$F$6:$F$105,1)</f>
        <v>53</v>
      </c>
    </row>
    <row r="70" customFormat="false" ht="15.75" hidden="false" customHeight="true" outlineLevel="0" collapsed="false">
      <c r="A70" s="71" t="n">
        <v>57</v>
      </c>
      <c r="B70" s="23" t="n">
        <f aca="false">MAX(1,A70-Paramètres!$B$61)</f>
        <v>54</v>
      </c>
      <c r="C70" s="29" t="n">
        <f aca="false">M69</f>
        <v>713655.703333333</v>
      </c>
      <c r="D70" s="23" t="n">
        <f aca="false">MATCH(C70,Récompenses!$F$6:$F$105,1)</f>
        <v>53</v>
      </c>
      <c r="E70" s="29" t="n">
        <f aca="false" t="array" ref="E70:E70">INDEX(Récompenses!$F$6:$F$105,B70)</f>
        <v>741630</v>
      </c>
      <c r="F70" s="29" t="n">
        <f aca="false">MAX(0,E70-C70)</f>
        <v>27974.2966666668</v>
      </c>
      <c r="G70" s="23" t="n">
        <f aca="false">MAX(5,5*INT((A70-1)/5))</f>
        <v>55</v>
      </c>
      <c r="H70" s="33" t="n">
        <f aca="false">IF(A70&lt;=5,MAX(1,A70-1),G70+Paramètres!$B$43/2)</f>
        <v>60</v>
      </c>
      <c r="I70" s="81" t="n">
        <f aca="false" t="array" ref="I70:I70">INDEX(Zones!$O$6:$O$35,MATCH(G70,Zones!$A$6:$A$35,0))*ROUND(Paramètres!$B$49*H70^Paramètres!$B$50,0)*MAX(Paramètres!$B$56,MIN(Paramètres!$B$57,1+Paramètres!$B$55*(H70-B70)))</f>
        <v>1703.4</v>
      </c>
      <c r="J70" s="72" t="n">
        <f aca="false">IF(F70&gt;0,ROUNDUP(F70/I70,0),0)</f>
        <v>17</v>
      </c>
      <c r="K70" s="72" t="n">
        <f aca="false" t="array" ref="K70:K70">J70*INDEX(Zones!$V$6:$V$35,MATCH(G70,Zones!$A$6:$A$35,0))</f>
        <v>173.541666666667</v>
      </c>
      <c r="L70" s="29" t="n">
        <f aca="false" t="array" ref="L70:L70">INDEX(Étages!$R$6:$R$105,A70)*MAX(Paramètres!$B$56,MIN(Paramètres!$B$57,1+Paramètres!$B$55*(A70-MAX(B70,D70))))</f>
        <v>10998</v>
      </c>
      <c r="M70" s="29" t="n">
        <f aca="false">C70+J70*I70+L70</f>
        <v>753611.503333333</v>
      </c>
      <c r="N70" s="27" t="n">
        <f aca="false" t="array" ref="N70:N70">INDEX(Étages!$L$6:$L$105,A70)</f>
        <v>71.625</v>
      </c>
      <c r="O70" s="82" t="n">
        <f aca="false">O69+(K70+N70)/3600</f>
        <v>2.66865075231481</v>
      </c>
      <c r="P70" s="29" t="n">
        <f aca="false" t="array" ref="P70:P70">P69+J70*INDEX(Zones!$O$6:$O$35,MATCH(G70,Zones!$A$6:$A$35,0))*ROUND(Paramètres!$B$53*H70^Paramètres!$B$54,0)+INDEX(Étages!$S$6:$S$105,A70)</f>
        <v>405172.4</v>
      </c>
      <c r="Q70" s="23" t="n">
        <f aca="false">MATCH(M70,Récompenses!$F$6:$F$105,1)</f>
        <v>54</v>
      </c>
    </row>
    <row r="71" customFormat="false" ht="15.75" hidden="false" customHeight="true" outlineLevel="0" collapsed="false">
      <c r="A71" s="71" t="n">
        <v>58</v>
      </c>
      <c r="B71" s="23" t="n">
        <f aca="false">MAX(1,A71-Paramètres!$B$61)</f>
        <v>55</v>
      </c>
      <c r="C71" s="29" t="n">
        <f aca="false">M70</f>
        <v>753611.503333333</v>
      </c>
      <c r="D71" s="23" t="n">
        <f aca="false">MATCH(C71,Récompenses!$F$6:$F$105,1)</f>
        <v>54</v>
      </c>
      <c r="E71" s="29" t="n">
        <f aca="false" t="array" ref="E71:E71">INDEX(Récompenses!$F$6:$F$105,B71)</f>
        <v>783598</v>
      </c>
      <c r="F71" s="29" t="n">
        <f aca="false">MAX(0,E71-C71)</f>
        <v>29986.4966666667</v>
      </c>
      <c r="G71" s="23" t="n">
        <f aca="false">MAX(5,5*INT((A71-1)/5))</f>
        <v>55</v>
      </c>
      <c r="H71" s="33" t="n">
        <f aca="false">IF(A71&lt;=5,MAX(1,A71-1),G71+Paramètres!$B$43/2)</f>
        <v>60</v>
      </c>
      <c r="I71" s="81" t="n">
        <f aca="false" t="array" ref="I71:I71">INDEX(Zones!$O$6:$O$35,MATCH(G71,Zones!$A$6:$A$35,0))*ROUND(Paramètres!$B$49*H71^Paramètres!$B$50,0)*MAX(Paramètres!$B$56,MIN(Paramètres!$B$57,1+Paramètres!$B$55*(H71-B71)))</f>
        <v>1703.4</v>
      </c>
      <c r="J71" s="72" t="n">
        <f aca="false">IF(F71&gt;0,ROUNDUP(F71/I71,0),0)</f>
        <v>18</v>
      </c>
      <c r="K71" s="72" t="n">
        <f aca="false" t="array" ref="K71:K71">J71*INDEX(Zones!$V$6:$V$35,MATCH(G71,Zones!$A$6:$A$35,0))</f>
        <v>183.75</v>
      </c>
      <c r="L71" s="29" t="n">
        <f aca="false" t="array" ref="L71:L71">INDEX(Étages!$R$6:$R$105,A71)*MAX(Paramètres!$B$56,MIN(Paramètres!$B$57,1+Paramètres!$B$55*(A71-MAX(B71,D71))))</f>
        <v>11232</v>
      </c>
      <c r="M71" s="29" t="n">
        <f aca="false">C71+J71*I71+L71</f>
        <v>795504.703333333</v>
      </c>
      <c r="N71" s="27" t="n">
        <f aca="false" t="array" ref="N71:N71">INDEX(Étages!$L$6:$L$105,A71)</f>
        <v>71.625</v>
      </c>
      <c r="O71" s="82" t="n">
        <f aca="false">O70+(K71+N71)/3600</f>
        <v>2.73958825231481</v>
      </c>
      <c r="P71" s="29" t="n">
        <f aca="false" t="array" ref="P71:P71">P70+J71*INDEX(Zones!$O$6:$O$35,MATCH(G71,Zones!$A$6:$A$35,0))*ROUND(Paramètres!$B$53*H71^Paramètres!$B$54,0)+INDEX(Étages!$S$6:$S$105,A71)</f>
        <v>427043</v>
      </c>
      <c r="Q71" s="23" t="n">
        <f aca="false">MATCH(M71,Récompenses!$F$6:$F$105,1)</f>
        <v>55</v>
      </c>
    </row>
    <row r="72" customFormat="false" ht="15.75" hidden="false" customHeight="true" outlineLevel="0" collapsed="false">
      <c r="A72" s="71" t="n">
        <v>59</v>
      </c>
      <c r="B72" s="23" t="n">
        <f aca="false">MAX(1,A72-Paramètres!$B$61)</f>
        <v>56</v>
      </c>
      <c r="C72" s="29" t="n">
        <f aca="false">M71</f>
        <v>795504.703333333</v>
      </c>
      <c r="D72" s="23" t="n">
        <f aca="false">MATCH(C72,Récompenses!$F$6:$F$105,1)</f>
        <v>55</v>
      </c>
      <c r="E72" s="29" t="n">
        <f aca="false" t="array" ref="E72:E72">INDEX(Récompenses!$F$6:$F$105,B72)</f>
        <v>827200</v>
      </c>
      <c r="F72" s="29" t="n">
        <f aca="false">MAX(0,E72-C72)</f>
        <v>31695.2966666668</v>
      </c>
      <c r="G72" s="23" t="n">
        <f aca="false">MAX(5,5*INT((A72-1)/5))</f>
        <v>55</v>
      </c>
      <c r="H72" s="33" t="n">
        <f aca="false">IF(A72&lt;=5,MAX(1,A72-1),G72+Paramètres!$B$43/2)</f>
        <v>60</v>
      </c>
      <c r="I72" s="81" t="n">
        <f aca="false" t="array" ref="I72:I72">INDEX(Zones!$O$6:$O$35,MATCH(G72,Zones!$A$6:$A$35,0))*ROUND(Paramètres!$B$49*H72^Paramètres!$B$50,0)*MAX(Paramètres!$B$56,MIN(Paramètres!$B$57,1+Paramètres!$B$55*(H72-B72)))</f>
        <v>1589.84</v>
      </c>
      <c r="J72" s="72" t="n">
        <f aca="false">IF(F72&gt;0,ROUNDUP(F72/I72,0),0)</f>
        <v>20</v>
      </c>
      <c r="K72" s="72" t="n">
        <f aca="false" t="array" ref="K72:K72">J72*INDEX(Zones!$V$6:$V$35,MATCH(G72,Zones!$A$6:$A$35,0))</f>
        <v>204.166666666667</v>
      </c>
      <c r="L72" s="29" t="n">
        <f aca="false" t="array" ref="L72:L72">INDEX(Étages!$R$6:$R$105,A72)*MAX(Paramètres!$B$56,MIN(Paramètres!$B$57,1+Paramètres!$B$55*(A72-MAX(B72,D72))))</f>
        <v>15303.6</v>
      </c>
      <c r="M72" s="29" t="n">
        <f aca="false">C72+J72*I72+L72</f>
        <v>842605.103333333</v>
      </c>
      <c r="N72" s="27" t="n">
        <f aca="false" t="array" ref="N72:N72">INDEX(Étages!$L$6:$L$105,A72)</f>
        <v>104</v>
      </c>
      <c r="O72" s="82" t="n">
        <f aca="false">O71+(K72+N72)/3600</f>
        <v>2.82519010416667</v>
      </c>
      <c r="P72" s="29" t="n">
        <f aca="false" t="array" ref="P72:P72">P71+J72*INDEX(Zones!$O$6:$O$35,MATCH(G72,Zones!$A$6:$A$35,0))*ROUND(Paramètres!$B$53*H72^Paramètres!$B$54,0)+INDEX(Étages!$S$6:$S$105,A72)</f>
        <v>452989.666666667</v>
      </c>
      <c r="Q72" s="23" t="n">
        <f aca="false">MATCH(M72,Récompenses!$F$6:$F$105,1)</f>
        <v>56</v>
      </c>
    </row>
    <row r="73" customFormat="false" ht="15.75" hidden="false" customHeight="true" outlineLevel="0" collapsed="false">
      <c r="A73" s="71" t="n">
        <v>60</v>
      </c>
      <c r="B73" s="23" t="n">
        <f aca="false">MAX(1,A73-Paramètres!$B$61)</f>
        <v>57</v>
      </c>
      <c r="C73" s="29" t="n">
        <f aca="false">M72</f>
        <v>842605.103333333</v>
      </c>
      <c r="D73" s="23" t="n">
        <f aca="false">MATCH(C73,Récompenses!$F$6:$F$105,1)</f>
        <v>56</v>
      </c>
      <c r="E73" s="29" t="n">
        <f aca="false" t="array" ref="E73:E73">INDEX(Récompenses!$F$6:$F$105,B73)</f>
        <v>872415</v>
      </c>
      <c r="F73" s="29" t="n">
        <f aca="false">MAX(0,E73-C73)</f>
        <v>29809.8966666667</v>
      </c>
      <c r="G73" s="23" t="n">
        <f aca="false">MAX(5,5*INT((A73-1)/5))</f>
        <v>55</v>
      </c>
      <c r="H73" s="33" t="n">
        <f aca="false">IF(A73&lt;=5,MAX(1,A73-1),G73+Paramètres!$B$43/2)</f>
        <v>60</v>
      </c>
      <c r="I73" s="81" t="n">
        <f aca="false" t="array" ref="I73:I73">INDEX(Zones!$O$6:$O$35,MATCH(G73,Zones!$A$6:$A$35,0))*ROUND(Paramètres!$B$49*H73^Paramètres!$B$50,0)*MAX(Paramètres!$B$56,MIN(Paramètres!$B$57,1+Paramètres!$B$55*(H73-B73)))</f>
        <v>1476.28</v>
      </c>
      <c r="J73" s="72" t="n">
        <f aca="false">IF(F73&gt;0,ROUNDUP(F73/I73,0),0)</f>
        <v>21</v>
      </c>
      <c r="K73" s="72" t="n">
        <f aca="false" t="array" ref="K73:K73">J73*INDEX(Zones!$V$6:$V$35,MATCH(G73,Zones!$A$6:$A$35,0))</f>
        <v>214.375</v>
      </c>
      <c r="L73" s="29" t="n">
        <f aca="false" t="array" ref="L73:L73">INDEX(Étages!$R$6:$R$105,A73)*MAX(Paramètres!$B$56,MIN(Paramètres!$B$57,1+Paramètres!$B$55*(A73-MAX(B73,D73))))</f>
        <v>28657.2</v>
      </c>
      <c r="M73" s="29" t="n">
        <f aca="false">C73+J73*I73+L73</f>
        <v>902264.183333333</v>
      </c>
      <c r="N73" s="27" t="n">
        <f aca="false" t="array" ref="N73:N73">INDEX(Étages!$L$6:$L$105,A73)</f>
        <v>181.75</v>
      </c>
      <c r="O73" s="82" t="n">
        <f aca="false">O72+(K73+N73)/3600</f>
        <v>2.93522482638889</v>
      </c>
      <c r="P73" s="29" t="n">
        <f aca="false" t="array" ref="P73:P73">P72+J73*INDEX(Zones!$O$6:$O$35,MATCH(G73,Zones!$A$6:$A$35,0))*ROUND(Paramètres!$B$53*H73^Paramètres!$B$54,0)+INDEX(Étages!$S$6:$S$105,A73)</f>
        <v>487522.866666667</v>
      </c>
      <c r="Q73" s="23" t="n">
        <f aca="false">MATCH(M73,Récompenses!$F$6:$F$105,1)</f>
        <v>57</v>
      </c>
    </row>
    <row r="74" customFormat="false" ht="15.75" hidden="false" customHeight="true" outlineLevel="0" collapsed="false">
      <c r="A74" s="71" t="n">
        <v>61</v>
      </c>
      <c r="B74" s="23" t="n">
        <f aca="false">MAX(1,A74-Paramètres!$B$61)</f>
        <v>58</v>
      </c>
      <c r="C74" s="29" t="n">
        <f aca="false">M73</f>
        <v>902264.183333333</v>
      </c>
      <c r="D74" s="23" t="n">
        <f aca="false">MATCH(C74,Récompenses!$F$6:$F$105,1)</f>
        <v>57</v>
      </c>
      <c r="E74" s="29" t="n">
        <f aca="false" t="array" ref="E74:E74">INDEX(Récompenses!$F$6:$F$105,B74)</f>
        <v>919321</v>
      </c>
      <c r="F74" s="29" t="n">
        <f aca="false">MAX(0,E74-C74)</f>
        <v>17056.8166666668</v>
      </c>
      <c r="G74" s="23" t="n">
        <f aca="false">MAX(5,5*INT((A74-1)/5))</f>
        <v>60</v>
      </c>
      <c r="H74" s="33" t="n">
        <f aca="false">IF(A74&lt;=5,MAX(1,A74-1),G74+Paramètres!$B$43/2)</f>
        <v>65</v>
      </c>
      <c r="I74" s="81" t="n">
        <f aca="false" t="array" ref="I74:I74">INDEX(Zones!$O$6:$O$35,MATCH(G74,Zones!$A$6:$A$35,0))*ROUND(Paramètres!$B$49*H74^Paramètres!$B$50,0)*MAX(Paramètres!$B$56,MIN(Paramètres!$B$57,1+Paramètres!$B$55*(H74-B74)))</f>
        <v>1660.5</v>
      </c>
      <c r="J74" s="72" t="n">
        <f aca="false">IF(F74&gt;0,ROUNDUP(F74/I74,0),0)</f>
        <v>11</v>
      </c>
      <c r="K74" s="72" t="n">
        <f aca="false" t="array" ref="K74:K74">J74*INDEX(Zones!$V$6:$V$35,MATCH(G74,Zones!$A$6:$A$35,0))</f>
        <v>87.5416666666667</v>
      </c>
      <c r="L74" s="29" t="n">
        <f aca="false" t="array" ref="L74:L74">INDEX(Étages!$R$6:$R$105,A74)*MAX(Paramètres!$B$56,MIN(Paramètres!$B$57,1+Paramètres!$B$55*(A74-MAX(B74,D74))))</f>
        <v>13565.5</v>
      </c>
      <c r="M74" s="29" t="n">
        <f aca="false">C74+J74*I74+L74</f>
        <v>934095.183333333</v>
      </c>
      <c r="N74" s="27" t="n">
        <f aca="false" t="array" ref="N74:N74">INDEX(Étages!$L$6:$L$105,A74)</f>
        <v>114.375</v>
      </c>
      <c r="O74" s="82" t="n">
        <f aca="false">O73+(K74+N74)/3600</f>
        <v>2.99131278935185</v>
      </c>
      <c r="P74" s="29" t="n">
        <f aca="false" t="array" ref="P74:P74">P73+J74*INDEX(Zones!$O$6:$O$35,MATCH(G74,Zones!$A$6:$A$35,0))*ROUND(Paramètres!$B$53*H74^Paramètres!$B$54,0)+INDEX(Étages!$S$6:$S$105,A74)</f>
        <v>504637.866666667</v>
      </c>
      <c r="Q74" s="23" t="n">
        <f aca="false">MATCH(M74,Récompenses!$F$6:$F$105,1)</f>
        <v>58</v>
      </c>
    </row>
    <row r="75" customFormat="false" ht="15.75" hidden="false" customHeight="true" outlineLevel="0" collapsed="false">
      <c r="A75" s="71" t="n">
        <v>62</v>
      </c>
      <c r="B75" s="23" t="n">
        <f aca="false">MAX(1,A75-Paramètres!$B$61)</f>
        <v>59</v>
      </c>
      <c r="C75" s="29" t="n">
        <f aca="false">M74</f>
        <v>934095.183333333</v>
      </c>
      <c r="D75" s="23" t="n">
        <f aca="false">MATCH(C75,Récompenses!$F$6:$F$105,1)</f>
        <v>58</v>
      </c>
      <c r="E75" s="29" t="n">
        <f aca="false" t="array" ref="E75:E75">INDEX(Récompenses!$F$6:$F$105,B75)</f>
        <v>967897</v>
      </c>
      <c r="F75" s="29" t="n">
        <f aca="false">MAX(0,E75-C75)</f>
        <v>33801.8166666668</v>
      </c>
      <c r="G75" s="23" t="n">
        <f aca="false">MAX(5,5*INT((A75-1)/5))</f>
        <v>60</v>
      </c>
      <c r="H75" s="33" t="n">
        <f aca="false">IF(A75&lt;=5,MAX(1,A75-1),G75+Paramètres!$B$43/2)</f>
        <v>65</v>
      </c>
      <c r="I75" s="81" t="n">
        <f aca="false" t="array" ref="I75:I75">INDEX(Zones!$O$6:$O$35,MATCH(G75,Zones!$A$6:$A$35,0))*ROUND(Paramètres!$B$49*H75^Paramètres!$B$50,0)*MAX(Paramètres!$B$56,MIN(Paramètres!$B$57,1+Paramètres!$B$55*(H75-B75)))</f>
        <v>1660.5</v>
      </c>
      <c r="J75" s="72" t="n">
        <f aca="false">IF(F75&gt;0,ROUNDUP(F75/I75,0),0)</f>
        <v>21</v>
      </c>
      <c r="K75" s="72" t="n">
        <f aca="false" t="array" ref="K75:K75">J75*INDEX(Zones!$V$6:$V$35,MATCH(G75,Zones!$A$6:$A$35,0))</f>
        <v>167.125</v>
      </c>
      <c r="L75" s="29" t="n">
        <f aca="false" t="array" ref="L75:L75">INDEX(Étages!$R$6:$R$105,A75)*MAX(Paramètres!$B$56,MIN(Paramètres!$B$57,1+Paramètres!$B$55*(A75-MAX(B75,D75))))</f>
        <v>13843.7</v>
      </c>
      <c r="M75" s="29" t="n">
        <f aca="false">C75+J75*I75+L75</f>
        <v>982809.383333333</v>
      </c>
      <c r="N75" s="27" t="n">
        <f aca="false" t="array" ref="N75:N75">INDEX(Étages!$L$6:$L$105,A75)</f>
        <v>114.375</v>
      </c>
      <c r="O75" s="82" t="n">
        <f aca="false">O74+(K75+N75)/3600</f>
        <v>3.0695072337963</v>
      </c>
      <c r="P75" s="29" t="n">
        <f aca="false" t="array" ref="P75:P75">P74+J75*INDEX(Zones!$O$6:$O$35,MATCH(G75,Zones!$A$6:$A$35,0))*ROUND(Paramètres!$B$53*H75^Paramètres!$B$54,0)+INDEX(Étages!$S$6:$S$105,A75)</f>
        <v>530346.866666667</v>
      </c>
      <c r="Q75" s="23" t="n">
        <f aca="false">MATCH(M75,Récompenses!$F$6:$F$105,1)</f>
        <v>59</v>
      </c>
    </row>
    <row r="76" customFormat="false" ht="15.75" hidden="false" customHeight="true" outlineLevel="0" collapsed="false">
      <c r="A76" s="71" t="n">
        <v>63</v>
      </c>
      <c r="B76" s="23" t="n">
        <f aca="false">MAX(1,A76-Paramètres!$B$61)</f>
        <v>60</v>
      </c>
      <c r="C76" s="29" t="n">
        <f aca="false">M75</f>
        <v>982809.383333333</v>
      </c>
      <c r="D76" s="23" t="n">
        <f aca="false">MATCH(C76,Récompenses!$F$6:$F$105,1)</f>
        <v>59</v>
      </c>
      <c r="E76" s="29" t="n">
        <f aca="false" t="array" ref="E76:E76">INDEX(Récompenses!$F$6:$F$105,B76)</f>
        <v>1018222</v>
      </c>
      <c r="F76" s="29" t="n">
        <f aca="false">MAX(0,E76-C76)</f>
        <v>35412.6166666668</v>
      </c>
      <c r="G76" s="23" t="n">
        <f aca="false">MAX(5,5*INT((A76-1)/5))</f>
        <v>60</v>
      </c>
      <c r="H76" s="33" t="n">
        <f aca="false">IF(A76&lt;=5,MAX(1,A76-1),G76+Paramètres!$B$43/2)</f>
        <v>65</v>
      </c>
      <c r="I76" s="81" t="n">
        <f aca="false" t="array" ref="I76:I76">INDEX(Zones!$O$6:$O$35,MATCH(G76,Zones!$A$6:$A$35,0))*ROUND(Paramètres!$B$49*H76^Paramètres!$B$50,0)*MAX(Paramètres!$B$56,MIN(Paramètres!$B$57,1+Paramètres!$B$55*(H76-B76)))</f>
        <v>1660.5</v>
      </c>
      <c r="J76" s="72" t="n">
        <f aca="false">IF(F76&gt;0,ROUNDUP(F76/I76,0),0)</f>
        <v>22</v>
      </c>
      <c r="K76" s="72" t="n">
        <f aca="false" t="array" ref="K76:K76">J76*INDEX(Zones!$V$6:$V$35,MATCH(G76,Zones!$A$6:$A$35,0))</f>
        <v>175.083333333333</v>
      </c>
      <c r="L76" s="29" t="n">
        <f aca="false" t="array" ref="L76:L76">INDEX(Étages!$R$6:$R$105,A76)*MAX(Paramètres!$B$56,MIN(Paramètres!$B$57,1+Paramètres!$B$55*(A76-MAX(B76,D76))))</f>
        <v>14121.9</v>
      </c>
      <c r="M76" s="29" t="n">
        <f aca="false">C76+J76*I76+L76</f>
        <v>1033462.28333333</v>
      </c>
      <c r="N76" s="27" t="n">
        <f aca="false" t="array" ref="N76:N76">INDEX(Étages!$L$6:$L$105,A76)</f>
        <v>114.375</v>
      </c>
      <c r="O76" s="82" t="n">
        <f aca="false">O75+(K76+N76)/3600</f>
        <v>3.14991232638889</v>
      </c>
      <c r="P76" s="29" t="n">
        <f aca="false" t="array" ref="P76:P76">P75+J76*INDEX(Zones!$O$6:$O$35,MATCH(G76,Zones!$A$6:$A$35,0))*ROUND(Paramètres!$B$53*H76^Paramètres!$B$54,0)+INDEX(Étages!$S$6:$S$105,A76)</f>
        <v>557069.866666667</v>
      </c>
      <c r="Q76" s="23" t="n">
        <f aca="false">MATCH(M76,Récompenses!$F$6:$F$105,1)</f>
        <v>60</v>
      </c>
    </row>
    <row r="77" customFormat="false" ht="15.75" hidden="false" customHeight="true" outlineLevel="0" collapsed="false">
      <c r="A77" s="71" t="n">
        <v>64</v>
      </c>
      <c r="B77" s="23" t="n">
        <f aca="false">MAX(1,A77-Paramètres!$B$61)</f>
        <v>61</v>
      </c>
      <c r="C77" s="29" t="n">
        <f aca="false">M76</f>
        <v>1033462.28333333</v>
      </c>
      <c r="D77" s="23" t="n">
        <f aca="false">MATCH(C77,Récompenses!$F$6:$F$105,1)</f>
        <v>60</v>
      </c>
      <c r="E77" s="29" t="n">
        <f aca="false" t="array" ref="E77:E77">INDEX(Récompenses!$F$6:$F$105,B77)</f>
        <v>1070326</v>
      </c>
      <c r="F77" s="29" t="n">
        <f aca="false">MAX(0,E77-C77)</f>
        <v>36863.7166666668</v>
      </c>
      <c r="G77" s="23" t="n">
        <f aca="false">MAX(5,5*INT((A77-1)/5))</f>
        <v>60</v>
      </c>
      <c r="H77" s="33" t="n">
        <f aca="false">IF(A77&lt;=5,MAX(1,A77-1),G77+Paramètres!$B$43/2)</f>
        <v>65</v>
      </c>
      <c r="I77" s="81" t="n">
        <f aca="false" t="array" ref="I77:I77">INDEX(Zones!$O$6:$O$35,MATCH(G77,Zones!$A$6:$A$35,0))*ROUND(Paramètres!$B$49*H77^Paramètres!$B$50,0)*MAX(Paramètres!$B$56,MIN(Paramètres!$B$57,1+Paramètres!$B$55*(H77-B77)))</f>
        <v>1549.8</v>
      </c>
      <c r="J77" s="72" t="n">
        <f aca="false">IF(F77&gt;0,ROUNDUP(F77/I77,0),0)</f>
        <v>24</v>
      </c>
      <c r="K77" s="72" t="n">
        <f aca="false" t="array" ref="K77:K77">J77*INDEX(Zones!$V$6:$V$35,MATCH(G77,Zones!$A$6:$A$35,0))</f>
        <v>191</v>
      </c>
      <c r="L77" s="29" t="n">
        <f aca="false" t="array" ref="L77:L77">INDEX(Étages!$R$6:$R$105,A77)*MAX(Paramètres!$B$56,MIN(Paramètres!$B$57,1+Paramètres!$B$55*(A77-MAX(B77,D77))))</f>
        <v>14400.1</v>
      </c>
      <c r="M77" s="29" t="n">
        <f aca="false">C77+J77*I77+L77</f>
        <v>1085057.58333333</v>
      </c>
      <c r="N77" s="27" t="n">
        <f aca="false" t="array" ref="N77:N77">INDEX(Étages!$L$6:$L$105,A77)</f>
        <v>114.375</v>
      </c>
      <c r="O77" s="82" t="n">
        <f aca="false">O76+(K77+N77)/3600</f>
        <v>3.23473871527778</v>
      </c>
      <c r="P77" s="29" t="n">
        <f aca="false" t="array" ref="P77:P77">P76+J77*INDEX(Zones!$O$6:$O$35,MATCH(G77,Zones!$A$6:$A$35,0))*ROUND(Paramètres!$B$53*H77^Paramètres!$B$54,0)+INDEX(Étages!$S$6:$S$105,A77)</f>
        <v>585648.866666667</v>
      </c>
      <c r="Q77" s="23" t="n">
        <f aca="false">MATCH(M77,Récompenses!$F$6:$F$105,1)</f>
        <v>61</v>
      </c>
    </row>
    <row r="78" customFormat="false" ht="15.75" hidden="false" customHeight="true" outlineLevel="0" collapsed="false">
      <c r="A78" s="71" t="n">
        <v>65</v>
      </c>
      <c r="B78" s="23" t="n">
        <f aca="false">MAX(1,A78-Paramètres!$B$61)</f>
        <v>62</v>
      </c>
      <c r="C78" s="29" t="n">
        <f aca="false">M77</f>
        <v>1085057.58333333</v>
      </c>
      <c r="D78" s="23" t="n">
        <f aca="false">MATCH(C78,Récompenses!$F$6:$F$105,1)</f>
        <v>61</v>
      </c>
      <c r="E78" s="29" t="n">
        <f aca="false" t="array" ref="E78:E78">INDEX(Récompenses!$F$6:$F$105,B78)</f>
        <v>1124238</v>
      </c>
      <c r="F78" s="29" t="n">
        <f aca="false">MAX(0,E78-C78)</f>
        <v>39180.4166666667</v>
      </c>
      <c r="G78" s="23" t="n">
        <f aca="false">MAX(5,5*INT((A78-1)/5))</f>
        <v>60</v>
      </c>
      <c r="H78" s="33" t="n">
        <f aca="false">IF(A78&lt;=5,MAX(1,A78-1),G78+Paramètres!$B$43/2)</f>
        <v>65</v>
      </c>
      <c r="I78" s="81" t="n">
        <f aca="false" t="array" ref="I78:I78">INDEX(Zones!$O$6:$O$35,MATCH(G78,Zones!$A$6:$A$35,0))*ROUND(Paramètres!$B$49*H78^Paramètres!$B$50,0)*MAX(Paramètres!$B$56,MIN(Paramètres!$B$57,1+Paramètres!$B$55*(H78-B78)))</f>
        <v>1439.1</v>
      </c>
      <c r="J78" s="72" t="n">
        <f aca="false">IF(F78&gt;0,ROUNDUP(F78/I78,0),0)</f>
        <v>28</v>
      </c>
      <c r="K78" s="72" t="n">
        <f aca="false" t="array" ref="K78:K78">J78*INDEX(Zones!$V$6:$V$35,MATCH(G78,Zones!$A$6:$A$35,0))</f>
        <v>222.833333333333</v>
      </c>
      <c r="L78" s="29" t="n">
        <f aca="false" t="array" ref="L78:L78">INDEX(Étages!$R$6:$R$105,A78)*MAX(Paramètres!$B$56,MIN(Paramètres!$B$57,1+Paramètres!$B$55*(A78-MAX(B78,D78))))</f>
        <v>34346</v>
      </c>
      <c r="M78" s="29" t="n">
        <f aca="false">C78+J78*I78+L78</f>
        <v>1159698.38333333</v>
      </c>
      <c r="N78" s="27" t="n">
        <f aca="false" t="array" ref="N78:N78">INDEX(Étages!$L$6:$L$105,A78)</f>
        <v>269.25</v>
      </c>
      <c r="O78" s="82" t="n">
        <f aca="false">O77+(K78+N78)/3600</f>
        <v>3.37142853009259</v>
      </c>
      <c r="P78" s="29" t="n">
        <f aca="false" t="array" ref="P78:P78">P77+J78*INDEX(Zones!$O$6:$O$35,MATCH(G78,Zones!$A$6:$A$35,0))*ROUND(Paramètres!$B$53*H78^Paramètres!$B$54,0)+INDEX(Étages!$S$6:$S$105,A78)</f>
        <v>629268.866666667</v>
      </c>
      <c r="Q78" s="23" t="n">
        <f aca="false">MATCH(M78,Récompenses!$F$6:$F$105,1)</f>
        <v>62</v>
      </c>
    </row>
    <row r="79" customFormat="false" ht="15.75" hidden="false" customHeight="true" outlineLevel="0" collapsed="false">
      <c r="A79" s="71" t="n">
        <v>66</v>
      </c>
      <c r="B79" s="23" t="n">
        <f aca="false">MAX(1,A79-Paramètres!$B$61)</f>
        <v>63</v>
      </c>
      <c r="C79" s="29" t="n">
        <f aca="false">M78</f>
        <v>1159698.38333333</v>
      </c>
      <c r="D79" s="23" t="n">
        <f aca="false">MATCH(C79,Récompenses!$F$6:$F$105,1)</f>
        <v>62</v>
      </c>
      <c r="E79" s="29" t="n">
        <f aca="false" t="array" ref="E79:E79">INDEX(Récompenses!$F$6:$F$105,B79)</f>
        <v>1179988</v>
      </c>
      <c r="F79" s="29" t="n">
        <f aca="false">MAX(0,E79-C79)</f>
        <v>20289.6166666667</v>
      </c>
      <c r="G79" s="23" t="n">
        <f aca="false">MAX(5,5*INT((A79-1)/5))</f>
        <v>65</v>
      </c>
      <c r="H79" s="33" t="n">
        <f aca="false">IF(A79&lt;=5,MAX(1,A79-1),G79+Paramètres!$B$43/2)</f>
        <v>70</v>
      </c>
      <c r="I79" s="81" t="n">
        <f aca="false" t="array" ref="I79:I79">INDEX(Zones!$O$6:$O$35,MATCH(G79,Zones!$A$6:$A$35,0))*ROUND(Paramètres!$B$49*H79^Paramètres!$B$50,0)*MAX(Paramètres!$B$56,MIN(Paramètres!$B$57,1+Paramètres!$B$55*(H79-B79)))</f>
        <v>2065.5</v>
      </c>
      <c r="J79" s="72" t="n">
        <f aca="false">IF(F79&gt;0,ROUNDUP(F79/I79,0),0)</f>
        <v>10</v>
      </c>
      <c r="K79" s="72" t="n">
        <f aca="false" t="array" ref="K79:K79">J79*INDEX(Zones!$V$6:$V$35,MATCH(G79,Zones!$A$6:$A$35,0))</f>
        <v>127.083333333333</v>
      </c>
      <c r="L79" s="29" t="n">
        <f aca="false" t="array" ref="L79:L79">INDEX(Étages!$R$6:$R$105,A79)*MAX(Paramètres!$B$56,MIN(Paramètres!$B$57,1+Paramètres!$B$55*(A79-MAX(B79,D79))))</f>
        <v>13209.3</v>
      </c>
      <c r="M79" s="29" t="n">
        <f aca="false">C79+J79*I79+L79</f>
        <v>1193562.68333333</v>
      </c>
      <c r="N79" s="27" t="n">
        <f aca="false" t="array" ref="N79:N79">INDEX(Étages!$L$6:$L$105,A79)</f>
        <v>69.375</v>
      </c>
      <c r="O79" s="82" t="n">
        <f aca="false">O78+(K79+N79)/3600</f>
        <v>3.42600028935185</v>
      </c>
      <c r="P79" s="29" t="n">
        <f aca="false" t="array" ref="P79:P79">P78+J79*INDEX(Zones!$O$6:$O$35,MATCH(G79,Zones!$A$6:$A$35,0))*ROUND(Paramètres!$B$53*H79^Paramètres!$B$54,0)+INDEX(Étages!$S$6:$S$105,A79)</f>
        <v>647519.533333333</v>
      </c>
      <c r="Q79" s="23" t="n">
        <f aca="false">MATCH(M79,Récompenses!$F$6:$F$105,1)</f>
        <v>63</v>
      </c>
    </row>
    <row r="80" customFormat="false" ht="15.75" hidden="false" customHeight="true" outlineLevel="0" collapsed="false">
      <c r="A80" s="71" t="n">
        <v>67</v>
      </c>
      <c r="B80" s="23" t="n">
        <f aca="false">MAX(1,A80-Paramètres!$B$61)</f>
        <v>64</v>
      </c>
      <c r="C80" s="29" t="n">
        <f aca="false">M79</f>
        <v>1193562.68333333</v>
      </c>
      <c r="D80" s="23" t="n">
        <f aca="false">MATCH(C80,Récompenses!$F$6:$F$105,1)</f>
        <v>63</v>
      </c>
      <c r="E80" s="29" t="n">
        <f aca="false" t="array" ref="E80:E80">INDEX(Récompenses!$F$6:$F$105,B80)</f>
        <v>1237604</v>
      </c>
      <c r="F80" s="29" t="n">
        <f aca="false">MAX(0,E80-C80)</f>
        <v>44041.3166666667</v>
      </c>
      <c r="G80" s="23" t="n">
        <f aca="false">MAX(5,5*INT((A80-1)/5))</f>
        <v>65</v>
      </c>
      <c r="H80" s="33" t="n">
        <f aca="false">IF(A80&lt;=5,MAX(1,A80-1),G80+Paramètres!$B$43/2)</f>
        <v>70</v>
      </c>
      <c r="I80" s="81" t="n">
        <f aca="false" t="array" ref="I80:I80">INDEX(Zones!$O$6:$O$35,MATCH(G80,Zones!$A$6:$A$35,0))*ROUND(Paramètres!$B$49*H80^Paramètres!$B$50,0)*MAX(Paramètres!$B$56,MIN(Paramètres!$B$57,1+Paramètres!$B$55*(H80-B80)))</f>
        <v>2065.5</v>
      </c>
      <c r="J80" s="72" t="n">
        <f aca="false">IF(F80&gt;0,ROUNDUP(F80/I80,0),0)</f>
        <v>22</v>
      </c>
      <c r="K80" s="72" t="n">
        <f aca="false" t="array" ref="K80:K80">J80*INDEX(Zones!$V$6:$V$35,MATCH(G80,Zones!$A$6:$A$35,0))</f>
        <v>279.583333333333</v>
      </c>
      <c r="L80" s="29" t="n">
        <f aca="false" t="array" ref="L80:L80">INDEX(Étages!$R$6:$R$105,A80)*MAX(Paramètres!$B$56,MIN(Paramètres!$B$57,1+Paramètres!$B$55*(A80-MAX(B80,D80))))</f>
        <v>13455</v>
      </c>
      <c r="M80" s="29" t="n">
        <f aca="false">C80+J80*I80+L80</f>
        <v>1252458.68333333</v>
      </c>
      <c r="N80" s="27" t="n">
        <f aca="false" t="array" ref="N80:N80">INDEX(Étages!$L$6:$L$105,A80)</f>
        <v>69.375</v>
      </c>
      <c r="O80" s="82" t="n">
        <f aca="false">O79+(K80+N80)/3600</f>
        <v>3.52293315972222</v>
      </c>
      <c r="P80" s="29" t="n">
        <f aca="false" t="array" ref="P80:P80">P79+J80*INDEX(Zones!$O$6:$O$35,MATCH(G80,Zones!$A$6:$A$35,0))*ROUND(Paramètres!$B$53*H80^Paramètres!$B$54,0)+INDEX(Étages!$S$6:$S$105,A80)</f>
        <v>678566.6</v>
      </c>
      <c r="Q80" s="23" t="n">
        <f aca="false">MATCH(M80,Récompenses!$F$6:$F$105,1)</f>
        <v>64</v>
      </c>
    </row>
    <row r="81" customFormat="false" ht="15.75" hidden="false" customHeight="true" outlineLevel="0" collapsed="false">
      <c r="A81" s="71" t="n">
        <v>68</v>
      </c>
      <c r="B81" s="23" t="n">
        <f aca="false">MAX(1,A81-Paramètres!$B$61)</f>
        <v>65</v>
      </c>
      <c r="C81" s="29" t="n">
        <f aca="false">M80</f>
        <v>1252458.68333333</v>
      </c>
      <c r="D81" s="23" t="n">
        <f aca="false">MATCH(C81,Récompenses!$F$6:$F$105,1)</f>
        <v>64</v>
      </c>
      <c r="E81" s="29" t="n">
        <f aca="false" t="array" ref="E81:E81">INDEX(Récompenses!$F$6:$F$105,B81)</f>
        <v>1297117</v>
      </c>
      <c r="F81" s="29" t="n">
        <f aca="false">MAX(0,E81-C81)</f>
        <v>44658.3166666667</v>
      </c>
      <c r="G81" s="23" t="n">
        <f aca="false">MAX(5,5*INT((A81-1)/5))</f>
        <v>65</v>
      </c>
      <c r="H81" s="33" t="n">
        <f aca="false">IF(A81&lt;=5,MAX(1,A81-1),G81+Paramètres!$B$43/2)</f>
        <v>70</v>
      </c>
      <c r="I81" s="81" t="n">
        <f aca="false" t="array" ref="I81:I81">INDEX(Zones!$O$6:$O$35,MATCH(G81,Zones!$A$6:$A$35,0))*ROUND(Paramètres!$B$49*H81^Paramètres!$B$50,0)*MAX(Paramètres!$B$56,MIN(Paramètres!$B$57,1+Paramètres!$B$55*(H81-B81)))</f>
        <v>2065.5</v>
      </c>
      <c r="J81" s="72" t="n">
        <f aca="false">IF(F81&gt;0,ROUNDUP(F81/I81,0),0)</f>
        <v>22</v>
      </c>
      <c r="K81" s="72" t="n">
        <f aca="false" t="array" ref="K81:K81">J81*INDEX(Zones!$V$6:$V$35,MATCH(G81,Zones!$A$6:$A$35,0))</f>
        <v>279.583333333333</v>
      </c>
      <c r="L81" s="29" t="n">
        <f aca="false" t="array" ref="L81:L81">INDEX(Étages!$R$6:$R$105,A81)*MAX(Paramètres!$B$56,MIN(Paramètres!$B$57,1+Paramètres!$B$55*(A81-MAX(B81,D81))))</f>
        <v>13712.4</v>
      </c>
      <c r="M81" s="29" t="n">
        <f aca="false">C81+J81*I81+L81</f>
        <v>1311612.08333333</v>
      </c>
      <c r="N81" s="27" t="n">
        <f aca="false" t="array" ref="N81:N81">INDEX(Étages!$L$6:$L$105,A81)</f>
        <v>69.375</v>
      </c>
      <c r="O81" s="82" t="n">
        <f aca="false">O80+(K81+N81)/3600</f>
        <v>3.61986603009259</v>
      </c>
      <c r="P81" s="29" t="n">
        <f aca="false" t="array" ref="P81:P81">P80+J81*INDEX(Zones!$O$6:$O$35,MATCH(G81,Zones!$A$6:$A$35,0))*ROUND(Paramètres!$B$53*H81^Paramètres!$B$54,0)+INDEX(Étages!$S$6:$S$105,A81)</f>
        <v>709766.666666667</v>
      </c>
      <c r="Q81" s="23" t="n">
        <f aca="false">MATCH(M81,Récompenses!$F$6:$F$105,1)</f>
        <v>65</v>
      </c>
    </row>
    <row r="82" customFormat="false" ht="15.75" hidden="false" customHeight="true" outlineLevel="0" collapsed="false">
      <c r="A82" s="71" t="n">
        <v>69</v>
      </c>
      <c r="B82" s="23" t="n">
        <f aca="false">MAX(1,A82-Paramètres!$B$61)</f>
        <v>66</v>
      </c>
      <c r="C82" s="29" t="n">
        <f aca="false">M81</f>
        <v>1311612.08333333</v>
      </c>
      <c r="D82" s="23" t="n">
        <f aca="false">MATCH(C82,Récompenses!$F$6:$F$105,1)</f>
        <v>65</v>
      </c>
      <c r="E82" s="29" t="n">
        <f aca="false" t="array" ref="E82:E82">INDEX(Récompenses!$F$6:$F$105,B82)</f>
        <v>1358556</v>
      </c>
      <c r="F82" s="29" t="n">
        <f aca="false">MAX(0,E82-C82)</f>
        <v>46943.9166666667</v>
      </c>
      <c r="G82" s="23" t="n">
        <f aca="false">MAX(5,5*INT((A82-1)/5))</f>
        <v>65</v>
      </c>
      <c r="H82" s="33" t="n">
        <f aca="false">IF(A82&lt;=5,MAX(1,A82-1),G82+Paramètres!$B$43/2)</f>
        <v>70</v>
      </c>
      <c r="I82" s="81" t="n">
        <f aca="false" t="array" ref="I82:I82">INDEX(Zones!$O$6:$O$35,MATCH(G82,Zones!$A$6:$A$35,0))*ROUND(Paramètres!$B$49*H82^Paramètres!$B$50,0)*MAX(Paramètres!$B$56,MIN(Paramètres!$B$57,1+Paramètres!$B$55*(H82-B82)))</f>
        <v>1927.8</v>
      </c>
      <c r="J82" s="72" t="n">
        <f aca="false">IF(F82&gt;0,ROUNDUP(F82/I82,0),0)</f>
        <v>25</v>
      </c>
      <c r="K82" s="72" t="n">
        <f aca="false" t="array" ref="K82:K82">J82*INDEX(Zones!$V$6:$V$35,MATCH(G82,Zones!$A$6:$A$35,0))</f>
        <v>317.708333333333</v>
      </c>
      <c r="L82" s="29" t="n">
        <f aca="false" t="array" ref="L82:L82">INDEX(Étages!$R$6:$R$105,A82)*MAX(Paramètres!$B$56,MIN(Paramètres!$B$57,1+Paramètres!$B$55*(A82-MAX(B82,D82))))</f>
        <v>18610.8</v>
      </c>
      <c r="M82" s="29" t="n">
        <f aca="false">C82+J82*I82+L82</f>
        <v>1378417.88333333</v>
      </c>
      <c r="N82" s="27" t="n">
        <f aca="false" t="array" ref="N82:N82">INDEX(Étages!$L$6:$L$105,A82)</f>
        <v>104</v>
      </c>
      <c r="O82" s="82" t="n">
        <f aca="false">O81+(K82+N82)/3600</f>
        <v>3.7370072337963</v>
      </c>
      <c r="P82" s="29" t="n">
        <f aca="false" t="array" ref="P82:P82">P81+J82*INDEX(Zones!$O$6:$O$35,MATCH(G82,Zones!$A$6:$A$35,0))*ROUND(Paramètres!$B$53*H82^Paramètres!$B$54,0)+INDEX(Étages!$S$6:$S$105,A82)</f>
        <v>747020.333333333</v>
      </c>
      <c r="Q82" s="23" t="n">
        <f aca="false">MATCH(M82,Récompenses!$F$6:$F$105,1)</f>
        <v>66</v>
      </c>
    </row>
    <row r="83" customFormat="false" ht="15.75" hidden="false" customHeight="true" outlineLevel="0" collapsed="false">
      <c r="A83" s="71" t="n">
        <v>70</v>
      </c>
      <c r="B83" s="23" t="n">
        <f aca="false">MAX(1,A83-Paramètres!$B$61)</f>
        <v>67</v>
      </c>
      <c r="C83" s="29" t="n">
        <f aca="false">M82</f>
        <v>1378417.88333333</v>
      </c>
      <c r="D83" s="23" t="n">
        <f aca="false">MATCH(C83,Récompenses!$F$6:$F$105,1)</f>
        <v>66</v>
      </c>
      <c r="E83" s="29" t="n">
        <f aca="false" t="array" ref="E83:E83">INDEX(Récompenses!$F$6:$F$105,B83)</f>
        <v>1422006</v>
      </c>
      <c r="F83" s="29" t="n">
        <f aca="false">MAX(0,E83-C83)</f>
        <v>43588.1166666667</v>
      </c>
      <c r="G83" s="23" t="n">
        <f aca="false">MAX(5,5*INT((A83-1)/5))</f>
        <v>65</v>
      </c>
      <c r="H83" s="33" t="n">
        <f aca="false">IF(A83&lt;=5,MAX(1,A83-1),G83+Paramètres!$B$43/2)</f>
        <v>70</v>
      </c>
      <c r="I83" s="81" t="n">
        <f aca="false" t="array" ref="I83:I83">INDEX(Zones!$O$6:$O$35,MATCH(G83,Zones!$A$6:$A$35,0))*ROUND(Paramètres!$B$49*H83^Paramètres!$B$50,0)*MAX(Paramètres!$B$56,MIN(Paramètres!$B$57,1+Paramètres!$B$55*(H83-B83)))</f>
        <v>1790.1</v>
      </c>
      <c r="J83" s="72" t="n">
        <f aca="false">IF(F83&gt;0,ROUNDUP(F83/I83,0),0)</f>
        <v>25</v>
      </c>
      <c r="K83" s="72" t="n">
        <f aca="false" t="array" ref="K83:K83">J83*INDEX(Zones!$V$6:$V$35,MATCH(G83,Zones!$A$6:$A$35,0))</f>
        <v>317.708333333333</v>
      </c>
      <c r="L83" s="29" t="n">
        <f aca="false" t="array" ref="L83:L83">INDEX(Étages!$R$6:$R$105,A83)*MAX(Paramètres!$B$56,MIN(Paramètres!$B$57,1+Paramètres!$B$55*(A83-MAX(B83,D83))))</f>
        <v>34749</v>
      </c>
      <c r="M83" s="29" t="n">
        <f aca="false">C83+J83*I83+L83</f>
        <v>1457919.38333333</v>
      </c>
      <c r="N83" s="27" t="n">
        <f aca="false" t="array" ref="N83:N83">INDEX(Étages!$L$6:$L$105,A83)</f>
        <v>151.25</v>
      </c>
      <c r="O83" s="82" t="n">
        <f aca="false">O82+(K83+N83)/3600</f>
        <v>3.8672734375</v>
      </c>
      <c r="P83" s="29" t="n">
        <f aca="false" t="array" ref="P83:P83">P82+J83*INDEX(Zones!$O$6:$O$35,MATCH(G83,Zones!$A$6:$A$35,0))*ROUND(Paramètres!$B$53*H83^Paramètres!$B$54,0)+INDEX(Étages!$S$6:$S$105,A83)</f>
        <v>793780</v>
      </c>
      <c r="Q83" s="23" t="n">
        <f aca="false">MATCH(M83,Récompenses!$F$6:$F$105,1)</f>
        <v>67</v>
      </c>
    </row>
    <row r="84" customFormat="false" ht="15.75" hidden="false" customHeight="true" outlineLevel="0" collapsed="false">
      <c r="A84" s="71" t="n">
        <v>71</v>
      </c>
      <c r="B84" s="23" t="n">
        <f aca="false">MAX(1,A84-Paramètres!$B$61)</f>
        <v>68</v>
      </c>
      <c r="C84" s="29" t="n">
        <f aca="false">M83</f>
        <v>1457919.38333333</v>
      </c>
      <c r="D84" s="23" t="n">
        <f aca="false">MATCH(C84,Récompenses!$F$6:$F$105,1)</f>
        <v>67</v>
      </c>
      <c r="E84" s="29" t="n">
        <f aca="false" t="array" ref="E84:E84">INDEX(Récompenses!$F$6:$F$105,B84)</f>
        <v>1487441</v>
      </c>
      <c r="F84" s="29" t="n">
        <f aca="false">MAX(0,E84-C84)</f>
        <v>29521.6166666667</v>
      </c>
      <c r="G84" s="23" t="n">
        <f aca="false">MAX(5,5*INT((A84-1)/5))</f>
        <v>70</v>
      </c>
      <c r="H84" s="33" t="n">
        <f aca="false">IF(A84&lt;=5,MAX(1,A84-1),G84+Paramètres!$B$43/2)</f>
        <v>75</v>
      </c>
      <c r="I84" s="81" t="n">
        <f aca="false" t="array" ref="I84:I84">INDEX(Zones!$O$6:$O$35,MATCH(G84,Zones!$A$6:$A$35,0))*ROUND(Paramètres!$B$49*H84^Paramètres!$B$50,0)*MAX(Paramètres!$B$56,MIN(Paramètres!$B$57,1+Paramètres!$B$55*(H84-B84)))</f>
        <v>1986</v>
      </c>
      <c r="J84" s="72" t="n">
        <f aca="false">IF(F84&gt;0,ROUNDUP(F84/I84,0),0)</f>
        <v>15</v>
      </c>
      <c r="K84" s="72" t="n">
        <f aca="false" t="array" ref="K84:K84">J84*INDEX(Zones!$V$6:$V$35,MATCH(G84,Zones!$A$6:$A$35,0))</f>
        <v>115.625</v>
      </c>
      <c r="L84" s="29" t="n">
        <f aca="false" t="array" ref="L84:L84">INDEX(Étages!$R$6:$R$105,A84)*MAX(Paramètres!$B$56,MIN(Paramètres!$B$57,1+Paramètres!$B$55*(A84-MAX(B84,D84))))</f>
        <v>17368</v>
      </c>
      <c r="M84" s="29" t="n">
        <f aca="false">C84+J84*I84+L84</f>
        <v>1505077.38333333</v>
      </c>
      <c r="N84" s="27" t="n">
        <f aca="false" t="array" ref="N84:N84">INDEX(Étages!$L$6:$L$105,A84)</f>
        <v>109.875</v>
      </c>
      <c r="O84" s="82" t="n">
        <f aca="false">O83+(K84+N84)/3600</f>
        <v>3.92991232638889</v>
      </c>
      <c r="P84" s="29" t="n">
        <f aca="false" t="array" ref="P84:P84">P83+J84*INDEX(Zones!$O$6:$O$35,MATCH(G84,Zones!$A$6:$A$35,0))*ROUND(Paramètres!$B$53*H84^Paramètres!$B$54,0)+INDEX(Étages!$S$6:$S$105,A84)</f>
        <v>819308</v>
      </c>
      <c r="Q84" s="23" t="n">
        <f aca="false">MATCH(M84,Récompenses!$F$6:$F$105,1)</f>
        <v>68</v>
      </c>
    </row>
    <row r="85" customFormat="false" ht="15.75" hidden="false" customHeight="true" outlineLevel="0" collapsed="false">
      <c r="A85" s="71" t="n">
        <v>72</v>
      </c>
      <c r="B85" s="23" t="n">
        <f aca="false">MAX(1,A85-Paramètres!$B$61)</f>
        <v>69</v>
      </c>
      <c r="C85" s="29" t="n">
        <f aca="false">M84</f>
        <v>1505077.38333333</v>
      </c>
      <c r="D85" s="23" t="n">
        <f aca="false">MATCH(C85,Récompenses!$F$6:$F$105,1)</f>
        <v>68</v>
      </c>
      <c r="E85" s="29" t="n">
        <f aca="false" t="array" ref="E85:E85">INDEX(Récompenses!$F$6:$F$105,B85)</f>
        <v>1554948</v>
      </c>
      <c r="F85" s="29" t="n">
        <f aca="false">MAX(0,E85-C85)</f>
        <v>49870.6166666667</v>
      </c>
      <c r="G85" s="23" t="n">
        <f aca="false">MAX(5,5*INT((A85-1)/5))</f>
        <v>70</v>
      </c>
      <c r="H85" s="33" t="n">
        <f aca="false">IF(A85&lt;=5,MAX(1,A85-1),G85+Paramètres!$B$43/2)</f>
        <v>75</v>
      </c>
      <c r="I85" s="81" t="n">
        <f aca="false" t="array" ref="I85:I85">INDEX(Zones!$O$6:$O$35,MATCH(G85,Zones!$A$6:$A$35,0))*ROUND(Paramètres!$B$49*H85^Paramètres!$B$50,0)*MAX(Paramètres!$B$56,MIN(Paramètres!$B$57,1+Paramètres!$B$55*(H85-B85)))</f>
        <v>1986</v>
      </c>
      <c r="J85" s="72" t="n">
        <f aca="false">IF(F85&gt;0,ROUNDUP(F85/I85,0),0)</f>
        <v>26</v>
      </c>
      <c r="K85" s="72" t="n">
        <f aca="false" t="array" ref="K85:K85">J85*INDEX(Zones!$V$6:$V$35,MATCH(G85,Zones!$A$6:$A$35,0))</f>
        <v>200.416666666667</v>
      </c>
      <c r="L85" s="29" t="n">
        <f aca="false" t="array" ref="L85:L85">INDEX(Étages!$R$6:$R$105,A85)*MAX(Paramètres!$B$56,MIN(Paramètres!$B$57,1+Paramètres!$B$55*(A85-MAX(B85,D85))))</f>
        <v>17661.8</v>
      </c>
      <c r="M85" s="29" t="n">
        <f aca="false">C85+J85*I85+L85</f>
        <v>1574375.18333333</v>
      </c>
      <c r="N85" s="27" t="n">
        <f aca="false" t="array" ref="N85:N85">INDEX(Étages!$L$6:$L$105,A85)</f>
        <v>109.875</v>
      </c>
      <c r="O85" s="82" t="n">
        <f aca="false">O84+(K85+N85)/3600</f>
        <v>4.01610445601852</v>
      </c>
      <c r="P85" s="29" t="n">
        <f aca="false" t="array" ref="P85:P85">P84+J85*INDEX(Zones!$O$6:$O$35,MATCH(G85,Zones!$A$6:$A$35,0))*ROUND(Paramètres!$B$53*H85^Paramètres!$B$54,0)+INDEX(Étages!$S$6:$S$105,A85)</f>
        <v>856250</v>
      </c>
      <c r="Q85" s="23" t="n">
        <f aca="false">MATCH(M85,Récompenses!$F$6:$F$105,1)</f>
        <v>69</v>
      </c>
    </row>
    <row r="86" customFormat="false" ht="15.75" hidden="false" customHeight="true" outlineLevel="0" collapsed="false">
      <c r="A86" s="71" t="n">
        <v>73</v>
      </c>
      <c r="B86" s="23" t="n">
        <f aca="false">MAX(1,A86-Paramètres!$B$61)</f>
        <v>70</v>
      </c>
      <c r="C86" s="29" t="n">
        <f aca="false">M85</f>
        <v>1574375.18333333</v>
      </c>
      <c r="D86" s="23" t="n">
        <f aca="false">MATCH(C86,Récompenses!$F$6:$F$105,1)</f>
        <v>69</v>
      </c>
      <c r="E86" s="29" t="n">
        <f aca="false" t="array" ref="E86:E86">INDEX(Récompenses!$F$6:$F$105,B86)</f>
        <v>1624500</v>
      </c>
      <c r="F86" s="29" t="n">
        <f aca="false">MAX(0,E86-C86)</f>
        <v>50124.8166666667</v>
      </c>
      <c r="G86" s="23" t="n">
        <f aca="false">MAX(5,5*INT((A86-1)/5))</f>
        <v>70</v>
      </c>
      <c r="H86" s="33" t="n">
        <f aca="false">IF(A86&lt;=5,MAX(1,A86-1),G86+Paramètres!$B$43/2)</f>
        <v>75</v>
      </c>
      <c r="I86" s="81" t="n">
        <f aca="false" t="array" ref="I86:I86">INDEX(Zones!$O$6:$O$35,MATCH(G86,Zones!$A$6:$A$35,0))*ROUND(Paramètres!$B$49*H86^Paramètres!$B$50,0)*MAX(Paramètres!$B$56,MIN(Paramètres!$B$57,1+Paramètres!$B$55*(H86-B86)))</f>
        <v>1986</v>
      </c>
      <c r="J86" s="72" t="n">
        <f aca="false">IF(F86&gt;0,ROUNDUP(F86/I86,0),0)</f>
        <v>26</v>
      </c>
      <c r="K86" s="72" t="n">
        <f aca="false" t="array" ref="K86:K86">J86*INDEX(Zones!$V$6:$V$35,MATCH(G86,Zones!$A$6:$A$35,0))</f>
        <v>200.416666666667</v>
      </c>
      <c r="L86" s="29" t="n">
        <f aca="false" t="array" ref="L86:L86">INDEX(Étages!$R$6:$R$105,A86)*MAX(Paramètres!$B$56,MIN(Paramètres!$B$57,1+Paramètres!$B$55*(A86-MAX(B86,D86))))</f>
        <v>17971.2</v>
      </c>
      <c r="M86" s="29" t="n">
        <f aca="false">C86+J86*I86+L86</f>
        <v>1643982.38333333</v>
      </c>
      <c r="N86" s="27" t="n">
        <f aca="false" t="array" ref="N86:N86">INDEX(Étages!$L$6:$L$105,A86)</f>
        <v>109.875</v>
      </c>
      <c r="O86" s="82" t="n">
        <f aca="false">O85+(K86+N86)/3600</f>
        <v>4.10229658564815</v>
      </c>
      <c r="P86" s="29" t="n">
        <f aca="false" t="array" ref="P86:P86">P85+J86*INDEX(Zones!$O$6:$O$35,MATCH(G86,Zones!$A$6:$A$35,0))*ROUND(Paramètres!$B$53*H86^Paramètres!$B$54,0)+INDEX(Étages!$S$6:$S$105,A86)</f>
        <v>893386</v>
      </c>
      <c r="Q86" s="23" t="n">
        <f aca="false">MATCH(M86,Récompenses!$F$6:$F$105,1)</f>
        <v>70</v>
      </c>
    </row>
    <row r="87" customFormat="false" ht="15.75" hidden="false" customHeight="true" outlineLevel="0" collapsed="false">
      <c r="A87" s="71" t="n">
        <v>74</v>
      </c>
      <c r="B87" s="23" t="n">
        <f aca="false">MAX(1,A87-Paramètres!$B$61)</f>
        <v>71</v>
      </c>
      <c r="C87" s="29" t="n">
        <f aca="false">M86</f>
        <v>1643982.38333333</v>
      </c>
      <c r="D87" s="23" t="n">
        <f aca="false">MATCH(C87,Récompenses!$F$6:$F$105,1)</f>
        <v>70</v>
      </c>
      <c r="E87" s="29" t="n">
        <f aca="false" t="array" ref="E87:E87">INDEX(Récompenses!$F$6:$F$105,B87)</f>
        <v>1696185</v>
      </c>
      <c r="F87" s="29" t="n">
        <f aca="false">MAX(0,E87-C87)</f>
        <v>52202.6166666667</v>
      </c>
      <c r="G87" s="23" t="n">
        <f aca="false">MAX(5,5*INT((A87-1)/5))</f>
        <v>70</v>
      </c>
      <c r="H87" s="33" t="n">
        <f aca="false">IF(A87&lt;=5,MAX(1,A87-1),G87+Paramètres!$B$43/2)</f>
        <v>75</v>
      </c>
      <c r="I87" s="81" t="n">
        <f aca="false" t="array" ref="I87:I87">INDEX(Zones!$O$6:$O$35,MATCH(G87,Zones!$A$6:$A$35,0))*ROUND(Paramètres!$B$49*H87^Paramètres!$B$50,0)*MAX(Paramètres!$B$56,MIN(Paramètres!$B$57,1+Paramètres!$B$55*(H87-B87)))</f>
        <v>1853.6</v>
      </c>
      <c r="J87" s="72" t="n">
        <f aca="false">IF(F87&gt;0,ROUNDUP(F87/I87,0),0)</f>
        <v>29</v>
      </c>
      <c r="K87" s="72" t="n">
        <f aca="false" t="array" ref="K87:K87">J87*INDEX(Zones!$V$6:$V$35,MATCH(G87,Zones!$A$6:$A$35,0))</f>
        <v>223.541666666667</v>
      </c>
      <c r="L87" s="29" t="n">
        <f aca="false" t="array" ref="L87:L87">INDEX(Étages!$R$6:$R$105,A87)*MAX(Paramètres!$B$56,MIN(Paramètres!$B$57,1+Paramètres!$B$55*(A87-MAX(B87,D87))))</f>
        <v>18280.6</v>
      </c>
      <c r="M87" s="29" t="n">
        <f aca="false">C87+J87*I87+L87</f>
        <v>1716017.38333333</v>
      </c>
      <c r="N87" s="27" t="n">
        <f aca="false" t="array" ref="N87:N87">INDEX(Étages!$L$6:$L$105,A87)</f>
        <v>109.875</v>
      </c>
      <c r="O87" s="82" t="n">
        <f aca="false">O86+(K87+N87)/3600</f>
        <v>4.19491232638889</v>
      </c>
      <c r="P87" s="29" t="n">
        <f aca="false" t="array" ref="P87:P87">P86+J87*INDEX(Zones!$O$6:$O$35,MATCH(G87,Zones!$A$6:$A$35,0))*ROUND(Paramètres!$B$53*H87^Paramètres!$B$54,0)+INDEX(Étages!$S$6:$S$105,A87)</f>
        <v>933777</v>
      </c>
      <c r="Q87" s="23" t="n">
        <f aca="false">MATCH(M87,Récompenses!$F$6:$F$105,1)</f>
        <v>71</v>
      </c>
    </row>
    <row r="88" customFormat="false" ht="15.75" hidden="false" customHeight="true" outlineLevel="0" collapsed="false">
      <c r="A88" s="71" t="n">
        <v>75</v>
      </c>
      <c r="B88" s="23" t="n">
        <f aca="false">MAX(1,A88-Paramètres!$B$61)</f>
        <v>72</v>
      </c>
      <c r="C88" s="29" t="n">
        <f aca="false">M87</f>
        <v>1716017.38333333</v>
      </c>
      <c r="D88" s="23" t="n">
        <f aca="false">MATCH(C88,Récompenses!$F$6:$F$105,1)</f>
        <v>71</v>
      </c>
      <c r="E88" s="29" t="n">
        <f aca="false" t="array" ref="E88:E88">INDEX(Récompenses!$F$6:$F$105,B88)</f>
        <v>1770034</v>
      </c>
      <c r="F88" s="29" t="n">
        <f aca="false">MAX(0,E88-C88)</f>
        <v>54016.6166666667</v>
      </c>
      <c r="G88" s="23" t="n">
        <f aca="false">MAX(5,5*INT((A88-1)/5))</f>
        <v>70</v>
      </c>
      <c r="H88" s="33" t="n">
        <f aca="false">IF(A88&lt;=5,MAX(1,A88-1),G88+Paramètres!$B$43/2)</f>
        <v>75</v>
      </c>
      <c r="I88" s="81" t="n">
        <f aca="false" t="array" ref="I88:I88">INDEX(Zones!$O$6:$O$35,MATCH(G88,Zones!$A$6:$A$35,0))*ROUND(Paramètres!$B$49*H88^Paramètres!$B$50,0)*MAX(Paramètres!$B$56,MIN(Paramètres!$B$57,1+Paramètres!$B$55*(H88-B88)))</f>
        <v>1721.2</v>
      </c>
      <c r="J88" s="72" t="n">
        <f aca="false">IF(F88&gt;0,ROUNDUP(F88/I88,0),0)</f>
        <v>32</v>
      </c>
      <c r="K88" s="72" t="n">
        <f aca="false" t="array" ref="K88:K88">J88*INDEX(Zones!$V$6:$V$35,MATCH(G88,Zones!$A$6:$A$35,0))</f>
        <v>246.666666666667</v>
      </c>
      <c r="L88" s="29" t="n">
        <f aca="false" t="array" ref="L88:L88">INDEX(Étages!$R$6:$R$105,A88)*MAX(Paramètres!$B$56,MIN(Paramètres!$B$57,1+Paramètres!$B$55*(A88-MAX(B88,D88))))</f>
        <v>42685.5</v>
      </c>
      <c r="M88" s="29" t="n">
        <f aca="false">C88+J88*I88+L88</f>
        <v>1813781.28333333</v>
      </c>
      <c r="N88" s="27" t="n">
        <f aca="false" t="array" ref="N88:N88">INDEX(Étages!$L$6:$L$105,A88)</f>
        <v>262.25</v>
      </c>
      <c r="O88" s="82" t="n">
        <f aca="false">O87+(K88+N88)/3600</f>
        <v>4.33627806712963</v>
      </c>
      <c r="P88" s="29" t="n">
        <f aca="false" t="array" ref="P88:P88">P87+J88*INDEX(Zones!$O$6:$O$35,MATCH(G88,Zones!$A$6:$A$35,0))*ROUND(Paramètres!$B$53*H88^Paramètres!$B$54,0)+INDEX(Étages!$S$6:$S$105,A88)</f>
        <v>991713</v>
      </c>
      <c r="Q88" s="23" t="n">
        <f aca="false">MATCH(M88,Récompenses!$F$6:$F$105,1)</f>
        <v>72</v>
      </c>
    </row>
    <row r="89" customFormat="false" ht="15.75" hidden="false" customHeight="true" outlineLevel="0" collapsed="false">
      <c r="A89" s="71" t="n">
        <v>76</v>
      </c>
      <c r="B89" s="23" t="n">
        <f aca="false">MAX(1,A89-Paramètres!$B$61)</f>
        <v>73</v>
      </c>
      <c r="C89" s="29" t="n">
        <f aca="false">M88</f>
        <v>1813781.28333333</v>
      </c>
      <c r="D89" s="23" t="n">
        <f aca="false">MATCH(C89,Récompenses!$F$6:$F$105,1)</f>
        <v>72</v>
      </c>
      <c r="E89" s="29" t="n">
        <f aca="false" t="array" ref="E89:E89">INDEX(Récompenses!$F$6:$F$105,B89)</f>
        <v>1846017</v>
      </c>
      <c r="F89" s="29" t="n">
        <f aca="false">MAX(0,E89-C89)</f>
        <v>32235.7166666668</v>
      </c>
      <c r="G89" s="23" t="n">
        <f aca="false">MAX(5,5*INT((A89-1)/5))</f>
        <v>75</v>
      </c>
      <c r="H89" s="33" t="n">
        <f aca="false">IF(A89&lt;=5,MAX(1,A89-1),G89+Paramètres!$B$43/2)</f>
        <v>80</v>
      </c>
      <c r="I89" s="81" t="n">
        <f aca="false" t="array" ref="I89:I89">INDEX(Zones!$O$6:$O$35,MATCH(G89,Zones!$A$6:$A$35,0))*ROUND(Paramètres!$B$49*H89^Paramètres!$B$50,0)*MAX(Paramètres!$B$56,MIN(Paramètres!$B$57,1+Paramètres!$B$55*(H89-B89)))</f>
        <v>2584.8</v>
      </c>
      <c r="J89" s="72" t="n">
        <f aca="false">IF(F89&gt;0,ROUNDUP(F89/I89,0),0)</f>
        <v>13</v>
      </c>
      <c r="K89" s="72" t="n">
        <f aca="false" t="array" ref="K89:K89">J89*INDEX(Zones!$V$6:$V$35,MATCH(G89,Zones!$A$6:$A$35,0))</f>
        <v>158.708333333333</v>
      </c>
      <c r="L89" s="29" t="n">
        <f aca="false" t="array" ref="L89:L89">INDEX(Étages!$R$6:$R$105,A89)*MAX(Paramètres!$B$56,MIN(Paramètres!$B$57,1+Paramètres!$B$55*(A89-MAX(B89,D89))))</f>
        <v>15748.2</v>
      </c>
      <c r="M89" s="29" t="n">
        <f aca="false">C89+J89*I89+L89</f>
        <v>1863131.88333333</v>
      </c>
      <c r="N89" s="27" t="n">
        <f aca="false" t="array" ref="N89:N89">INDEX(Étages!$L$6:$L$105,A89)</f>
        <v>69.375</v>
      </c>
      <c r="O89" s="82" t="n">
        <f aca="false">O88+(K89+N89)/3600</f>
        <v>4.39963454861111</v>
      </c>
      <c r="P89" s="29" t="n">
        <f aca="false" t="array" ref="P89:P89">P88+J89*INDEX(Zones!$O$6:$O$35,MATCH(G89,Zones!$A$6:$A$35,0))*ROUND(Paramètres!$B$53*H89^Paramètres!$B$54,0)+INDEX(Étages!$S$6:$S$105,A89)</f>
        <v>1018402.2</v>
      </c>
      <c r="Q89" s="23" t="n">
        <f aca="false">MATCH(M89,Récompenses!$F$6:$F$105,1)</f>
        <v>73</v>
      </c>
    </row>
    <row r="90" customFormat="false" ht="15.75" hidden="false" customHeight="true" outlineLevel="0" collapsed="false">
      <c r="A90" s="71" t="n">
        <v>77</v>
      </c>
      <c r="B90" s="23" t="n">
        <f aca="false">MAX(1,A90-Paramètres!$B$61)</f>
        <v>74</v>
      </c>
      <c r="C90" s="29" t="n">
        <f aca="false">M89</f>
        <v>1863131.88333333</v>
      </c>
      <c r="D90" s="23" t="n">
        <f aca="false">MATCH(C90,Récompenses!$F$6:$F$105,1)</f>
        <v>73</v>
      </c>
      <c r="E90" s="29" t="n">
        <f aca="false" t="array" ref="E90:E90">INDEX(Récompenses!$F$6:$F$105,B90)</f>
        <v>1924225</v>
      </c>
      <c r="F90" s="29" t="n">
        <f aca="false">MAX(0,E90-C90)</f>
        <v>61093.1166666669</v>
      </c>
      <c r="G90" s="23" t="n">
        <f aca="false">MAX(5,5*INT((A90-1)/5))</f>
        <v>75</v>
      </c>
      <c r="H90" s="33" t="n">
        <f aca="false">IF(A90&lt;=5,MAX(1,A90-1),G90+Paramètres!$B$43/2)</f>
        <v>80</v>
      </c>
      <c r="I90" s="81" t="n">
        <f aca="false" t="array" ref="I90:I90">INDEX(Zones!$O$6:$O$35,MATCH(G90,Zones!$A$6:$A$35,0))*ROUND(Paramètres!$B$49*H90^Paramètres!$B$50,0)*MAX(Paramètres!$B$56,MIN(Paramètres!$B$57,1+Paramètres!$B$55*(H90-B90)))</f>
        <v>2584.8</v>
      </c>
      <c r="J90" s="72" t="n">
        <f aca="false">IF(F90&gt;0,ROUNDUP(F90/I90,0),0)</f>
        <v>24</v>
      </c>
      <c r="K90" s="72" t="n">
        <f aca="false" t="array" ref="K90:K90">J90*INDEX(Zones!$V$6:$V$35,MATCH(G90,Zones!$A$6:$A$35,0))</f>
        <v>293</v>
      </c>
      <c r="L90" s="29" t="n">
        <f aca="false" t="array" ref="L90:L90">INDEX(Étages!$R$6:$R$105,A90)*MAX(Paramètres!$B$56,MIN(Paramètres!$B$57,1+Paramètres!$B$55*(A90-MAX(B90,D90))))</f>
        <v>16017.3</v>
      </c>
      <c r="M90" s="29" t="n">
        <f aca="false">C90+J90*I90+L90</f>
        <v>1941184.38333333</v>
      </c>
      <c r="N90" s="27" t="n">
        <f aca="false" t="array" ref="N90:N90">INDEX(Étages!$L$6:$L$105,A90)</f>
        <v>69.375</v>
      </c>
      <c r="O90" s="82" t="n">
        <f aca="false">O89+(K90+N90)/3600</f>
        <v>4.50029427083333</v>
      </c>
      <c r="P90" s="29" t="n">
        <f aca="false" t="array" ref="P90:P90">P89+J90*INDEX(Zones!$O$6:$O$35,MATCH(G90,Zones!$A$6:$A$35,0))*ROUND(Paramètres!$B$53*H90^Paramètres!$B$54,0)+INDEX(Étages!$S$6:$S$105,A90)</f>
        <v>1059940.8</v>
      </c>
      <c r="Q90" s="23" t="n">
        <f aca="false">MATCH(M90,Récompenses!$F$6:$F$105,1)</f>
        <v>74</v>
      </c>
    </row>
    <row r="91" customFormat="false" ht="15.75" hidden="false" customHeight="true" outlineLevel="0" collapsed="false">
      <c r="A91" s="71" t="n">
        <v>78</v>
      </c>
      <c r="B91" s="23" t="n">
        <f aca="false">MAX(1,A91-Paramètres!$B$61)</f>
        <v>75</v>
      </c>
      <c r="C91" s="29" t="n">
        <f aca="false">M90</f>
        <v>1941184.38333333</v>
      </c>
      <c r="D91" s="23" t="n">
        <f aca="false">MATCH(C91,Récompenses!$F$6:$F$105,1)</f>
        <v>74</v>
      </c>
      <c r="E91" s="29" t="n">
        <f aca="false" t="array" ref="E91:E91">INDEX(Récompenses!$F$6:$F$105,B91)</f>
        <v>2004689</v>
      </c>
      <c r="F91" s="29" t="n">
        <f aca="false">MAX(0,E91-C91)</f>
        <v>63504.6166666669</v>
      </c>
      <c r="G91" s="23" t="n">
        <f aca="false">MAX(5,5*INT((A91-1)/5))</f>
        <v>75</v>
      </c>
      <c r="H91" s="33" t="n">
        <f aca="false">IF(A91&lt;=5,MAX(1,A91-1),G91+Paramètres!$B$43/2)</f>
        <v>80</v>
      </c>
      <c r="I91" s="81" t="n">
        <f aca="false" t="array" ref="I91:I91">INDEX(Zones!$O$6:$O$35,MATCH(G91,Zones!$A$6:$A$35,0))*ROUND(Paramètres!$B$49*H91^Paramètres!$B$50,0)*MAX(Paramètres!$B$56,MIN(Paramètres!$B$57,1+Paramètres!$B$55*(H91-B91)))</f>
        <v>2584.8</v>
      </c>
      <c r="J91" s="72" t="n">
        <f aca="false">IF(F91&gt;0,ROUNDUP(F91/I91,0),0)</f>
        <v>25</v>
      </c>
      <c r="K91" s="72" t="n">
        <f aca="false" t="array" ref="K91:K91">J91*INDEX(Zones!$V$6:$V$35,MATCH(G91,Zones!$A$6:$A$35,0))</f>
        <v>305.208333333333</v>
      </c>
      <c r="L91" s="29" t="n">
        <f aca="false" t="array" ref="L91:L91">INDEX(Étages!$R$6:$R$105,A91)*MAX(Paramètres!$B$56,MIN(Paramètres!$B$57,1+Paramètres!$B$55*(A91-MAX(B91,D91))))</f>
        <v>16274.7</v>
      </c>
      <c r="M91" s="29" t="n">
        <f aca="false">C91+J91*I91+L91</f>
        <v>2022079.08333333</v>
      </c>
      <c r="N91" s="27" t="n">
        <f aca="false" t="array" ref="N91:N91">INDEX(Étages!$L$6:$L$105,A91)</f>
        <v>69.375</v>
      </c>
      <c r="O91" s="82" t="n">
        <f aca="false">O90+(K91+N91)/3600</f>
        <v>4.60434519675926</v>
      </c>
      <c r="P91" s="29" t="n">
        <f aca="false" t="array" ref="P91:P91">P90+J91*INDEX(Zones!$O$6:$O$35,MATCH(G91,Zones!$A$6:$A$35,0))*ROUND(Paramètres!$B$53*H91^Paramètres!$B$54,0)+INDEX(Étages!$S$6:$S$105,A91)</f>
        <v>1102975.8</v>
      </c>
      <c r="Q91" s="23" t="n">
        <f aca="false">MATCH(M91,Récompenses!$F$6:$F$105,1)</f>
        <v>75</v>
      </c>
    </row>
    <row r="92" customFormat="false" ht="15.75" hidden="false" customHeight="true" outlineLevel="0" collapsed="false">
      <c r="A92" s="71" t="n">
        <v>79</v>
      </c>
      <c r="B92" s="23" t="n">
        <f aca="false">MAX(1,A92-Paramètres!$B$61)</f>
        <v>76</v>
      </c>
      <c r="C92" s="29" t="n">
        <f aca="false">M91</f>
        <v>2022079.08333333</v>
      </c>
      <c r="D92" s="23" t="n">
        <f aca="false">MATCH(C92,Récompenses!$F$6:$F$105,1)</f>
        <v>75</v>
      </c>
      <c r="E92" s="29" t="n">
        <f aca="false" t="array" ref="E92:E92">INDEX(Récompenses!$F$6:$F$105,B92)</f>
        <v>2087439</v>
      </c>
      <c r="F92" s="29" t="n">
        <f aca="false">MAX(0,E92-C92)</f>
        <v>65359.916666667</v>
      </c>
      <c r="G92" s="23" t="n">
        <f aca="false">MAX(5,5*INT((A92-1)/5))</f>
        <v>75</v>
      </c>
      <c r="H92" s="33" t="n">
        <f aca="false">IF(A92&lt;=5,MAX(1,A92-1),G92+Paramètres!$B$43/2)</f>
        <v>80</v>
      </c>
      <c r="I92" s="81" t="n">
        <f aca="false" t="array" ref="I92:I92">INDEX(Zones!$O$6:$O$35,MATCH(G92,Zones!$A$6:$A$35,0))*ROUND(Paramètres!$B$49*H92^Paramètres!$B$50,0)*MAX(Paramètres!$B$56,MIN(Paramètres!$B$57,1+Paramètres!$B$55*(H92-B92)))</f>
        <v>2412.48</v>
      </c>
      <c r="J92" s="72" t="n">
        <f aca="false">IF(F92&gt;0,ROUNDUP(F92/I92,0),0)</f>
        <v>28</v>
      </c>
      <c r="K92" s="72" t="n">
        <f aca="false" t="array" ref="K92:K92">J92*INDEX(Zones!$V$6:$V$35,MATCH(G92,Zones!$A$6:$A$35,0))</f>
        <v>341.833333333333</v>
      </c>
      <c r="L92" s="29" t="n">
        <f aca="false" t="array" ref="L92:L92">INDEX(Étages!$R$6:$R$105,A92)*MAX(Paramètres!$B$56,MIN(Paramètres!$B$57,1+Paramètres!$B$55*(A92-MAX(B92,D92))))</f>
        <v>22042.8</v>
      </c>
      <c r="M92" s="29" t="n">
        <f aca="false">C92+J92*I92+L92</f>
        <v>2111671.32333333</v>
      </c>
      <c r="N92" s="27" t="n">
        <f aca="false" t="array" ref="N92:N92">INDEX(Étages!$L$6:$L$105,A92)</f>
        <v>104</v>
      </c>
      <c r="O92" s="82" t="n">
        <f aca="false">O91+(K92+N92)/3600</f>
        <v>4.72818778935185</v>
      </c>
      <c r="P92" s="29" t="n">
        <f aca="false" t="array" ref="P92:P92">P91+J92*INDEX(Zones!$O$6:$O$35,MATCH(G92,Zones!$A$6:$A$35,0))*ROUND(Paramètres!$B$53*H92^Paramètres!$B$54,0)+INDEX(Étages!$S$6:$S$105,A92)</f>
        <v>1153467</v>
      </c>
      <c r="Q92" s="23" t="n">
        <f aca="false">MATCH(M92,Récompenses!$F$6:$F$105,1)</f>
        <v>76</v>
      </c>
    </row>
    <row r="93" customFormat="false" ht="15.75" hidden="false" customHeight="true" outlineLevel="0" collapsed="false">
      <c r="A93" s="71" t="n">
        <v>80</v>
      </c>
      <c r="B93" s="23" t="n">
        <f aca="false">MAX(1,A93-Paramètres!$B$61)</f>
        <v>77</v>
      </c>
      <c r="C93" s="29" t="n">
        <f aca="false">M92</f>
        <v>2111671.32333333</v>
      </c>
      <c r="D93" s="23" t="n">
        <f aca="false">MATCH(C93,Récompenses!$F$6:$F$105,1)</f>
        <v>76</v>
      </c>
      <c r="E93" s="29" t="n">
        <f aca="false" t="array" ref="E93:E93">INDEX(Récompenses!$F$6:$F$105,B93)</f>
        <v>2172506</v>
      </c>
      <c r="F93" s="29" t="n">
        <f aca="false">MAX(0,E93-C93)</f>
        <v>60834.6766666672</v>
      </c>
      <c r="G93" s="23" t="n">
        <f aca="false">MAX(5,5*INT((A93-1)/5))</f>
        <v>75</v>
      </c>
      <c r="H93" s="33" t="n">
        <f aca="false">IF(A93&lt;=5,MAX(1,A93-1),G93+Paramètres!$B$43/2)</f>
        <v>80</v>
      </c>
      <c r="I93" s="81" t="n">
        <f aca="false" t="array" ref="I93:I93">INDEX(Zones!$O$6:$O$35,MATCH(G93,Zones!$A$6:$A$35,0))*ROUND(Paramètres!$B$49*H93^Paramètres!$B$50,0)*MAX(Paramètres!$B$56,MIN(Paramètres!$B$57,1+Paramètres!$B$55*(H93-B93)))</f>
        <v>2240.16</v>
      </c>
      <c r="J93" s="72" t="n">
        <f aca="false">IF(F93&gt;0,ROUNDUP(F93/I93,0),0)</f>
        <v>28</v>
      </c>
      <c r="K93" s="72" t="n">
        <f aca="false" t="array" ref="K93:K93">J93*INDEX(Zones!$V$6:$V$35,MATCH(G93,Zones!$A$6:$A$35,0))</f>
        <v>341.833333333333</v>
      </c>
      <c r="L93" s="29" t="n">
        <f aca="false" t="array" ref="L93:L93">INDEX(Étages!$R$6:$R$105,A93)*MAX(Paramètres!$B$56,MIN(Paramètres!$B$57,1+Paramètres!$B$55*(A93-MAX(B93,D93))))</f>
        <v>41069.6</v>
      </c>
      <c r="M93" s="29" t="n">
        <f aca="false">C93+J93*I93+L93</f>
        <v>2215465.40333333</v>
      </c>
      <c r="N93" s="27" t="n">
        <f aca="false" t="array" ref="N93:N93">INDEX(Étages!$L$6:$L$105,A93)</f>
        <v>154.25</v>
      </c>
      <c r="O93" s="82" t="n">
        <f aca="false">O92+(K93+N93)/3600</f>
        <v>4.86598871527778</v>
      </c>
      <c r="P93" s="29" t="n">
        <f aca="false" t="array" ref="P93:P93">P92+J93*INDEX(Zones!$O$6:$O$35,MATCH(G93,Zones!$A$6:$A$35,0))*ROUND(Paramètres!$B$53*H93^Paramètres!$B$54,0)+INDEX(Étages!$S$6:$S$105,A93)</f>
        <v>1215294.2</v>
      </c>
      <c r="Q93" s="23" t="n">
        <f aca="false">MATCH(M93,Récompenses!$F$6:$F$105,1)</f>
        <v>77</v>
      </c>
    </row>
    <row r="94" customFormat="false" ht="15.75" hidden="false" customHeight="true" outlineLevel="0" collapsed="false">
      <c r="A94" s="71" t="n">
        <v>81</v>
      </c>
      <c r="B94" s="23" t="n">
        <f aca="false">MAX(1,A94-Paramètres!$B$61)</f>
        <v>78</v>
      </c>
      <c r="C94" s="29" t="n">
        <f aca="false">M93</f>
        <v>2215465.40333333</v>
      </c>
      <c r="D94" s="23" t="n">
        <f aca="false">MATCH(C94,Récompenses!$F$6:$F$105,1)</f>
        <v>77</v>
      </c>
      <c r="E94" s="29" t="n">
        <f aca="false" t="array" ref="E94:E94">INDEX(Récompenses!$F$6:$F$105,B94)</f>
        <v>2259985</v>
      </c>
      <c r="F94" s="29" t="n">
        <f aca="false">MAX(0,E94-C94)</f>
        <v>44519.5966666671</v>
      </c>
      <c r="G94" s="23" t="n">
        <f aca="false">MAX(5,5*INT((A94-1)/5))</f>
        <v>80</v>
      </c>
      <c r="H94" s="33" t="n">
        <f aca="false">IF(A94&lt;=5,MAX(1,A94-1),G94+Paramètres!$B$43/2)</f>
        <v>85</v>
      </c>
      <c r="I94" s="81" t="n">
        <f aca="false" t="array" ref="I94:I94">INDEX(Zones!$O$6:$O$35,MATCH(G94,Zones!$A$6:$A$35,0))*ROUND(Paramètres!$B$49*H94^Paramètres!$B$50,0)*MAX(Paramètres!$B$56,MIN(Paramètres!$B$57,1+Paramètres!$B$55*(H94-B94)))</f>
        <v>2323.5</v>
      </c>
      <c r="J94" s="72" t="n">
        <f aca="false">IF(F94&gt;0,ROUNDUP(F94/I94,0),0)</f>
        <v>20</v>
      </c>
      <c r="K94" s="72" t="n">
        <f aca="false" t="array" ref="K94:K94">J94*INDEX(Zones!$V$6:$V$35,MATCH(G94,Zones!$A$6:$A$35,0))</f>
        <v>154.166666666667</v>
      </c>
      <c r="L94" s="29" t="n">
        <f aca="false" t="array" ref="L94:L94">INDEX(Étages!$R$6:$R$105,A94)*MAX(Paramètres!$B$56,MIN(Paramètres!$B$57,1+Paramètres!$B$55*(A94-MAX(B94,D94))))</f>
        <v>14500.2</v>
      </c>
      <c r="M94" s="29" t="n">
        <f aca="false">C94+J94*I94+L94</f>
        <v>2276435.60333333</v>
      </c>
      <c r="N94" s="27" t="n">
        <f aca="false" t="array" ref="N94:N94">INDEX(Étages!$L$6:$L$105,A94)</f>
        <v>72.4125</v>
      </c>
      <c r="O94" s="82" t="n">
        <f aca="false">O93+(K94+N94)/3600</f>
        <v>4.92892737268518</v>
      </c>
      <c r="P94" s="29" t="n">
        <f aca="false" t="array" ref="P94:P94">P93+J94*INDEX(Zones!$O$6:$O$35,MATCH(G94,Zones!$A$6:$A$35,0))*ROUND(Paramètres!$B$53*H94^Paramètres!$B$54,0)+INDEX(Étages!$S$6:$S$105,A94)</f>
        <v>1248086.2</v>
      </c>
      <c r="Q94" s="23" t="n">
        <f aca="false">MATCH(M94,Récompenses!$F$6:$F$105,1)</f>
        <v>78</v>
      </c>
    </row>
    <row r="95" customFormat="false" ht="15.75" hidden="false" customHeight="true" outlineLevel="0" collapsed="false">
      <c r="A95" s="71" t="n">
        <v>82</v>
      </c>
      <c r="B95" s="23" t="n">
        <f aca="false">MAX(1,A95-Paramètres!$B$61)</f>
        <v>79</v>
      </c>
      <c r="C95" s="29" t="n">
        <f aca="false">M94</f>
        <v>2276435.60333333</v>
      </c>
      <c r="D95" s="23" t="n">
        <f aca="false">MATCH(C95,Récompenses!$F$6:$F$105,1)</f>
        <v>78</v>
      </c>
      <c r="E95" s="29" t="n">
        <f aca="false" t="array" ref="E95:E95">INDEX(Récompenses!$F$6:$F$105,B95)</f>
        <v>2349844</v>
      </c>
      <c r="F95" s="29" t="n">
        <f aca="false">MAX(0,E95-C95)</f>
        <v>73408.396666667</v>
      </c>
      <c r="G95" s="23" t="n">
        <f aca="false">MAX(5,5*INT((A95-1)/5))</f>
        <v>80</v>
      </c>
      <c r="H95" s="33" t="n">
        <f aca="false">IF(A95&lt;=5,MAX(1,A95-1),G95+Paramètres!$B$43/2)</f>
        <v>85</v>
      </c>
      <c r="I95" s="81" t="n">
        <f aca="false" t="array" ref="I95:I95">INDEX(Zones!$O$6:$O$35,MATCH(G95,Zones!$A$6:$A$35,0))*ROUND(Paramètres!$B$49*H95^Paramètres!$B$50,0)*MAX(Paramètres!$B$56,MIN(Paramètres!$B$57,1+Paramètres!$B$55*(H95-B95)))</f>
        <v>2323.5</v>
      </c>
      <c r="J95" s="72" t="n">
        <f aca="false">IF(F95&gt;0,ROUNDUP(F95/I95,0),0)</f>
        <v>32</v>
      </c>
      <c r="K95" s="72" t="n">
        <f aca="false" t="array" ref="K95:K95">J95*INDEX(Zones!$V$6:$V$35,MATCH(G95,Zones!$A$6:$A$35,0))</f>
        <v>246.666666666667</v>
      </c>
      <c r="L95" s="29" t="n">
        <f aca="false" t="array" ref="L95:L95">INDEX(Étages!$R$6:$R$105,A95)*MAX(Paramètres!$B$56,MIN(Paramètres!$B$57,1+Paramètres!$B$55*(A95-MAX(B95,D95))))</f>
        <v>14729</v>
      </c>
      <c r="M95" s="29" t="n">
        <f aca="false">C95+J95*I95+L95</f>
        <v>2365516.60333333</v>
      </c>
      <c r="N95" s="27" t="n">
        <f aca="false" t="array" ref="N95:N95">INDEX(Étages!$L$6:$L$105,A95)</f>
        <v>72.4125</v>
      </c>
      <c r="O95" s="82" t="n">
        <f aca="false">O94+(K95+N95)/3600</f>
        <v>5.01756047453704</v>
      </c>
      <c r="P95" s="29" t="n">
        <f aca="false" t="array" ref="P95:P95">P94+J95*INDEX(Zones!$O$6:$O$35,MATCH(G95,Zones!$A$6:$A$35,0))*ROUND(Paramètres!$B$53*H95^Paramètres!$B$54,0)+INDEX(Étages!$S$6:$S$105,A95)</f>
        <v>1295508.2</v>
      </c>
      <c r="Q95" s="23" t="n">
        <f aca="false">MATCH(M95,Récompenses!$F$6:$F$105,1)</f>
        <v>79</v>
      </c>
    </row>
    <row r="96" customFormat="false" ht="15.75" hidden="false" customHeight="true" outlineLevel="0" collapsed="false">
      <c r="A96" s="71" t="n">
        <v>83</v>
      </c>
      <c r="B96" s="23" t="n">
        <f aca="false">MAX(1,A96-Paramètres!$B$61)</f>
        <v>80</v>
      </c>
      <c r="C96" s="29" t="n">
        <f aca="false">M95</f>
        <v>2365516.60333333</v>
      </c>
      <c r="D96" s="23" t="n">
        <f aca="false">MATCH(C96,Récompenses!$F$6:$F$105,1)</f>
        <v>79</v>
      </c>
      <c r="E96" s="29" t="n">
        <f aca="false" t="array" ref="E96:E96">INDEX(Récompenses!$F$6:$F$105,B96)</f>
        <v>2442113</v>
      </c>
      <c r="F96" s="29" t="n">
        <f aca="false">MAX(0,E96-C96)</f>
        <v>76596.396666667</v>
      </c>
      <c r="G96" s="23" t="n">
        <f aca="false">MAX(5,5*INT((A96-1)/5))</f>
        <v>80</v>
      </c>
      <c r="H96" s="33" t="n">
        <f aca="false">IF(A96&lt;=5,MAX(1,A96-1),G96+Paramètres!$B$43/2)</f>
        <v>85</v>
      </c>
      <c r="I96" s="81" t="n">
        <f aca="false" t="array" ref="I96:I96">INDEX(Zones!$O$6:$O$35,MATCH(G96,Zones!$A$6:$A$35,0))*ROUND(Paramètres!$B$49*H96^Paramètres!$B$50,0)*MAX(Paramètres!$B$56,MIN(Paramètres!$B$57,1+Paramètres!$B$55*(H96-B96)))</f>
        <v>2323.5</v>
      </c>
      <c r="J96" s="72" t="n">
        <f aca="false">IF(F96&gt;0,ROUNDUP(F96/I96,0),0)</f>
        <v>33</v>
      </c>
      <c r="K96" s="72" t="n">
        <f aca="false" t="array" ref="K96:K96">J96*INDEX(Zones!$V$6:$V$35,MATCH(G96,Zones!$A$6:$A$35,0))</f>
        <v>254.375</v>
      </c>
      <c r="L96" s="29" t="n">
        <f aca="false" t="array" ref="L96:L96">INDEX(Étages!$R$6:$R$105,A96)*MAX(Paramètres!$B$56,MIN(Paramètres!$B$57,1+Paramètres!$B$55*(A96-MAX(B96,D96))))</f>
        <v>14947.4</v>
      </c>
      <c r="M96" s="29" t="n">
        <f aca="false">C96+J96*I96+L96</f>
        <v>2457139.50333333</v>
      </c>
      <c r="N96" s="27" t="n">
        <f aca="false" t="array" ref="N96:N96">INDEX(Étages!$L$6:$L$105,A96)</f>
        <v>72.4125</v>
      </c>
      <c r="O96" s="82" t="n">
        <f aca="false">O95+(K96+N96)/3600</f>
        <v>5.10833478009259</v>
      </c>
      <c r="P96" s="29" t="n">
        <f aca="false" t="array" ref="P96:P96">P95+J96*INDEX(Zones!$O$6:$O$35,MATCH(G96,Zones!$A$6:$A$35,0))*ROUND(Paramètres!$B$53*H96^Paramètres!$B$54,0)+INDEX(Étages!$S$6:$S$105,A96)</f>
        <v>1344282.2</v>
      </c>
      <c r="Q96" s="23" t="n">
        <f aca="false">MATCH(M96,Récompenses!$F$6:$F$105,1)</f>
        <v>80</v>
      </c>
    </row>
    <row r="97" customFormat="false" ht="15.75" hidden="false" customHeight="true" outlineLevel="0" collapsed="false">
      <c r="A97" s="71" t="n">
        <v>84</v>
      </c>
      <c r="B97" s="23" t="n">
        <f aca="false">MAX(1,A97-Paramètres!$B$61)</f>
        <v>81</v>
      </c>
      <c r="C97" s="29" t="n">
        <f aca="false">M96</f>
        <v>2457139.50333333</v>
      </c>
      <c r="D97" s="23" t="n">
        <f aca="false">MATCH(C97,Récompenses!$F$6:$F$105,1)</f>
        <v>80</v>
      </c>
      <c r="E97" s="29" t="n">
        <f aca="false" t="array" ref="E97:E97">INDEX(Récompenses!$F$6:$F$105,B97)</f>
        <v>2536889</v>
      </c>
      <c r="F97" s="29" t="n">
        <f aca="false">MAX(0,E97-C97)</f>
        <v>79749.4966666671</v>
      </c>
      <c r="G97" s="23" t="n">
        <f aca="false">MAX(5,5*INT((A97-1)/5))</f>
        <v>80</v>
      </c>
      <c r="H97" s="33" t="n">
        <f aca="false">IF(A97&lt;=5,MAX(1,A97-1),G97+Paramètres!$B$43/2)</f>
        <v>85</v>
      </c>
      <c r="I97" s="81" t="n">
        <f aca="false" t="array" ref="I97:I97">INDEX(Zones!$O$6:$O$35,MATCH(G97,Zones!$A$6:$A$35,0))*ROUND(Paramètres!$B$49*H97^Paramètres!$B$50,0)*MAX(Paramètres!$B$56,MIN(Paramètres!$B$57,1+Paramètres!$B$55*(H97-B97)))</f>
        <v>2168.6</v>
      </c>
      <c r="J97" s="72" t="n">
        <f aca="false">IF(F97&gt;0,ROUNDUP(F97/I97,0),0)</f>
        <v>37</v>
      </c>
      <c r="K97" s="72" t="n">
        <f aca="false" t="array" ref="K97:K97">J97*INDEX(Zones!$V$6:$V$35,MATCH(G97,Zones!$A$6:$A$35,0))</f>
        <v>285.208333333333</v>
      </c>
      <c r="L97" s="29" t="n">
        <f aca="false" t="array" ref="L97:L97">INDEX(Étages!$R$6:$R$105,A97)*MAX(Paramètres!$B$56,MIN(Paramètres!$B$57,1+Paramètres!$B$55*(A97-MAX(B97,D97))))</f>
        <v>15176.2</v>
      </c>
      <c r="M97" s="29" t="n">
        <f aca="false">C97+J97*I97+L97</f>
        <v>2552553.90333333</v>
      </c>
      <c r="N97" s="27" t="n">
        <f aca="false" t="array" ref="N97:N97">INDEX(Étages!$L$6:$L$105,A97)</f>
        <v>72.4125</v>
      </c>
      <c r="O97" s="82" t="n">
        <f aca="false">O96+(K97+N97)/3600</f>
        <v>5.20767390046296</v>
      </c>
      <c r="P97" s="29" t="n">
        <f aca="false" t="array" ref="P97:P97">P96+J97*INDEX(Zones!$O$6:$O$35,MATCH(G97,Zones!$A$6:$A$35,0))*ROUND(Paramètres!$B$53*H97^Paramètres!$B$54,0)+INDEX(Étages!$S$6:$S$105,A97)</f>
        <v>1398029.2</v>
      </c>
      <c r="Q97" s="23" t="n">
        <f aca="false">MATCH(M97,Récompenses!$F$6:$F$105,1)</f>
        <v>81</v>
      </c>
    </row>
    <row r="98" customFormat="false" ht="15.75" hidden="false" customHeight="true" outlineLevel="0" collapsed="false">
      <c r="A98" s="71" t="n">
        <v>85</v>
      </c>
      <c r="B98" s="23" t="n">
        <f aca="false">MAX(1,A98-Paramètres!$B$61)</f>
        <v>82</v>
      </c>
      <c r="C98" s="29" t="n">
        <f aca="false">M97</f>
        <v>2552553.90333333</v>
      </c>
      <c r="D98" s="23" t="n">
        <f aca="false">MATCH(C98,Récompenses!$F$6:$F$105,1)</f>
        <v>81</v>
      </c>
      <c r="E98" s="29" t="n">
        <f aca="false" t="array" ref="E98:E98">INDEX(Récompenses!$F$6:$F$105,B98)</f>
        <v>2634138</v>
      </c>
      <c r="F98" s="29" t="n">
        <f aca="false">MAX(0,E98-C98)</f>
        <v>81584.0966666667</v>
      </c>
      <c r="G98" s="23" t="n">
        <f aca="false">MAX(5,5*INT((A98-1)/5))</f>
        <v>80</v>
      </c>
      <c r="H98" s="33" t="n">
        <f aca="false">IF(A98&lt;=5,MAX(1,A98-1),G98+Paramètres!$B$43/2)</f>
        <v>85</v>
      </c>
      <c r="I98" s="81" t="n">
        <f aca="false" t="array" ref="I98:I98">INDEX(Zones!$O$6:$O$35,MATCH(G98,Zones!$A$6:$A$35,0))*ROUND(Paramètres!$B$49*H98^Paramètres!$B$50,0)*MAX(Paramètres!$B$56,MIN(Paramètres!$B$57,1+Paramètres!$B$55*(H98-B98)))</f>
        <v>2013.7</v>
      </c>
      <c r="J98" s="72" t="n">
        <f aca="false">IF(F98&gt;0,ROUNDUP(F98/I98,0),0)</f>
        <v>41</v>
      </c>
      <c r="K98" s="72" t="n">
        <f aca="false" t="array" ref="K98:K98">J98*INDEX(Zones!$V$6:$V$35,MATCH(G98,Zones!$A$6:$A$35,0))</f>
        <v>316.041666666667</v>
      </c>
      <c r="L98" s="29" t="n">
        <f aca="false" t="array" ref="L98:L98">INDEX(Étages!$R$6:$R$105,A98)*MAX(Paramètres!$B$56,MIN(Paramètres!$B$57,1+Paramètres!$B$55*(A98-MAX(B98,D98))))</f>
        <v>40072.5</v>
      </c>
      <c r="M98" s="29" t="n">
        <f aca="false">C98+J98*I98+L98</f>
        <v>2675188.10333333</v>
      </c>
      <c r="N98" s="27" t="n">
        <f aca="false" t="array" ref="N98:N98">INDEX(Étages!$L$6:$L$105,A98)</f>
        <v>164.975</v>
      </c>
      <c r="O98" s="82" t="n">
        <f aca="false">O97+(K98+N98)/3600</f>
        <v>5.3412896412037</v>
      </c>
      <c r="P98" s="29" t="n">
        <f aca="false" t="array" ref="P98:P98">P97+J98*INDEX(Zones!$O$6:$O$35,MATCH(G98,Zones!$A$6:$A$35,0))*ROUND(Paramètres!$B$53*H98^Paramètres!$B$54,0)+INDEX(Étages!$S$6:$S$105,A98)</f>
        <v>1471535.2</v>
      </c>
      <c r="Q98" s="23" t="n">
        <f aca="false">MATCH(M98,Récompenses!$F$6:$F$105,1)</f>
        <v>82</v>
      </c>
    </row>
    <row r="99" customFormat="false" ht="15.75" hidden="false" customHeight="true" outlineLevel="0" collapsed="false">
      <c r="A99" s="71" t="n">
        <v>86</v>
      </c>
      <c r="B99" s="23" t="n">
        <f aca="false">MAX(1,A99-Paramètres!$B$61)</f>
        <v>83</v>
      </c>
      <c r="C99" s="29" t="n">
        <f aca="false">M98</f>
        <v>2675188.10333333</v>
      </c>
      <c r="D99" s="23" t="n">
        <f aca="false">MATCH(C99,Récompenses!$F$6:$F$105,1)</f>
        <v>82</v>
      </c>
      <c r="E99" s="29" t="n">
        <f aca="false" t="array" ref="E99:E99">INDEX(Récompenses!$F$6:$F$105,B99)</f>
        <v>2733957</v>
      </c>
      <c r="F99" s="29" t="n">
        <f aca="false">MAX(0,E99-C99)</f>
        <v>58768.8966666665</v>
      </c>
      <c r="G99" s="23" t="n">
        <f aca="false">MAX(5,5*INT((A99-1)/5))</f>
        <v>85</v>
      </c>
      <c r="H99" s="33" t="n">
        <f aca="false">IF(A99&lt;=5,MAX(1,A99-1),G99+Paramètres!$B$43/2)</f>
        <v>90</v>
      </c>
      <c r="I99" s="81" t="n">
        <f aca="false" t="array" ref="I99:I99">INDEX(Zones!$O$6:$O$35,MATCH(G99,Zones!$A$6:$A$35,0))*ROUND(Paramètres!$B$49*H99^Paramètres!$B$50,0)*MAX(Paramètres!$B$56,MIN(Paramètres!$B$57,1+Paramètres!$B$55*(H99-B99)))</f>
        <v>2120.325</v>
      </c>
      <c r="J99" s="72" t="n">
        <f aca="false">IF(F99&gt;0,ROUNDUP(F99/I99,0),0)</f>
        <v>28</v>
      </c>
      <c r="K99" s="72" t="n">
        <f aca="false" t="array" ref="K99:K99">J99*INDEX(Zones!$V$6:$V$35,MATCH(G99,Zones!$A$6:$A$35,0))</f>
        <v>225.283333333333</v>
      </c>
      <c r="L99" s="29" t="n">
        <f aca="false" t="array" ref="L99:L99">INDEX(Étages!$R$6:$R$105,A99)*MAX(Paramètres!$B$56,MIN(Paramètres!$B$57,1+Paramètres!$B$55*(A99-MAX(B99,D99))))</f>
        <v>23281.7</v>
      </c>
      <c r="M99" s="29" t="n">
        <f aca="false">C99+J99*I99+L99</f>
        <v>2757838.90333333</v>
      </c>
      <c r="N99" s="27" t="n">
        <f aca="false" t="array" ref="N99:N99">INDEX(Étages!$L$6:$L$105,A99)</f>
        <v>89.4</v>
      </c>
      <c r="O99" s="82" t="n">
        <f aca="false">O98+(K99+N99)/3600</f>
        <v>5.42870167824074</v>
      </c>
      <c r="P99" s="29" t="n">
        <f aca="false" t="array" ref="P99:P99">P98+J99*INDEX(Zones!$O$6:$O$35,MATCH(G99,Zones!$A$6:$A$35,0))*ROUND(Paramètres!$B$53*H99^Paramètres!$B$54,0)+INDEX(Étages!$S$6:$S$105,A99)</f>
        <v>1516558.4</v>
      </c>
      <c r="Q99" s="23" t="n">
        <f aca="false">MATCH(M99,Récompenses!$F$6:$F$105,1)</f>
        <v>83</v>
      </c>
    </row>
    <row r="100" customFormat="false" ht="15.75" hidden="false" customHeight="true" outlineLevel="0" collapsed="false">
      <c r="A100" s="71" t="n">
        <v>87</v>
      </c>
      <c r="B100" s="23" t="n">
        <f aca="false">MAX(1,A100-Paramètres!$B$61)</f>
        <v>84</v>
      </c>
      <c r="C100" s="29" t="n">
        <f aca="false">M99</f>
        <v>2757838.90333333</v>
      </c>
      <c r="D100" s="23" t="n">
        <f aca="false">MATCH(C100,Récompenses!$F$6:$F$105,1)</f>
        <v>83</v>
      </c>
      <c r="E100" s="29" t="n">
        <f aca="false" t="array" ref="E100:E100">INDEX(Récompenses!$F$6:$F$105,B100)</f>
        <v>2836311</v>
      </c>
      <c r="F100" s="29" t="n">
        <f aca="false">MAX(0,E100-C100)</f>
        <v>78472.0966666662</v>
      </c>
      <c r="G100" s="23" t="n">
        <f aca="false">MAX(5,5*INT((A100-1)/5))</f>
        <v>85</v>
      </c>
      <c r="H100" s="33" t="n">
        <f aca="false">IF(A100&lt;=5,MAX(1,A100-1),G100+Paramètres!$B$43/2)</f>
        <v>90</v>
      </c>
      <c r="I100" s="81" t="n">
        <f aca="false" t="array" ref="I100:I100">INDEX(Zones!$O$6:$O$35,MATCH(G100,Zones!$A$6:$A$35,0))*ROUND(Paramètres!$B$49*H100^Paramètres!$B$50,0)*MAX(Paramètres!$B$56,MIN(Paramètres!$B$57,1+Paramètres!$B$55*(H100-B100)))</f>
        <v>2120.325</v>
      </c>
      <c r="J100" s="72" t="n">
        <f aca="false">IF(F100&gt;0,ROUNDUP(F100/I100,0),0)</f>
        <v>38</v>
      </c>
      <c r="K100" s="72" t="n">
        <f aca="false" t="array" ref="K100:K100">J100*INDEX(Zones!$V$6:$V$35,MATCH(G100,Zones!$A$6:$A$35,0))</f>
        <v>305.741666666667</v>
      </c>
      <c r="L100" s="29" t="n">
        <f aca="false" t="array" ref="L100:L100">INDEX(Étages!$R$6:$R$105,A100)*MAX(Paramètres!$B$56,MIN(Paramètres!$B$57,1+Paramètres!$B$55*(A100-MAX(B100,D100))))</f>
        <v>23623.6</v>
      </c>
      <c r="M100" s="29" t="n">
        <f aca="false">C100+J100*I100+L100</f>
        <v>2862034.85333333</v>
      </c>
      <c r="N100" s="27" t="n">
        <f aca="false" t="array" ref="N100:N100">INDEX(Étages!$L$6:$L$105,A100)</f>
        <v>89.4</v>
      </c>
      <c r="O100" s="82" t="n">
        <f aca="false">O99+(K100+N100)/3600</f>
        <v>5.53846325231481</v>
      </c>
      <c r="P100" s="29" t="n">
        <f aca="false" t="array" ref="P100:P100">P99+J100*INDEX(Zones!$O$6:$O$35,MATCH(G100,Zones!$A$6:$A$35,0))*ROUND(Paramètres!$B$53*H100^Paramètres!$B$54,0)+INDEX(Étages!$S$6:$S$105,A100)</f>
        <v>1572881.6</v>
      </c>
      <c r="Q100" s="23" t="n">
        <f aca="false">MATCH(M100,Récompenses!$F$6:$F$105,1)</f>
        <v>84</v>
      </c>
    </row>
    <row r="101" customFormat="false" ht="15.75" hidden="false" customHeight="true" outlineLevel="0" collapsed="false">
      <c r="A101" s="71" t="n">
        <v>88</v>
      </c>
      <c r="B101" s="23" t="n">
        <f aca="false">MAX(1,A101-Paramètres!$B$61)</f>
        <v>85</v>
      </c>
      <c r="C101" s="29" t="n">
        <f aca="false">M100</f>
        <v>2862034.85333333</v>
      </c>
      <c r="D101" s="23" t="n">
        <f aca="false">MATCH(C101,Récompenses!$F$6:$F$105,1)</f>
        <v>84</v>
      </c>
      <c r="E101" s="29" t="n">
        <f aca="false" t="array" ref="E101:E101">INDEX(Récompenses!$F$6:$F$105,B101)</f>
        <v>2941300</v>
      </c>
      <c r="F101" s="29" t="n">
        <f aca="false">MAX(0,E101-C101)</f>
        <v>79265.146666666</v>
      </c>
      <c r="G101" s="23" t="n">
        <f aca="false">MAX(5,5*INT((A101-1)/5))</f>
        <v>85</v>
      </c>
      <c r="H101" s="33" t="n">
        <f aca="false">IF(A101&lt;=5,MAX(1,A101-1),G101+Paramètres!$B$43/2)</f>
        <v>90</v>
      </c>
      <c r="I101" s="81" t="n">
        <f aca="false" t="array" ref="I101:I101">INDEX(Zones!$O$6:$O$35,MATCH(G101,Zones!$A$6:$A$35,0))*ROUND(Paramètres!$B$49*H101^Paramètres!$B$50,0)*MAX(Paramètres!$B$56,MIN(Paramètres!$B$57,1+Paramètres!$B$55*(H101-B101)))</f>
        <v>2120.325</v>
      </c>
      <c r="J101" s="72" t="n">
        <f aca="false">IF(F101&gt;0,ROUNDUP(F101/I101,0),0)</f>
        <v>38</v>
      </c>
      <c r="K101" s="72" t="n">
        <f aca="false" t="array" ref="K101:K101">J101*INDEX(Zones!$V$6:$V$35,MATCH(G101,Zones!$A$6:$A$35,0))</f>
        <v>305.741666666667</v>
      </c>
      <c r="L101" s="29" t="n">
        <f aca="false" t="array" ref="L101:L101">INDEX(Étages!$R$6:$R$105,A101)*MAX(Paramètres!$B$56,MIN(Paramètres!$B$57,1+Paramètres!$B$55*(A101-MAX(B101,D101))))</f>
        <v>23964.2</v>
      </c>
      <c r="M101" s="29" t="n">
        <f aca="false">C101+J101*I101+L101</f>
        <v>2966571.40333333</v>
      </c>
      <c r="N101" s="27" t="n">
        <f aca="false" t="array" ref="N101:N101">INDEX(Étages!$L$6:$L$105,A101)</f>
        <v>89.4</v>
      </c>
      <c r="O101" s="82" t="n">
        <f aca="false">O100+(K101+N101)/3600</f>
        <v>5.64822482638889</v>
      </c>
      <c r="P101" s="29" t="n">
        <f aca="false" t="array" ref="P101:P101">P100+J101*INDEX(Zones!$O$6:$O$35,MATCH(G101,Zones!$A$6:$A$35,0))*ROUND(Paramètres!$B$53*H101^Paramètres!$B$54,0)+INDEX(Étages!$S$6:$S$105,A101)</f>
        <v>1629421.8</v>
      </c>
      <c r="Q101" s="23" t="n">
        <f aca="false">MATCH(M101,Récompenses!$F$6:$F$105,1)</f>
        <v>85</v>
      </c>
    </row>
    <row r="102" customFormat="false" ht="15.75" hidden="false" customHeight="true" outlineLevel="0" collapsed="false">
      <c r="A102" s="71" t="n">
        <v>89</v>
      </c>
      <c r="B102" s="23" t="n">
        <f aca="false">MAX(1,A102-Paramètres!$B$61)</f>
        <v>86</v>
      </c>
      <c r="C102" s="29" t="n">
        <f aca="false">M101</f>
        <v>2966571.40333333</v>
      </c>
      <c r="D102" s="23" t="n">
        <f aca="false">MATCH(C102,Récompenses!$F$6:$F$105,1)</f>
        <v>85</v>
      </c>
      <c r="E102" s="29" t="n">
        <f aca="false" t="array" ref="E102:E102">INDEX(Récompenses!$F$6:$F$105,B102)</f>
        <v>3048956</v>
      </c>
      <c r="F102" s="29" t="n">
        <f aca="false">MAX(0,E102-C102)</f>
        <v>82384.5966666658</v>
      </c>
      <c r="G102" s="23" t="n">
        <f aca="false">MAX(5,5*INT((A102-1)/5))</f>
        <v>85</v>
      </c>
      <c r="H102" s="33" t="n">
        <f aca="false">IF(A102&lt;=5,MAX(1,A102-1),G102+Paramètres!$B$43/2)</f>
        <v>90</v>
      </c>
      <c r="I102" s="81" t="n">
        <f aca="false" t="array" ref="I102:I102">INDEX(Zones!$O$6:$O$35,MATCH(G102,Zones!$A$6:$A$35,0))*ROUND(Paramètres!$B$49*H102^Paramètres!$B$50,0)*MAX(Paramètres!$B$56,MIN(Paramètres!$B$57,1+Paramètres!$B$55*(H102-B102)))</f>
        <v>1978.97</v>
      </c>
      <c r="J102" s="72" t="n">
        <f aca="false">IF(F102&gt;0,ROUNDUP(F102/I102,0),0)</f>
        <v>42</v>
      </c>
      <c r="K102" s="72" t="n">
        <f aca="false" t="array" ref="K102:K102">J102*INDEX(Zones!$V$6:$V$35,MATCH(G102,Zones!$A$6:$A$35,0))</f>
        <v>337.925</v>
      </c>
      <c r="L102" s="29" t="n">
        <f aca="false" t="array" ref="L102:L102">INDEX(Étages!$R$6:$R$105,A102)*MAX(Paramètres!$B$56,MIN(Paramètres!$B$57,1+Paramètres!$B$55*(A102-MAX(B102,D102))))</f>
        <v>25584</v>
      </c>
      <c r="M102" s="29" t="n">
        <f aca="false">C102+J102*I102+L102</f>
        <v>3075272.14333333</v>
      </c>
      <c r="N102" s="27" t="n">
        <f aca="false" t="array" ref="N102:N102">INDEX(Étages!$L$6:$L$105,A102)</f>
        <v>104</v>
      </c>
      <c r="O102" s="82" t="n">
        <f aca="false">O101+(K102+N102)/3600</f>
        <v>5.77098177083333</v>
      </c>
      <c r="P102" s="29" t="n">
        <f aca="false" t="array" ref="P102:P102">P101+J102*INDEX(Zones!$O$6:$O$35,MATCH(G102,Zones!$A$6:$A$35,0))*ROUND(Paramètres!$B$53*H102^Paramètres!$B$54,0)+INDEX(Étages!$S$6:$S$105,A102)</f>
        <v>1691394.6</v>
      </c>
      <c r="Q102" s="23" t="n">
        <f aca="false">MATCH(M102,Récompenses!$F$6:$F$105,1)</f>
        <v>86</v>
      </c>
    </row>
    <row r="103" customFormat="false" ht="15.75" hidden="false" customHeight="true" outlineLevel="0" collapsed="false">
      <c r="A103" s="71" t="n">
        <v>90</v>
      </c>
      <c r="B103" s="23" t="n">
        <f aca="false">MAX(1,A103-Paramètres!$B$61)</f>
        <v>87</v>
      </c>
      <c r="C103" s="29" t="n">
        <f aca="false">M102</f>
        <v>3075272.14333333</v>
      </c>
      <c r="D103" s="23" t="n">
        <f aca="false">MATCH(C103,Récompenses!$F$6:$F$105,1)</f>
        <v>86</v>
      </c>
      <c r="E103" s="29" t="n">
        <f aca="false" t="array" ref="E103:E103">INDEX(Récompenses!$F$6:$F$105,B103)</f>
        <v>3159240</v>
      </c>
      <c r="F103" s="29" t="n">
        <f aca="false">MAX(0,E103-C103)</f>
        <v>83967.8566666655</v>
      </c>
      <c r="G103" s="23" t="n">
        <f aca="false">MAX(5,5*INT((A103-1)/5))</f>
        <v>85</v>
      </c>
      <c r="H103" s="33" t="n">
        <f aca="false">IF(A103&lt;=5,MAX(1,A103-1),G103+Paramètres!$B$43/2)</f>
        <v>90</v>
      </c>
      <c r="I103" s="81" t="n">
        <f aca="false" t="array" ref="I103:I103">INDEX(Zones!$O$6:$O$35,MATCH(G103,Zones!$A$6:$A$35,0))*ROUND(Paramètres!$B$49*H103^Paramètres!$B$50,0)*MAX(Paramètres!$B$56,MIN(Paramètres!$B$57,1+Paramètres!$B$55*(H103-B103)))</f>
        <v>1837.615</v>
      </c>
      <c r="J103" s="72" t="n">
        <f aca="false">IF(F103&gt;0,ROUNDUP(F103/I103,0),0)</f>
        <v>46</v>
      </c>
      <c r="K103" s="72" t="n">
        <f aca="false" t="array" ref="K103:K103">J103*INDEX(Zones!$V$6:$V$35,MATCH(G103,Zones!$A$6:$A$35,0))</f>
        <v>370.108333333333</v>
      </c>
      <c r="L103" s="29" t="n">
        <f aca="false" t="array" ref="L103:L103">INDEX(Étages!$R$6:$R$105,A103)*MAX(Paramètres!$B$56,MIN(Paramètres!$B$57,1+Paramètres!$B$55*(A103-MAX(B103,D103))))</f>
        <v>55633.5</v>
      </c>
      <c r="M103" s="29" t="n">
        <f aca="false">C103+J103*I103+L103</f>
        <v>3215435.93333333</v>
      </c>
      <c r="N103" s="27" t="n">
        <f aca="false" t="array" ref="N103:N103">INDEX(Étages!$L$6:$L$105,A103)</f>
        <v>209.4</v>
      </c>
      <c r="O103" s="82" t="n">
        <f aca="false">O102+(K103+N103)/3600</f>
        <v>5.93195630787037</v>
      </c>
      <c r="P103" s="29" t="n">
        <f aca="false" t="array" ref="P103:P103">P102+J103*INDEX(Zones!$O$6:$O$35,MATCH(G103,Zones!$A$6:$A$35,0))*ROUND(Paramètres!$B$53*H103^Paramètres!$B$54,0)+INDEX(Étages!$S$6:$S$105,A103)</f>
        <v>1775937</v>
      </c>
      <c r="Q103" s="23" t="n">
        <f aca="false">MATCH(M103,Récompenses!$F$6:$F$105,1)</f>
        <v>87</v>
      </c>
    </row>
    <row r="104" customFormat="false" ht="15.75" hidden="false" customHeight="true" outlineLevel="0" collapsed="false">
      <c r="A104" s="71" t="n">
        <v>91</v>
      </c>
      <c r="B104" s="23" t="n">
        <f aca="false">MAX(1,A104-Paramètres!$B$61)</f>
        <v>88</v>
      </c>
      <c r="C104" s="29" t="n">
        <f aca="false">M103</f>
        <v>3215435.93333333</v>
      </c>
      <c r="D104" s="23" t="n">
        <f aca="false">MATCH(C104,Récompenses!$F$6:$F$105,1)</f>
        <v>87</v>
      </c>
      <c r="E104" s="29" t="n">
        <f aca="false" t="array" ref="E104:E104">INDEX(Récompenses!$F$6:$F$105,B104)</f>
        <v>3272255</v>
      </c>
      <c r="F104" s="29" t="n">
        <f aca="false">MAX(0,E104-C104)</f>
        <v>56819.0666666655</v>
      </c>
      <c r="G104" s="23" t="n">
        <f aca="false">MAX(5,5*INT((A104-1)/5))</f>
        <v>90</v>
      </c>
      <c r="H104" s="33" t="n">
        <f aca="false">IF(A104&lt;=5,MAX(1,A104-1),G104+Paramètres!$B$43/2)</f>
        <v>95</v>
      </c>
      <c r="I104" s="81" t="n">
        <f aca="false" t="array" ref="I104:I104">INDEX(Zones!$O$6:$O$35,MATCH(G104,Zones!$A$6:$A$35,0))*ROUND(Paramètres!$B$49*H104^Paramètres!$B$50,0)*MAX(Paramètres!$B$56,MIN(Paramètres!$B$57,1+Paramètres!$B$55*(H104-B104)))</f>
        <v>3382</v>
      </c>
      <c r="J104" s="72" t="n">
        <f aca="false">IF(F104&gt;0,ROUNDUP(F104/I104,0),0)</f>
        <v>17</v>
      </c>
      <c r="K104" s="72" t="n">
        <f aca="false" t="array" ref="K104:K104">J104*INDEX(Zones!$V$6:$V$35,MATCH(G104,Zones!$A$6:$A$35,0))</f>
        <v>168.866666666667</v>
      </c>
      <c r="L104" s="29" t="n">
        <f aca="false" t="array" ref="L104:L104">INDEX(Étages!$R$6:$R$105,A104)*MAX(Paramètres!$B$56,MIN(Paramètres!$B$57,1+Paramètres!$B$55*(A104-MAX(B104,D104))))</f>
        <v>20120.1</v>
      </c>
      <c r="M104" s="29" t="n">
        <f aca="false">C104+J104*I104+L104</f>
        <v>3293050.03333333</v>
      </c>
      <c r="N104" s="27" t="n">
        <f aca="false" t="array" ref="N104:N104">INDEX(Étages!$L$6:$L$105,A104)</f>
        <v>88.4775</v>
      </c>
      <c r="O104" s="82" t="n">
        <f aca="false">O103+(K104+N104)/3600</f>
        <v>6.00344079861111</v>
      </c>
      <c r="P104" s="29" t="n">
        <f aca="false" t="array" ref="P104:P104">P103+J104*INDEX(Zones!$O$6:$O$35,MATCH(G104,Zones!$A$6:$A$35,0))*ROUND(Paramètres!$B$53*H104^Paramètres!$B$54,0)+INDEX(Étages!$S$6:$S$105,A104)</f>
        <v>1818302.26666667</v>
      </c>
      <c r="Q104" s="23" t="n">
        <f aca="false">MATCH(M104,Récompenses!$F$6:$F$105,1)</f>
        <v>88</v>
      </c>
    </row>
    <row r="105" customFormat="false" ht="15.75" hidden="false" customHeight="true" outlineLevel="0" collapsed="false">
      <c r="A105" s="71" t="n">
        <v>92</v>
      </c>
      <c r="B105" s="23" t="n">
        <f aca="false">MAX(1,A105-Paramètres!$B$61)</f>
        <v>89</v>
      </c>
      <c r="C105" s="29" t="n">
        <f aca="false">M104</f>
        <v>3293050.03333333</v>
      </c>
      <c r="D105" s="23" t="n">
        <f aca="false">MATCH(C105,Récompenses!$F$6:$F$105,1)</f>
        <v>88</v>
      </c>
      <c r="E105" s="29" t="n">
        <f aca="false" t="array" ref="E105:E105">INDEX(Récompenses!$F$6:$F$105,B105)</f>
        <v>3388032</v>
      </c>
      <c r="F105" s="29" t="n">
        <f aca="false">MAX(0,E105-C105)</f>
        <v>94981.9666666654</v>
      </c>
      <c r="G105" s="23" t="n">
        <f aca="false">MAX(5,5*INT((A105-1)/5))</f>
        <v>90</v>
      </c>
      <c r="H105" s="33" t="n">
        <f aca="false">IF(A105&lt;=5,MAX(1,A105-1),G105+Paramètres!$B$43/2)</f>
        <v>95</v>
      </c>
      <c r="I105" s="81" t="n">
        <f aca="false" t="array" ref="I105:I105">INDEX(Zones!$O$6:$O$35,MATCH(G105,Zones!$A$6:$A$35,0))*ROUND(Paramètres!$B$49*H105^Paramètres!$B$50,0)*MAX(Paramètres!$B$56,MIN(Paramètres!$B$57,1+Paramètres!$B$55*(H105-B105)))</f>
        <v>3382</v>
      </c>
      <c r="J105" s="72" t="n">
        <f aca="false">IF(F105&gt;0,ROUNDUP(F105/I105,0),0)</f>
        <v>29</v>
      </c>
      <c r="K105" s="72" t="n">
        <f aca="false" t="array" ref="K105:K105">J105*INDEX(Zones!$V$6:$V$35,MATCH(G105,Zones!$A$6:$A$35,0))</f>
        <v>288.066666666667</v>
      </c>
      <c r="L105" s="29" t="n">
        <f aca="false" t="array" ref="L105:L105">INDEX(Étages!$R$6:$R$105,A105)*MAX(Paramètres!$B$56,MIN(Paramètres!$B$57,1+Paramètres!$B$55*(A105-MAX(B105,D105))))</f>
        <v>20407.4</v>
      </c>
      <c r="M105" s="29" t="n">
        <f aca="false">C105+J105*I105+L105</f>
        <v>3411535.43333333</v>
      </c>
      <c r="N105" s="27" t="n">
        <f aca="false" t="array" ref="N105:N105">INDEX(Étages!$L$6:$L$105,A105)</f>
        <v>88.4775</v>
      </c>
      <c r="O105" s="82" t="n">
        <f aca="false">O104+(K105+N105)/3600</f>
        <v>6.10803640046296</v>
      </c>
      <c r="P105" s="29" t="n">
        <f aca="false" t="array" ref="P105:P105">P104+J105*INDEX(Zones!$O$6:$O$35,MATCH(G105,Zones!$A$6:$A$35,0))*ROUND(Paramètres!$B$53*H105^Paramètres!$B$54,0)+INDEX(Étages!$S$6:$S$105,A105)</f>
        <v>1882168.13333333</v>
      </c>
      <c r="Q105" s="23" t="n">
        <f aca="false">MATCH(M105,Récompenses!$F$6:$F$105,1)</f>
        <v>89</v>
      </c>
    </row>
    <row r="106" customFormat="false" ht="15.75" hidden="false" customHeight="true" outlineLevel="0" collapsed="false">
      <c r="A106" s="71" t="n">
        <v>93</v>
      </c>
      <c r="B106" s="23" t="n">
        <f aca="false">MAX(1,A106-Paramètres!$B$61)</f>
        <v>90</v>
      </c>
      <c r="C106" s="29" t="n">
        <f aca="false">M105</f>
        <v>3411535.43333333</v>
      </c>
      <c r="D106" s="23" t="n">
        <f aca="false">MATCH(C106,Récompenses!$F$6:$F$105,1)</f>
        <v>89</v>
      </c>
      <c r="E106" s="29" t="n">
        <f aca="false" t="array" ref="E106:E106">INDEX(Récompenses!$F$6:$F$105,B106)</f>
        <v>3506604</v>
      </c>
      <c r="F106" s="29" t="n">
        <f aca="false">MAX(0,E106-C106)</f>
        <v>95068.5666666655</v>
      </c>
      <c r="G106" s="23" t="n">
        <f aca="false">MAX(5,5*INT((A106-1)/5))</f>
        <v>90</v>
      </c>
      <c r="H106" s="33" t="n">
        <f aca="false">IF(A106&lt;=5,MAX(1,A106-1),G106+Paramètres!$B$43/2)</f>
        <v>95</v>
      </c>
      <c r="I106" s="81" t="n">
        <f aca="false" t="array" ref="I106:I106">INDEX(Zones!$O$6:$O$35,MATCH(G106,Zones!$A$6:$A$35,0))*ROUND(Paramètres!$B$49*H106^Paramètres!$B$50,0)*MAX(Paramètres!$B$56,MIN(Paramètres!$B$57,1+Paramètres!$B$55*(H106-B106)))</f>
        <v>3382</v>
      </c>
      <c r="J106" s="72" t="n">
        <f aca="false">IF(F106&gt;0,ROUNDUP(F106/I106,0),0)</f>
        <v>29</v>
      </c>
      <c r="K106" s="72" t="n">
        <f aca="false" t="array" ref="K106:K106">J106*INDEX(Zones!$V$6:$V$35,MATCH(G106,Zones!$A$6:$A$35,0))</f>
        <v>288.066666666667</v>
      </c>
      <c r="L106" s="29" t="n">
        <f aca="false" t="array" ref="L106:L106">INDEX(Étages!$R$6:$R$105,A106)*MAX(Paramètres!$B$56,MIN(Paramètres!$B$57,1+Paramètres!$B$55*(A106-MAX(B106,D106))))</f>
        <v>20681.7</v>
      </c>
      <c r="M106" s="29" t="n">
        <f aca="false">C106+J106*I106+L106</f>
        <v>3530295.13333333</v>
      </c>
      <c r="N106" s="27" t="n">
        <f aca="false" t="array" ref="N106:N106">INDEX(Étages!$L$6:$L$105,A106)</f>
        <v>88.4775</v>
      </c>
      <c r="O106" s="82" t="n">
        <f aca="false">O105+(K106+N106)/3600</f>
        <v>6.21263200231481</v>
      </c>
      <c r="P106" s="29" t="n">
        <f aca="false" t="array" ref="P106:P106">P105+J106*INDEX(Zones!$O$6:$O$35,MATCH(G106,Zones!$A$6:$A$35,0))*ROUND(Paramètres!$B$53*H106^Paramètres!$B$54,0)+INDEX(Étages!$S$6:$S$105,A106)</f>
        <v>1946217</v>
      </c>
      <c r="Q106" s="23" t="n">
        <f aca="false">MATCH(M106,Récompenses!$F$6:$F$105,1)</f>
        <v>90</v>
      </c>
    </row>
    <row r="107" customFormat="false" ht="15.75" hidden="false" customHeight="true" outlineLevel="0" collapsed="false">
      <c r="A107" s="71" t="n">
        <v>94</v>
      </c>
      <c r="B107" s="23" t="n">
        <f aca="false">MAX(1,A107-Paramètres!$B$61)</f>
        <v>91</v>
      </c>
      <c r="C107" s="29" t="n">
        <f aca="false">M106</f>
        <v>3530295.13333333</v>
      </c>
      <c r="D107" s="23" t="n">
        <f aca="false">MATCH(C107,Récompenses!$F$6:$F$105,1)</f>
        <v>90</v>
      </c>
      <c r="E107" s="29" t="n">
        <f aca="false" t="array" ref="E107:E107">INDEX(Récompenses!$F$6:$F$105,B107)</f>
        <v>3628003</v>
      </c>
      <c r="F107" s="29" t="n">
        <f aca="false">MAX(0,E107-C107)</f>
        <v>97707.8666666653</v>
      </c>
      <c r="G107" s="23" t="n">
        <f aca="false">MAX(5,5*INT((A107-1)/5))</f>
        <v>90</v>
      </c>
      <c r="H107" s="33" t="n">
        <f aca="false">IF(A107&lt;=5,MAX(1,A107-1),G107+Paramètres!$B$43/2)</f>
        <v>95</v>
      </c>
      <c r="I107" s="81" t="n">
        <f aca="false" t="array" ref="I107:I107">INDEX(Zones!$O$6:$O$35,MATCH(G107,Zones!$A$6:$A$35,0))*ROUND(Paramètres!$B$49*H107^Paramètres!$B$50,0)*MAX(Paramètres!$B$56,MIN(Paramètres!$B$57,1+Paramètres!$B$55*(H107-B107)))</f>
        <v>3156.53333333333</v>
      </c>
      <c r="J107" s="72" t="n">
        <f aca="false">IF(F107&gt;0,ROUNDUP(F107/I107,0),0)</f>
        <v>31</v>
      </c>
      <c r="K107" s="72" t="n">
        <f aca="false" t="array" ref="K107:K107">J107*INDEX(Zones!$V$6:$V$35,MATCH(G107,Zones!$A$6:$A$35,0))</f>
        <v>307.933333333333</v>
      </c>
      <c r="L107" s="29" t="n">
        <f aca="false" t="array" ref="L107:L107">INDEX(Étages!$R$6:$R$105,A107)*MAX(Paramètres!$B$56,MIN(Paramètres!$B$57,1+Paramètres!$B$55*(A107-MAX(B107,D107))))</f>
        <v>20956</v>
      </c>
      <c r="M107" s="29" t="n">
        <f aca="false">C107+J107*I107+L107</f>
        <v>3649103.66666667</v>
      </c>
      <c r="N107" s="27" t="n">
        <f aca="false" t="array" ref="N107:N107">INDEX(Étages!$L$6:$L$105,A107)</f>
        <v>88.4775</v>
      </c>
      <c r="O107" s="82" t="n">
        <f aca="false">O106+(K107+N107)/3600</f>
        <v>6.32274612268518</v>
      </c>
      <c r="P107" s="29" t="n">
        <f aca="false" t="array" ref="P107:P107">P106+J107*INDEX(Zones!$O$6:$O$35,MATCH(G107,Zones!$A$6:$A$35,0))*ROUND(Paramètres!$B$53*H107^Paramètres!$B$54,0)+INDEX(Étages!$S$6:$S$105,A107)</f>
        <v>2014004.13333333</v>
      </c>
      <c r="Q107" s="23" t="n">
        <f aca="false">MATCH(M107,Récompenses!$F$6:$F$105,1)</f>
        <v>91</v>
      </c>
    </row>
    <row r="108" customFormat="false" ht="15.75" hidden="false" customHeight="true" outlineLevel="0" collapsed="false">
      <c r="A108" s="71" t="n">
        <v>95</v>
      </c>
      <c r="B108" s="23" t="n">
        <f aca="false">MAX(1,A108-Paramètres!$B$61)</f>
        <v>92</v>
      </c>
      <c r="C108" s="29" t="n">
        <f aca="false">M107</f>
        <v>3649103.66666667</v>
      </c>
      <c r="D108" s="23" t="n">
        <f aca="false">MATCH(C108,Récompenses!$F$6:$F$105,1)</f>
        <v>91</v>
      </c>
      <c r="E108" s="29" t="n">
        <f aca="false" t="array" ref="E108:E108">INDEX(Récompenses!$F$6:$F$105,B108)</f>
        <v>3752261</v>
      </c>
      <c r="F108" s="29" t="n">
        <f aca="false">MAX(0,E108-C108)</f>
        <v>103157.333333332</v>
      </c>
      <c r="G108" s="23" t="n">
        <f aca="false">MAX(5,5*INT((A108-1)/5))</f>
        <v>90</v>
      </c>
      <c r="H108" s="33" t="n">
        <f aca="false">IF(A108&lt;=5,MAX(1,A108-1),G108+Paramètres!$B$43/2)</f>
        <v>95</v>
      </c>
      <c r="I108" s="81" t="n">
        <f aca="false" t="array" ref="I108:I108">INDEX(Zones!$O$6:$O$35,MATCH(G108,Zones!$A$6:$A$35,0))*ROUND(Paramètres!$B$49*H108^Paramètres!$B$50,0)*MAX(Paramètres!$B$56,MIN(Paramètres!$B$57,1+Paramètres!$B$55*(H108-B108)))</f>
        <v>2931.06666666667</v>
      </c>
      <c r="J108" s="72" t="n">
        <f aca="false">IF(F108&gt;0,ROUNDUP(F108/I108,0),0)</f>
        <v>36</v>
      </c>
      <c r="K108" s="72" t="n">
        <f aca="false" t="array" ref="K108:K108">J108*INDEX(Zones!$V$6:$V$35,MATCH(G108,Zones!$A$6:$A$35,0))</f>
        <v>357.6</v>
      </c>
      <c r="L108" s="29" t="n">
        <f aca="false" t="array" ref="L108:L108">INDEX(Étages!$R$6:$R$105,A108)*MAX(Paramètres!$B$56,MIN(Paramètres!$B$57,1+Paramètres!$B$55*(A108-MAX(B108,D108))))</f>
        <v>51555.4</v>
      </c>
      <c r="M108" s="29" t="n">
        <f aca="false">C108+J108*I108+L108</f>
        <v>3806177.46666667</v>
      </c>
      <c r="N108" s="27" t="n">
        <f aca="false" t="array" ref="N108:N108">INDEX(Étages!$L$6:$L$105,A108)</f>
        <v>183.965</v>
      </c>
      <c r="O108" s="82" t="n">
        <f aca="false">O107+(K108+N108)/3600</f>
        <v>6.47318084490741</v>
      </c>
      <c r="P108" s="29" t="n">
        <f aca="false" t="array" ref="P108:P108">P107+J108*INDEX(Zones!$O$6:$O$35,MATCH(G108,Zones!$A$6:$A$35,0))*ROUND(Paramètres!$B$53*H108^Paramètres!$B$54,0)+INDEX(Étages!$S$6:$S$105,A108)</f>
        <v>2109239.93333333</v>
      </c>
      <c r="Q108" s="23" t="n">
        <f aca="false">MATCH(M108,Récompenses!$F$6:$F$105,1)</f>
        <v>92</v>
      </c>
    </row>
    <row r="109" customFormat="false" ht="15.75" hidden="false" customHeight="true" outlineLevel="0" collapsed="false">
      <c r="A109" s="71" t="n">
        <v>96</v>
      </c>
      <c r="B109" s="23" t="n">
        <f aca="false">MAX(1,A109-Paramètres!$B$61)</f>
        <v>93</v>
      </c>
      <c r="C109" s="29" t="n">
        <f aca="false">M108</f>
        <v>3806177.46666667</v>
      </c>
      <c r="D109" s="23" t="n">
        <f aca="false">MATCH(C109,Récompenses!$F$6:$F$105,1)</f>
        <v>92</v>
      </c>
      <c r="E109" s="29" t="n">
        <f aca="false" t="array" ref="E109:E109">INDEX(Récompenses!$F$6:$F$105,B109)</f>
        <v>3879485</v>
      </c>
      <c r="F109" s="29" t="n">
        <f aca="false">MAX(0,E109-C109)</f>
        <v>73307.5333333323</v>
      </c>
      <c r="G109" s="23" t="n">
        <f aca="false">MAX(5,5*INT((A109-1)/5))</f>
        <v>95</v>
      </c>
      <c r="H109" s="33" t="n">
        <f aca="false">IF(A109&lt;=5,MAX(1,A109-1),G109+Paramètres!$B$43/2)</f>
        <v>100</v>
      </c>
      <c r="I109" s="81" t="n">
        <f aca="false" t="array" ref="I109:I109">INDEX(Zones!$O$6:$O$35,MATCH(G109,Zones!$A$6:$A$35,0))*ROUND(Paramètres!$B$49*H109^Paramètres!$B$50,0)*MAX(Paramètres!$B$56,MIN(Paramètres!$B$57,1+Paramètres!$B$55*(H109-B109)))</f>
        <v>2902.41</v>
      </c>
      <c r="J109" s="72" t="n">
        <f aca="false">IF(F109&gt;0,ROUNDUP(F109/I109,0),0)</f>
        <v>26</v>
      </c>
      <c r="K109" s="72" t="n">
        <f aca="false" t="array" ref="K109:K109">J109*INDEX(Zones!$V$6:$V$35,MATCH(G109,Zones!$A$6:$A$35,0))</f>
        <v>255.601666666667</v>
      </c>
      <c r="L109" s="29" t="n">
        <f aca="false" t="array" ref="L109:L109">INDEX(Étages!$R$6:$R$105,A109)*MAX(Paramètres!$B$56,MIN(Paramètres!$B$57,1+Paramètres!$B$55*(A109-MAX(B109,D109))))</f>
        <v>23731.5</v>
      </c>
      <c r="M109" s="29" t="n">
        <f aca="false">C109+J109*I109+L109</f>
        <v>3905371.62666667</v>
      </c>
      <c r="N109" s="27" t="n">
        <f aca="false" t="array" ref="N109:N109">INDEX(Étages!$L$6:$L$105,A109)</f>
        <v>84.646875</v>
      </c>
      <c r="O109" s="82" t="n">
        <f aca="false">O108+(K109+N109)/3600</f>
        <v>6.5676943287037</v>
      </c>
      <c r="P109" s="29" t="n">
        <f aca="false" t="array" ref="P109:P109">P108+J109*INDEX(Zones!$O$6:$O$35,MATCH(G109,Zones!$A$6:$A$35,0))*ROUND(Paramètres!$B$53*H109^Paramètres!$B$54,0)+INDEX(Étages!$S$6:$S$105,A109)</f>
        <v>2163534.01333333</v>
      </c>
      <c r="Q109" s="23" t="n">
        <f aca="false">MATCH(M109,Récompenses!$F$6:$F$105,1)</f>
        <v>93</v>
      </c>
    </row>
    <row r="110" customFormat="false" ht="15.75" hidden="false" customHeight="true" outlineLevel="0" collapsed="false">
      <c r="A110" s="71" t="n">
        <v>97</v>
      </c>
      <c r="B110" s="23" t="n">
        <f aca="false">MAX(1,A110-Paramètres!$B$61)</f>
        <v>94</v>
      </c>
      <c r="C110" s="29" t="n">
        <f aca="false">M109</f>
        <v>3905371.62666667</v>
      </c>
      <c r="D110" s="23" t="n">
        <f aca="false">MATCH(C110,Récompenses!$F$6:$F$105,1)</f>
        <v>93</v>
      </c>
      <c r="E110" s="29" t="n">
        <f aca="false" t="array" ref="E110:E110">INDEX(Récompenses!$F$6:$F$105,B110)</f>
        <v>4009633</v>
      </c>
      <c r="F110" s="29" t="n">
        <f aca="false">MAX(0,E110-C110)</f>
        <v>104261.373333332</v>
      </c>
      <c r="G110" s="23" t="n">
        <f aca="false">MAX(5,5*INT((A110-1)/5))</f>
        <v>95</v>
      </c>
      <c r="H110" s="33" t="n">
        <f aca="false">IF(A110&lt;=5,MAX(1,A110-1),G110+Paramètres!$B$43/2)</f>
        <v>100</v>
      </c>
      <c r="I110" s="81" t="n">
        <f aca="false" t="array" ref="I110:I110">INDEX(Zones!$O$6:$O$35,MATCH(G110,Zones!$A$6:$A$35,0))*ROUND(Paramètres!$B$49*H110^Paramètres!$B$50,0)*MAX(Paramètres!$B$56,MIN(Paramètres!$B$57,1+Paramètres!$B$55*(H110-B110)))</f>
        <v>2902.41</v>
      </c>
      <c r="J110" s="72" t="n">
        <f aca="false">IF(F110&gt;0,ROUNDUP(F110/I110,0),0)</f>
        <v>36</v>
      </c>
      <c r="K110" s="72" t="n">
        <f aca="false" t="array" ref="K110:K110">J110*INDEX(Zones!$V$6:$V$35,MATCH(G110,Zones!$A$6:$A$35,0))</f>
        <v>353.91</v>
      </c>
      <c r="L110" s="29" t="n">
        <f aca="false" t="array" ref="L110:L110">INDEX(Étages!$R$6:$R$105,A110)*MAX(Paramètres!$B$56,MIN(Paramètres!$B$57,1+Paramètres!$B$55*(A110-MAX(B110,D110))))</f>
        <v>24034.4</v>
      </c>
      <c r="M110" s="29" t="n">
        <f aca="false">C110+J110*I110+L110</f>
        <v>4033892.78666667</v>
      </c>
      <c r="N110" s="27" t="n">
        <f aca="false" t="array" ref="N110:N110">INDEX(Étages!$L$6:$L$105,A110)</f>
        <v>84.646875</v>
      </c>
      <c r="O110" s="82" t="n">
        <f aca="false">O109+(K110+N110)/3600</f>
        <v>6.68951568287037</v>
      </c>
      <c r="P110" s="29" t="n">
        <f aca="false" t="array" ref="P110:P110">P109+J110*INDEX(Zones!$O$6:$O$35,MATCH(G110,Zones!$A$6:$A$35,0))*ROUND(Paramètres!$B$53*H110^Paramètres!$B$54,0)+INDEX(Étages!$S$6:$S$105,A110)</f>
        <v>2233370.89333333</v>
      </c>
      <c r="Q110" s="23" t="n">
        <f aca="false">MATCH(M110,Récompenses!$F$6:$F$105,1)</f>
        <v>94</v>
      </c>
    </row>
    <row r="111" customFormat="false" ht="15.75" hidden="false" customHeight="true" outlineLevel="0" collapsed="false">
      <c r="A111" s="71" t="n">
        <v>98</v>
      </c>
      <c r="B111" s="23" t="n">
        <f aca="false">MAX(1,A111-Paramètres!$B$61)</f>
        <v>95</v>
      </c>
      <c r="C111" s="29" t="n">
        <f aca="false">M110</f>
        <v>4033892.78666667</v>
      </c>
      <c r="D111" s="23" t="n">
        <f aca="false">MATCH(C111,Récompenses!$F$6:$F$105,1)</f>
        <v>94</v>
      </c>
      <c r="E111" s="29" t="n">
        <f aca="false" t="array" ref="E111:E111">INDEX(Récompenses!$F$6:$F$105,B111)</f>
        <v>4142738</v>
      </c>
      <c r="F111" s="29" t="n">
        <f aca="false">MAX(0,E111-C111)</f>
        <v>108845.213333332</v>
      </c>
      <c r="G111" s="23" t="n">
        <f aca="false">MAX(5,5*INT((A111-1)/5))</f>
        <v>95</v>
      </c>
      <c r="H111" s="33" t="n">
        <f aca="false">IF(A111&lt;=5,MAX(1,A111-1),G111+Paramètres!$B$43/2)</f>
        <v>100</v>
      </c>
      <c r="I111" s="81" t="n">
        <f aca="false" t="array" ref="I111:I111">INDEX(Zones!$O$6:$O$35,MATCH(G111,Zones!$A$6:$A$35,0))*ROUND(Paramètres!$B$49*H111^Paramètres!$B$50,0)*MAX(Paramètres!$B$56,MIN(Paramètres!$B$57,1+Paramètres!$B$55*(H111-B111)))</f>
        <v>2902.41</v>
      </c>
      <c r="J111" s="72" t="n">
        <f aca="false">IF(F111&gt;0,ROUNDUP(F111/I111,0),0)</f>
        <v>38</v>
      </c>
      <c r="K111" s="72" t="n">
        <f aca="false" t="array" ref="K111:K111">J111*INDEX(Zones!$V$6:$V$35,MATCH(G111,Zones!$A$6:$A$35,0))</f>
        <v>373.571666666667</v>
      </c>
      <c r="L111" s="29" t="n">
        <f aca="false" t="array" ref="L111:L111">INDEX(Étages!$R$6:$R$105,A111)*MAX(Paramètres!$B$56,MIN(Paramètres!$B$57,1+Paramètres!$B$55*(A111-MAX(B111,D111))))</f>
        <v>24350.3</v>
      </c>
      <c r="M111" s="29" t="n">
        <f aca="false">C111+J111*I111+L111</f>
        <v>4168534.66666667</v>
      </c>
      <c r="N111" s="27" t="n">
        <f aca="false" t="array" ref="N111:N111">INDEX(Étages!$L$6:$L$105,A111)</f>
        <v>84.646875</v>
      </c>
      <c r="O111" s="82" t="n">
        <f aca="false">O110+(K111+N111)/3600</f>
        <v>6.81679861111111</v>
      </c>
      <c r="P111" s="29" t="n">
        <f aca="false" t="array" ref="P111:P111">P110+J111*INDEX(Zones!$O$6:$O$35,MATCH(G111,Zones!$A$6:$A$35,0))*ROUND(Paramètres!$B$53*H111^Paramètres!$B$54,0)+INDEX(Étages!$S$6:$S$105,A111)</f>
        <v>2306478.93333333</v>
      </c>
      <c r="Q111" s="23" t="n">
        <f aca="false">MATCH(M111,Récompenses!$F$6:$F$105,1)</f>
        <v>95</v>
      </c>
    </row>
    <row r="112" customFormat="false" ht="15.75" hidden="false" customHeight="true" outlineLevel="0" collapsed="false">
      <c r="A112" s="71" t="n">
        <v>99</v>
      </c>
      <c r="B112" s="23" t="n">
        <f aca="false">MAX(1,A112-Paramètres!$B$61)</f>
        <v>96</v>
      </c>
      <c r="C112" s="29" t="n">
        <f aca="false">M111</f>
        <v>4168534.66666667</v>
      </c>
      <c r="D112" s="23" t="n">
        <f aca="false">MATCH(C112,Récompenses!$F$6:$F$105,1)</f>
        <v>95</v>
      </c>
      <c r="E112" s="29" t="n">
        <f aca="false" t="array" ref="E112:E112">INDEX(Récompenses!$F$6:$F$105,B112)</f>
        <v>4278908</v>
      </c>
      <c r="F112" s="29" t="n">
        <f aca="false">MAX(0,E112-C112)</f>
        <v>110373.333333333</v>
      </c>
      <c r="G112" s="23" t="n">
        <f aca="false">MAX(5,5*INT((A112-1)/5))</f>
        <v>95</v>
      </c>
      <c r="H112" s="33" t="n">
        <f aca="false">IF(A112&lt;=5,MAX(1,A112-1),G112+Paramètres!$B$43/2)</f>
        <v>100</v>
      </c>
      <c r="I112" s="81" t="n">
        <f aca="false" t="array" ref="I112:I112">INDEX(Zones!$O$6:$O$35,MATCH(G112,Zones!$A$6:$A$35,0))*ROUND(Paramètres!$B$49*H112^Paramètres!$B$50,0)*MAX(Paramètres!$B$56,MIN(Paramètres!$B$57,1+Paramètres!$B$55*(H112-B112)))</f>
        <v>2708.916</v>
      </c>
      <c r="J112" s="72" t="n">
        <f aca="false">IF(F112&gt;0,ROUNDUP(F112/I112,0),0)</f>
        <v>41</v>
      </c>
      <c r="K112" s="72" t="n">
        <f aca="false" t="array" ref="K112:K112">J112*INDEX(Zones!$V$6:$V$35,MATCH(G112,Zones!$A$6:$A$35,0))</f>
        <v>403.064166666667</v>
      </c>
      <c r="L112" s="29" t="n">
        <f aca="false" t="array" ref="L112:L112">INDEX(Étages!$R$6:$R$105,A112)*MAX(Paramètres!$B$56,MIN(Paramètres!$B$57,1+Paramètres!$B$55*(A112-MAX(B112,D112))))</f>
        <v>29234.4</v>
      </c>
      <c r="M112" s="29" t="n">
        <f aca="false">C112+J112*I112+L112</f>
        <v>4308834.62266667</v>
      </c>
      <c r="N112" s="27" t="n">
        <f aca="false" t="array" ref="N112:N112">INDEX(Étages!$L$6:$L$105,A112)</f>
        <v>104</v>
      </c>
      <c r="O112" s="82" t="n">
        <f aca="false">O111+(K112+N112)/3600</f>
        <v>6.95764976851852</v>
      </c>
      <c r="P112" s="29" t="n">
        <f aca="false" t="array" ref="P112:P112">P111+J112*INDEX(Zones!$O$6:$O$35,MATCH(G112,Zones!$A$6:$A$35,0))*ROUND(Paramètres!$B$53*H112^Paramètres!$B$54,0)+INDEX(Étages!$S$6:$S$105,A112)</f>
        <v>2387172.21333333</v>
      </c>
      <c r="Q112" s="23" t="n">
        <f aca="false">MATCH(M112,Récompenses!$F$6:$F$105,1)</f>
        <v>96</v>
      </c>
    </row>
    <row r="113" customFormat="false" ht="15.75" hidden="false" customHeight="true" outlineLevel="0" collapsed="false">
      <c r="A113" s="71" t="n">
        <v>100</v>
      </c>
      <c r="B113" s="23" t="n">
        <f aca="false">MAX(1,A113-Paramètres!$B$61)</f>
        <v>97</v>
      </c>
      <c r="C113" s="29" t="n">
        <f aca="false">M112</f>
        <v>4308834.62266667</v>
      </c>
      <c r="D113" s="23" t="n">
        <f aca="false">MATCH(C113,Récompenses!$F$6:$F$105,1)</f>
        <v>96</v>
      </c>
      <c r="E113" s="29" t="n">
        <f aca="false" t="array" ref="E113:E113">INDEX(Récompenses!$F$6:$F$105,B113)</f>
        <v>4418100</v>
      </c>
      <c r="F113" s="29" t="n">
        <f aca="false">MAX(0,E113-C113)</f>
        <v>109265.377333332</v>
      </c>
      <c r="G113" s="23" t="n">
        <f aca="false">MAX(5,5*INT((A113-1)/5))</f>
        <v>95</v>
      </c>
      <c r="H113" s="33" t="n">
        <f aca="false">IF(A113&lt;=5,MAX(1,A113-1),G113+Paramètres!$B$43/2)</f>
        <v>100</v>
      </c>
      <c r="I113" s="81" t="n">
        <f aca="false" t="array" ref="I113:I113">INDEX(Zones!$O$6:$O$35,MATCH(G113,Zones!$A$6:$A$35,0))*ROUND(Paramètres!$B$49*H113^Paramètres!$B$50,0)*MAX(Paramètres!$B$56,MIN(Paramètres!$B$57,1+Paramètres!$B$55*(H113-B113)))</f>
        <v>2515.422</v>
      </c>
      <c r="J113" s="72" t="n">
        <f aca="false">IF(F113&gt;0,ROUNDUP(F113/I113,0),0)</f>
        <v>44</v>
      </c>
      <c r="K113" s="72" t="n">
        <f aca="false" t="array" ref="K113:K113">J113*INDEX(Zones!$V$6:$V$35,MATCH(G113,Zones!$A$6:$A$35,0))</f>
        <v>432.556666666667</v>
      </c>
      <c r="L113" s="29" t="n">
        <f aca="false" t="array" ref="L113:L113">INDEX(Étages!$R$6:$R$105,A113)*MAX(Paramètres!$B$56,MIN(Paramètres!$B$57,1+Paramètres!$B$55*(A113-MAX(B113,D113))))</f>
        <v>58570.2</v>
      </c>
      <c r="M113" s="29" t="n">
        <f aca="false">C113+J113*I113+L113</f>
        <v>4478083.39066667</v>
      </c>
      <c r="N113" s="27" t="n">
        <f aca="false" t="array" ref="N113:N113">INDEX(Étages!$L$6:$L$105,A113)</f>
        <v>175.00625</v>
      </c>
      <c r="O113" s="82" t="n">
        <f aca="false">O112+(K113+N113)/3600</f>
        <v>7.12641724537037</v>
      </c>
      <c r="P113" s="29" t="n">
        <f aca="false" t="array" ref="P113:P113">P112+J113*INDEX(Zones!$O$6:$O$35,MATCH(G113,Zones!$A$6:$A$35,0))*ROUND(Paramètres!$B$53*H113^Paramètres!$B$54,0)+INDEX(Étages!$S$6:$S$105,A113)</f>
        <v>2490391.73333333</v>
      </c>
      <c r="Q113" s="23" t="n">
        <f aca="false">MATCH(M113,Récompenses!$F$6:$F$105,1)</f>
        <v>97</v>
      </c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5:D5"/>
    <mergeCell ref="A6:D6"/>
    <mergeCell ref="A7:D7"/>
    <mergeCell ref="A8:D8"/>
    <mergeCell ref="A9:D9"/>
    <mergeCell ref="A10:D10"/>
    <mergeCell ref="A11:D11"/>
    <mergeCell ref="E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4" min="3" style="1" width="13"/>
    <col collapsed="false" customWidth="true" hidden="false" outlineLevel="0" max="5" min="5" style="1" width="17"/>
    <col collapsed="false" customWidth="true" hidden="false" outlineLevel="0" max="6" min="6" style="1" width="19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26" min="13" style="1" width="15"/>
  </cols>
  <sheetData>
    <row r="1" customFormat="false" ht="17.25" hidden="false" customHeight="true" outlineLevel="0" collapsed="false">
      <c r="A1" s="8" t="s">
        <v>556</v>
      </c>
    </row>
    <row r="2" customFormat="false" ht="15" hidden="false" customHeight="true" outlineLevel="0" collapsed="false">
      <c r="A2" s="3" t="s">
        <v>557</v>
      </c>
    </row>
    <row r="5" customFormat="false" ht="51.75" hidden="false" customHeight="true" outlineLevel="0" collapsed="false">
      <c r="A5" s="12" t="s">
        <v>96</v>
      </c>
      <c r="B5" s="12" t="s">
        <v>41</v>
      </c>
      <c r="C5" s="12" t="s">
        <v>558</v>
      </c>
      <c r="D5" s="12" t="s">
        <v>559</v>
      </c>
      <c r="E5" s="12" t="s">
        <v>560</v>
      </c>
      <c r="F5" s="12" t="s">
        <v>561</v>
      </c>
      <c r="G5" s="12" t="s">
        <v>562</v>
      </c>
      <c r="H5" s="12" t="s">
        <v>563</v>
      </c>
      <c r="I5" s="12" t="s">
        <v>564</v>
      </c>
      <c r="J5" s="12" t="s">
        <v>565</v>
      </c>
      <c r="K5" s="12" t="s">
        <v>566</v>
      </c>
      <c r="L5" s="12" t="s">
        <v>567</v>
      </c>
      <c r="M5" s="12" t="s">
        <v>568</v>
      </c>
    </row>
    <row r="6" customFormat="false" ht="15" hidden="false" customHeight="true" outlineLevel="0" collapsed="false">
      <c r="A6" s="71" t="n">
        <v>1</v>
      </c>
      <c r="B6" s="83" t="n">
        <f aca="false">(Paramètres!$B$5+(1-Paramètres!$B$5)*((A6-Paramètres!$B$7)/(Paramètres!$B$8-Paramètres!$B$7))^Paramètres!$B$6)</f>
        <v>0.05</v>
      </c>
      <c r="C6" s="29" t="n">
        <f aca="false">ROUND(Paramètres!$B$49*A6^Paramètres!$B$50,0)</f>
        <v>6</v>
      </c>
      <c r="D6" s="29" t="n">
        <f aca="false">ROUND(Paramètres!$B$53*A6^Paramètres!$B$54,0)</f>
        <v>3</v>
      </c>
      <c r="E6" s="29" t="n">
        <f aca="false">ROUND(C6*(Paramètres!$B$51+Paramètres!$B$52*A6),0)</f>
        <v>64</v>
      </c>
      <c r="F6" s="29" t="n">
        <v>0</v>
      </c>
      <c r="G6" s="33" t="n">
        <f aca="false">E6/C6</f>
        <v>10.6666666666667</v>
      </c>
      <c r="H6" s="29" t="n">
        <f aca="false">ROUND(D6*Paramètres!$B$58*Paramètres!$B$59^0,0)</f>
        <v>24</v>
      </c>
      <c r="I6" s="29" t="n">
        <f aca="false">ROUND(D6*Paramètres!$B$58*Paramètres!$B$59^1,0)</f>
        <v>72</v>
      </c>
      <c r="J6" s="29" t="n">
        <f aca="false">ROUND(D6*Paramètres!$B$58*Paramètres!$B$59^2,0)</f>
        <v>216</v>
      </c>
      <c r="K6" s="29" t="n">
        <f aca="false">ROUND(D6*Paramètres!$B$58*Paramètres!$B$59^3,0)</f>
        <v>648</v>
      </c>
      <c r="L6" s="29" t="n">
        <f aca="false">ROUND(D6*Paramètres!$B$58*Paramètres!$B$59^4,0)</f>
        <v>1944</v>
      </c>
      <c r="M6" s="29" t="n">
        <f aca="false">ROUND(D6*Paramètres!$B$58*Paramètres!$B$59^5,0)</f>
        <v>5832</v>
      </c>
      <c r="N6" s="11" t="s">
        <v>569</v>
      </c>
    </row>
    <row r="7" customFormat="false" ht="15" hidden="false" customHeight="true" outlineLevel="0" collapsed="false">
      <c r="A7" s="71" t="n">
        <v>2</v>
      </c>
      <c r="B7" s="83" t="n">
        <f aca="false">(Paramètres!$B$5+(1-Paramètres!$B$5)*((A7-Paramètres!$B$7)/(Paramètres!$B$8-Paramètres!$B$7))^Paramètres!$B$6)</f>
        <v>0.0538279069456756</v>
      </c>
      <c r="C7" s="29" t="n">
        <f aca="false">ROUND(Paramètres!$B$49*A7^Paramètres!$B$50,0)</f>
        <v>14</v>
      </c>
      <c r="D7" s="29" t="n">
        <f aca="false">ROUND(Paramètres!$B$53*A7^Paramètres!$B$54,0)</f>
        <v>8</v>
      </c>
      <c r="E7" s="29" t="n">
        <f aca="false">ROUND(C7*(Paramètres!$B$51+Paramètres!$B$52*A7),0)</f>
        <v>160</v>
      </c>
      <c r="F7" s="29" t="n">
        <f aca="false">F6+E6</f>
        <v>64</v>
      </c>
      <c r="G7" s="33" t="n">
        <f aca="false">E7/C7</f>
        <v>11.4285714285714</v>
      </c>
      <c r="H7" s="29" t="n">
        <f aca="false">ROUND(D7*Paramètres!$B$58*Paramètres!$B$59^0,0)</f>
        <v>64</v>
      </c>
      <c r="I7" s="29" t="n">
        <f aca="false">ROUND(D7*Paramètres!$B$58*Paramètres!$B$59^1,0)</f>
        <v>192</v>
      </c>
      <c r="J7" s="29" t="n">
        <f aca="false">ROUND(D7*Paramètres!$B$58*Paramètres!$B$59^2,0)</f>
        <v>576</v>
      </c>
      <c r="K7" s="29" t="n">
        <f aca="false">ROUND(D7*Paramètres!$B$58*Paramètres!$B$59^3,0)</f>
        <v>1728</v>
      </c>
      <c r="L7" s="29" t="n">
        <f aca="false">ROUND(D7*Paramètres!$B$58*Paramètres!$B$59^4,0)</f>
        <v>5184</v>
      </c>
      <c r="M7" s="29" t="n">
        <f aca="false">ROUND(D7*Paramètres!$B$58*Paramètres!$B$59^5,0)</f>
        <v>15552</v>
      </c>
      <c r="N7" s="11" t="s">
        <v>570</v>
      </c>
    </row>
    <row r="8" customFormat="false" ht="15" hidden="false" customHeight="true" outlineLevel="0" collapsed="false">
      <c r="A8" s="71" t="n">
        <v>3</v>
      </c>
      <c r="B8" s="83" t="n">
        <f aca="false">(Paramètres!$B$5+(1-Paramètres!$B$5)*((A8-Paramètres!$B$7)/(Paramètres!$B$8-Paramètres!$B$7))^Paramètres!$B$6)</f>
        <v>0.0587942208231587</v>
      </c>
      <c r="C8" s="29" t="n">
        <f aca="false">ROUND(Paramètres!$B$49*A8^Paramètres!$B$50,0)</f>
        <v>24</v>
      </c>
      <c r="D8" s="29" t="n">
        <f aca="false">ROUND(Paramètres!$B$53*A8^Paramètres!$B$54,0)</f>
        <v>13</v>
      </c>
      <c r="E8" s="29" t="n">
        <f aca="false">ROUND(C8*(Paramètres!$B$51+Paramètres!$B$52*A8),0)</f>
        <v>290</v>
      </c>
      <c r="F8" s="29" t="n">
        <f aca="false">F7+E7</f>
        <v>224</v>
      </c>
      <c r="G8" s="33" t="n">
        <f aca="false">E8/C8</f>
        <v>12.0833333333333</v>
      </c>
      <c r="H8" s="29" t="n">
        <f aca="false">ROUND(D8*Paramètres!$B$58*Paramètres!$B$59^0,0)</f>
        <v>104</v>
      </c>
      <c r="I8" s="29" t="n">
        <f aca="false">ROUND(D8*Paramètres!$B$58*Paramètres!$B$59^1,0)</f>
        <v>312</v>
      </c>
      <c r="J8" s="29" t="n">
        <f aca="false">ROUND(D8*Paramètres!$B$58*Paramètres!$B$59^2,0)</f>
        <v>936</v>
      </c>
      <c r="K8" s="29" t="n">
        <f aca="false">ROUND(D8*Paramètres!$B$58*Paramètres!$B$59^3,0)</f>
        <v>2808</v>
      </c>
      <c r="L8" s="29" t="n">
        <f aca="false">ROUND(D8*Paramètres!$B$58*Paramètres!$B$59^4,0)</f>
        <v>8424</v>
      </c>
      <c r="M8" s="29" t="n">
        <f aca="false">ROUND(D8*Paramètres!$B$58*Paramètres!$B$59^5,0)</f>
        <v>25272</v>
      </c>
      <c r="N8" s="11" t="s">
        <v>571</v>
      </c>
    </row>
    <row r="9" customFormat="false" ht="15" hidden="false" customHeight="true" outlineLevel="0" collapsed="false">
      <c r="A9" s="71" t="n">
        <v>4</v>
      </c>
      <c r="B9" s="83" t="n">
        <f aca="false">(Paramètres!$B$5+(1-Paramètres!$B$5)*((A9-Paramètres!$B$7)/(Paramètres!$B$8-Paramètres!$B$7))^Paramètres!$B$6)</f>
        <v>0.0643056263485918</v>
      </c>
      <c r="C9" s="29" t="n">
        <f aca="false">ROUND(Paramètres!$B$49*A9^Paramètres!$B$50,0)</f>
        <v>34</v>
      </c>
      <c r="D9" s="29" t="n">
        <f aca="false">ROUND(Paramètres!$B$53*A9^Paramètres!$B$54,0)</f>
        <v>19</v>
      </c>
      <c r="E9" s="29" t="n">
        <f aca="false">ROUND(C9*(Paramètres!$B$51+Paramètres!$B$52*A9),0)</f>
        <v>435</v>
      </c>
      <c r="F9" s="29" t="n">
        <f aca="false">F8+E8</f>
        <v>514</v>
      </c>
      <c r="G9" s="33" t="n">
        <f aca="false">E9/C9</f>
        <v>12.7941176470588</v>
      </c>
      <c r="H9" s="29" t="n">
        <f aca="false">ROUND(D9*Paramètres!$B$58*Paramètres!$B$59^0,0)</f>
        <v>152</v>
      </c>
      <c r="I9" s="29" t="n">
        <f aca="false">ROUND(D9*Paramètres!$B$58*Paramètres!$B$59^1,0)</f>
        <v>456</v>
      </c>
      <c r="J9" s="29" t="n">
        <f aca="false">ROUND(D9*Paramètres!$B$58*Paramètres!$B$59^2,0)</f>
        <v>1368</v>
      </c>
      <c r="K9" s="29" t="n">
        <f aca="false">ROUND(D9*Paramètres!$B$58*Paramètres!$B$59^3,0)</f>
        <v>4104</v>
      </c>
      <c r="L9" s="29" t="n">
        <f aca="false">ROUND(D9*Paramètres!$B$58*Paramètres!$B$59^4,0)</f>
        <v>12312</v>
      </c>
      <c r="M9" s="29" t="n">
        <f aca="false">ROUND(D9*Paramètres!$B$58*Paramètres!$B$59^5,0)</f>
        <v>36936</v>
      </c>
      <c r="N9" s="11" t="s">
        <v>572</v>
      </c>
    </row>
    <row r="10" customFormat="false" ht="15" hidden="false" customHeight="true" outlineLevel="0" collapsed="false">
      <c r="A10" s="71" t="n">
        <v>5</v>
      </c>
      <c r="B10" s="83" t="n">
        <f aca="false">(Paramètres!$B$5+(1-Paramètres!$B$5)*((A10-Paramètres!$B$7)/(Paramètres!$B$8-Paramètres!$B$7))^Paramètres!$B$6)</f>
        <v>0.0702038139860861</v>
      </c>
      <c r="C10" s="29" t="n">
        <f aca="false">ROUND(Paramètres!$B$49*A10^Paramètres!$B$50,0)</f>
        <v>45</v>
      </c>
      <c r="D10" s="29" t="n">
        <f aca="false">ROUND(Paramètres!$B$53*A10^Paramètres!$B$54,0)</f>
        <v>26</v>
      </c>
      <c r="E10" s="29" t="n">
        <f aca="false">ROUND(C10*(Paramètres!$B$51+Paramètres!$B$52*A10),0)</f>
        <v>608</v>
      </c>
      <c r="F10" s="29" t="n">
        <f aca="false">F9+E9</f>
        <v>949</v>
      </c>
      <c r="G10" s="33" t="n">
        <f aca="false">E10/C10</f>
        <v>13.5111111111111</v>
      </c>
      <c r="H10" s="29" t="n">
        <f aca="false">ROUND(D10*Paramètres!$B$58*Paramètres!$B$59^0,0)</f>
        <v>208</v>
      </c>
      <c r="I10" s="29" t="n">
        <f aca="false">ROUND(D10*Paramètres!$B$58*Paramètres!$B$59^1,0)</f>
        <v>624</v>
      </c>
      <c r="J10" s="29" t="n">
        <f aca="false">ROUND(D10*Paramètres!$B$58*Paramètres!$B$59^2,0)</f>
        <v>1872</v>
      </c>
      <c r="K10" s="29" t="n">
        <f aca="false">ROUND(D10*Paramètres!$B$58*Paramètres!$B$59^3,0)</f>
        <v>5616</v>
      </c>
      <c r="L10" s="29" t="n">
        <f aca="false">ROUND(D10*Paramètres!$B$58*Paramètres!$B$59^4,0)</f>
        <v>16848</v>
      </c>
      <c r="M10" s="29" t="n">
        <f aca="false">ROUND(D10*Paramètres!$B$58*Paramètres!$B$59^5,0)</f>
        <v>50544</v>
      </c>
    </row>
    <row r="11" customFormat="false" ht="15" hidden="false" customHeight="true" outlineLevel="0" collapsed="false">
      <c r="A11" s="71" t="n">
        <v>6</v>
      </c>
      <c r="B11" s="83" t="n">
        <f aca="false">(Paramètres!$B$5+(1-Paramètres!$B$5)*((A11-Paramètres!$B$7)/(Paramètres!$B$8-Paramètres!$B$7))^Paramètres!$B$6)</f>
        <v>0.0764073837713104</v>
      </c>
      <c r="C11" s="29" t="n">
        <f aca="false">ROUND(Paramètres!$B$49*A11^Paramètres!$B$50,0)</f>
        <v>56</v>
      </c>
      <c r="D11" s="29" t="n">
        <f aca="false">ROUND(Paramètres!$B$53*A11^Paramètres!$B$54,0)</f>
        <v>34</v>
      </c>
      <c r="E11" s="29" t="n">
        <f aca="false">ROUND(C11*(Paramètres!$B$51+Paramètres!$B$52*A11),0)</f>
        <v>795</v>
      </c>
      <c r="F11" s="29" t="n">
        <f aca="false">F10+E10</f>
        <v>1557</v>
      </c>
      <c r="G11" s="33" t="n">
        <f aca="false">E11/C11</f>
        <v>14.1964285714286</v>
      </c>
      <c r="H11" s="29" t="n">
        <f aca="false">ROUND(D11*Paramètres!$B$58*Paramètres!$B$59^0,0)</f>
        <v>272</v>
      </c>
      <c r="I11" s="29" t="n">
        <f aca="false">ROUND(D11*Paramètres!$B$58*Paramètres!$B$59^1,0)</f>
        <v>816</v>
      </c>
      <c r="J11" s="29" t="n">
        <f aca="false">ROUND(D11*Paramètres!$B$58*Paramètres!$B$59^2,0)</f>
        <v>2448</v>
      </c>
      <c r="K11" s="29" t="n">
        <f aca="false">ROUND(D11*Paramètres!$B$58*Paramètres!$B$59^3,0)</f>
        <v>7344</v>
      </c>
      <c r="L11" s="29" t="n">
        <f aca="false">ROUND(D11*Paramètres!$B$58*Paramètres!$B$59^4,0)</f>
        <v>22032</v>
      </c>
      <c r="M11" s="29" t="n">
        <f aca="false">ROUND(D11*Paramètres!$B$58*Paramètres!$B$59^5,0)</f>
        <v>66096</v>
      </c>
    </row>
    <row r="12" customFormat="false" ht="15" hidden="false" customHeight="true" outlineLevel="0" collapsed="false">
      <c r="A12" s="71" t="n">
        <v>7</v>
      </c>
      <c r="B12" s="83" t="n">
        <f aca="false">(Paramètres!$B$5+(1-Paramètres!$B$5)*((A12-Paramètres!$B$7)/(Paramètres!$B$8-Paramètres!$B$7))^Paramètres!$B$6)</f>
        <v>0.0828656989076594</v>
      </c>
      <c r="C12" s="29" t="n">
        <f aca="false">ROUND(Paramètres!$B$49*A12^Paramètres!$B$50,0)</f>
        <v>68</v>
      </c>
      <c r="D12" s="29" t="n">
        <f aca="false">ROUND(Paramètres!$B$53*A12^Paramètres!$B$54,0)</f>
        <v>41</v>
      </c>
      <c r="E12" s="29" t="n">
        <f aca="false">ROUND(C12*(Paramètres!$B$51+Paramètres!$B$52*A12),0)</f>
        <v>1013</v>
      </c>
      <c r="F12" s="29" t="n">
        <f aca="false">F11+E11</f>
        <v>2352</v>
      </c>
      <c r="G12" s="33" t="n">
        <f aca="false">E12/C12</f>
        <v>14.8970588235294</v>
      </c>
      <c r="H12" s="29" t="n">
        <f aca="false">ROUND(D12*Paramètres!$B$58*Paramètres!$B$59^0,0)</f>
        <v>328</v>
      </c>
      <c r="I12" s="29" t="n">
        <f aca="false">ROUND(D12*Paramètres!$B$58*Paramètres!$B$59^1,0)</f>
        <v>984</v>
      </c>
      <c r="J12" s="29" t="n">
        <f aca="false">ROUND(D12*Paramètres!$B$58*Paramètres!$B$59^2,0)</f>
        <v>2952</v>
      </c>
      <c r="K12" s="29" t="n">
        <f aca="false">ROUND(D12*Paramètres!$B$58*Paramètres!$B$59^3,0)</f>
        <v>8856</v>
      </c>
      <c r="L12" s="29" t="n">
        <f aca="false">ROUND(D12*Paramètres!$B$58*Paramètres!$B$59^4,0)</f>
        <v>26568</v>
      </c>
      <c r="M12" s="29" t="n">
        <f aca="false">ROUND(D12*Paramètres!$B$58*Paramètres!$B$59^5,0)</f>
        <v>79704</v>
      </c>
    </row>
    <row r="13" customFormat="false" ht="15" hidden="false" customHeight="true" outlineLevel="0" collapsed="false">
      <c r="A13" s="71" t="n">
        <v>8</v>
      </c>
      <c r="B13" s="83" t="n">
        <f aca="false">(Paramètres!$B$5+(1-Paramètres!$B$5)*((A13-Paramètres!$B$7)/(Paramètres!$B$8-Paramètres!$B$7))^Paramètres!$B$6)</f>
        <v>0.0895438563485664</v>
      </c>
      <c r="C13" s="29" t="n">
        <f aca="false">ROUND(Paramètres!$B$49*A13^Paramètres!$B$50,0)</f>
        <v>81</v>
      </c>
      <c r="D13" s="29" t="n">
        <f aca="false">ROUND(Paramètres!$B$53*A13^Paramètres!$B$54,0)</f>
        <v>50</v>
      </c>
      <c r="E13" s="29" t="n">
        <f aca="false">ROUND(C13*(Paramètres!$B$51+Paramètres!$B$52*A13),0)</f>
        <v>1264</v>
      </c>
      <c r="F13" s="29" t="n">
        <f aca="false">F12+E12</f>
        <v>3365</v>
      </c>
      <c r="G13" s="33" t="n">
        <f aca="false">E13/C13</f>
        <v>15.6049382716049</v>
      </c>
      <c r="H13" s="29" t="n">
        <f aca="false">ROUND(D13*Paramètres!$B$58*Paramètres!$B$59^0,0)</f>
        <v>400</v>
      </c>
      <c r="I13" s="29" t="n">
        <f aca="false">ROUND(D13*Paramètres!$B$58*Paramètres!$B$59^1,0)</f>
        <v>1200</v>
      </c>
      <c r="J13" s="29" t="n">
        <f aca="false">ROUND(D13*Paramètres!$B$58*Paramètres!$B$59^2,0)</f>
        <v>3600</v>
      </c>
      <c r="K13" s="29" t="n">
        <f aca="false">ROUND(D13*Paramètres!$B$58*Paramètres!$B$59^3,0)</f>
        <v>10800</v>
      </c>
      <c r="L13" s="29" t="n">
        <f aca="false">ROUND(D13*Paramètres!$B$58*Paramètres!$B$59^4,0)</f>
        <v>32400</v>
      </c>
      <c r="M13" s="29" t="n">
        <f aca="false">ROUND(D13*Paramètres!$B$58*Paramètres!$B$59^5,0)</f>
        <v>97200</v>
      </c>
    </row>
    <row r="14" customFormat="false" ht="15" hidden="false" customHeight="true" outlineLevel="0" collapsed="false">
      <c r="A14" s="71" t="n">
        <v>9</v>
      </c>
      <c r="B14" s="83" t="n">
        <f aca="false">(Paramètres!$B$5+(1-Paramètres!$B$5)*((A14-Paramètres!$B$7)/(Paramètres!$B$8-Paramètres!$B$7))^Paramètres!$B$6)</f>
        <v>0.0964161757809663</v>
      </c>
      <c r="C14" s="29" t="n">
        <f aca="false">ROUND(Paramètres!$B$49*A14^Paramètres!$B$50,0)</f>
        <v>94</v>
      </c>
      <c r="D14" s="29" t="n">
        <f aca="false">ROUND(Paramètres!$B$53*A14^Paramètres!$B$54,0)</f>
        <v>58</v>
      </c>
      <c r="E14" s="29" t="n">
        <f aca="false">ROUND(C14*(Paramètres!$B$51+Paramètres!$B$52*A14),0)</f>
        <v>1532</v>
      </c>
      <c r="F14" s="29" t="n">
        <f aca="false">F13+E13</f>
        <v>4629</v>
      </c>
      <c r="G14" s="33" t="n">
        <f aca="false">E14/C14</f>
        <v>16.2978723404255</v>
      </c>
      <c r="H14" s="29" t="n">
        <f aca="false">ROUND(D14*Paramètres!$B$58*Paramètres!$B$59^0,0)</f>
        <v>464</v>
      </c>
      <c r="I14" s="29" t="n">
        <f aca="false">ROUND(D14*Paramètres!$B$58*Paramètres!$B$59^1,0)</f>
        <v>1392</v>
      </c>
      <c r="J14" s="29" t="n">
        <f aca="false">ROUND(D14*Paramètres!$B$58*Paramètres!$B$59^2,0)</f>
        <v>4176</v>
      </c>
      <c r="K14" s="29" t="n">
        <f aca="false">ROUND(D14*Paramètres!$B$58*Paramètres!$B$59^3,0)</f>
        <v>12528</v>
      </c>
      <c r="L14" s="29" t="n">
        <f aca="false">ROUND(D14*Paramètres!$B$58*Paramètres!$B$59^4,0)</f>
        <v>37584</v>
      </c>
      <c r="M14" s="29" t="n">
        <f aca="false">ROUND(D14*Paramètres!$B$58*Paramètres!$B$59^5,0)</f>
        <v>112752</v>
      </c>
    </row>
    <row r="15" customFormat="false" ht="15" hidden="false" customHeight="true" outlineLevel="0" collapsed="false">
      <c r="A15" s="71" t="n">
        <v>10</v>
      </c>
      <c r="B15" s="83" t="n">
        <f aca="false">(Paramètres!$B$5+(1-Paramètres!$B$5)*((A15-Paramètres!$B$7)/(Paramètres!$B$8-Paramètres!$B$7))^Paramètres!$B$6)</f>
        <v>0.103462884059059</v>
      </c>
      <c r="C15" s="29" t="n">
        <f aca="false">ROUND(Paramètres!$B$49*A15^Paramètres!$B$50,0)</f>
        <v>107</v>
      </c>
      <c r="D15" s="29" t="n">
        <f aca="false">ROUND(Paramètres!$B$53*A15^Paramètres!$B$54,0)</f>
        <v>67</v>
      </c>
      <c r="E15" s="29" t="n">
        <f aca="false">ROUND(C15*(Paramètres!$B$51+Paramètres!$B$52*A15),0)</f>
        <v>1819</v>
      </c>
      <c r="F15" s="29" t="n">
        <f aca="false">F14+E14</f>
        <v>6161</v>
      </c>
      <c r="G15" s="33" t="n">
        <f aca="false">E15/C15</f>
        <v>17</v>
      </c>
      <c r="H15" s="29" t="n">
        <f aca="false">ROUND(D15*Paramètres!$B$58*Paramètres!$B$59^0,0)</f>
        <v>536</v>
      </c>
      <c r="I15" s="29" t="n">
        <f aca="false">ROUND(D15*Paramètres!$B$58*Paramètres!$B$59^1,0)</f>
        <v>1608</v>
      </c>
      <c r="J15" s="29" t="n">
        <f aca="false">ROUND(D15*Paramètres!$B$58*Paramètres!$B$59^2,0)</f>
        <v>4824</v>
      </c>
      <c r="K15" s="29" t="n">
        <f aca="false">ROUND(D15*Paramètres!$B$58*Paramètres!$B$59^3,0)</f>
        <v>14472</v>
      </c>
      <c r="L15" s="29" t="n">
        <f aca="false">ROUND(D15*Paramètres!$B$58*Paramètres!$B$59^4,0)</f>
        <v>43416</v>
      </c>
      <c r="M15" s="29" t="n">
        <f aca="false">ROUND(D15*Paramètres!$B$58*Paramètres!$B$59^5,0)</f>
        <v>130248</v>
      </c>
    </row>
    <row r="16" customFormat="false" ht="15" hidden="false" customHeight="true" outlineLevel="0" collapsed="false">
      <c r="A16" s="71" t="n">
        <v>11</v>
      </c>
      <c r="B16" s="83" t="n">
        <f aca="false">(Paramètres!$B$5+(1-Paramètres!$B$5)*((A16-Paramètres!$B$7)/(Paramètres!$B$8-Paramètres!$B$7))^Paramètres!$B$6)</f>
        <v>0.110668236595759</v>
      </c>
      <c r="C16" s="29" t="n">
        <f aca="false">ROUND(Paramètres!$B$49*A16^Paramètres!$B$50,0)</f>
        <v>120</v>
      </c>
      <c r="D16" s="29" t="n">
        <f aca="false">ROUND(Paramètres!$B$53*A16^Paramètres!$B$54,0)</f>
        <v>76</v>
      </c>
      <c r="E16" s="29" t="n">
        <f aca="false">ROUND(C16*(Paramètres!$B$51+Paramètres!$B$52*A16),0)</f>
        <v>2124</v>
      </c>
      <c r="F16" s="29" t="n">
        <f aca="false">F15+E15</f>
        <v>7980</v>
      </c>
      <c r="G16" s="33" t="n">
        <f aca="false">E16/C16</f>
        <v>17.7</v>
      </c>
      <c r="H16" s="29" t="n">
        <f aca="false">ROUND(D16*Paramètres!$B$58*Paramètres!$B$59^0,0)</f>
        <v>608</v>
      </c>
      <c r="I16" s="29" t="n">
        <f aca="false">ROUND(D16*Paramètres!$B$58*Paramètres!$B$59^1,0)</f>
        <v>1824</v>
      </c>
      <c r="J16" s="29" t="n">
        <f aca="false">ROUND(D16*Paramètres!$B$58*Paramètres!$B$59^2,0)</f>
        <v>5472</v>
      </c>
      <c r="K16" s="29" t="n">
        <f aca="false">ROUND(D16*Paramètres!$B$58*Paramètres!$B$59^3,0)</f>
        <v>16416</v>
      </c>
      <c r="L16" s="29" t="n">
        <f aca="false">ROUND(D16*Paramètres!$B$58*Paramètres!$B$59^4,0)</f>
        <v>49248</v>
      </c>
      <c r="M16" s="29" t="n">
        <f aca="false">ROUND(D16*Paramètres!$B$58*Paramètres!$B$59^5,0)</f>
        <v>147744</v>
      </c>
    </row>
    <row r="17" customFormat="false" ht="15" hidden="false" customHeight="true" outlineLevel="0" collapsed="false">
      <c r="A17" s="71" t="n">
        <v>12</v>
      </c>
      <c r="B17" s="83" t="n">
        <f aca="false">(Paramètres!$B$5+(1-Paramètres!$B$5)*((A17-Paramètres!$B$7)/(Paramètres!$B$8-Paramètres!$B$7))^Paramètres!$B$6)</f>
        <v>0.118019368247599</v>
      </c>
      <c r="C17" s="29" t="n">
        <f aca="false">ROUND(Paramètres!$B$49*A17^Paramètres!$B$50,0)</f>
        <v>134</v>
      </c>
      <c r="D17" s="29" t="n">
        <f aca="false">ROUND(Paramètres!$B$53*A17^Paramètres!$B$54,0)</f>
        <v>86</v>
      </c>
      <c r="E17" s="29" t="n">
        <f aca="false">ROUND(C17*(Paramètres!$B$51+Paramètres!$B$52*A17),0)</f>
        <v>2466</v>
      </c>
      <c r="F17" s="29" t="n">
        <f aca="false">F16+E16</f>
        <v>10104</v>
      </c>
      <c r="G17" s="33" t="n">
        <f aca="false">E17/C17</f>
        <v>18.4029850746269</v>
      </c>
      <c r="H17" s="29" t="n">
        <f aca="false">ROUND(D17*Paramètres!$B$58*Paramètres!$B$59^0,0)</f>
        <v>688</v>
      </c>
      <c r="I17" s="29" t="n">
        <f aca="false">ROUND(D17*Paramètres!$B$58*Paramètres!$B$59^1,0)</f>
        <v>2064</v>
      </c>
      <c r="J17" s="29" t="n">
        <f aca="false">ROUND(D17*Paramètres!$B$58*Paramètres!$B$59^2,0)</f>
        <v>6192</v>
      </c>
      <c r="K17" s="29" t="n">
        <f aca="false">ROUND(D17*Paramètres!$B$58*Paramètres!$B$59^3,0)</f>
        <v>18576</v>
      </c>
      <c r="L17" s="29" t="n">
        <f aca="false">ROUND(D17*Paramètres!$B$58*Paramètres!$B$59^4,0)</f>
        <v>55728</v>
      </c>
      <c r="M17" s="29" t="n">
        <f aca="false">ROUND(D17*Paramètres!$B$58*Paramètres!$B$59^5,0)</f>
        <v>167184</v>
      </c>
    </row>
    <row r="18" customFormat="false" ht="15" hidden="false" customHeight="true" outlineLevel="0" collapsed="false">
      <c r="A18" s="71" t="n">
        <v>13</v>
      </c>
      <c r="B18" s="83" t="n">
        <f aca="false">(Paramètres!$B$5+(1-Paramètres!$B$5)*((A18-Paramètres!$B$7)/(Paramètres!$B$8-Paramètres!$B$7))^Paramètres!$B$6)</f>
        <v>0.125505548542112</v>
      </c>
      <c r="C18" s="29" t="n">
        <f aca="false">ROUND(Paramètres!$B$49*A18^Paramètres!$B$50,0)</f>
        <v>148</v>
      </c>
      <c r="D18" s="29" t="n">
        <f aca="false">ROUND(Paramètres!$B$53*A18^Paramètres!$B$54,0)</f>
        <v>96</v>
      </c>
      <c r="E18" s="29" t="n">
        <f aca="false">ROUND(C18*(Paramètres!$B$51+Paramètres!$B$52*A18),0)</f>
        <v>2827</v>
      </c>
      <c r="F18" s="29" t="n">
        <f aca="false">F17+E17</f>
        <v>12570</v>
      </c>
      <c r="G18" s="33" t="n">
        <f aca="false">E18/C18</f>
        <v>19.1013513513514</v>
      </c>
      <c r="H18" s="29" t="n">
        <f aca="false">ROUND(D18*Paramètres!$B$58*Paramètres!$B$59^0,0)</f>
        <v>768</v>
      </c>
      <c r="I18" s="29" t="n">
        <f aca="false">ROUND(D18*Paramètres!$B$58*Paramètres!$B$59^1,0)</f>
        <v>2304</v>
      </c>
      <c r="J18" s="29" t="n">
        <f aca="false">ROUND(D18*Paramètres!$B$58*Paramètres!$B$59^2,0)</f>
        <v>6912</v>
      </c>
      <c r="K18" s="29" t="n">
        <f aca="false">ROUND(D18*Paramètres!$B$58*Paramètres!$B$59^3,0)</f>
        <v>20736</v>
      </c>
      <c r="L18" s="29" t="n">
        <f aca="false">ROUND(D18*Paramètres!$B$58*Paramètres!$B$59^4,0)</f>
        <v>62208</v>
      </c>
      <c r="M18" s="29" t="n">
        <f aca="false">ROUND(D18*Paramètres!$B$58*Paramètres!$B$59^5,0)</f>
        <v>186624</v>
      </c>
    </row>
    <row r="19" customFormat="false" ht="15" hidden="false" customHeight="true" outlineLevel="0" collapsed="false">
      <c r="A19" s="71" t="n">
        <v>14</v>
      </c>
      <c r="B19" s="83" t="n">
        <f aca="false">(Paramètres!$B$5+(1-Paramètres!$B$5)*((A19-Paramètres!$B$7)/(Paramètres!$B$8-Paramètres!$B$7))^Paramètres!$B$6)</f>
        <v>0.13311767654553</v>
      </c>
      <c r="C19" s="29" t="n">
        <f aca="false">ROUND(Paramètres!$B$49*A19^Paramètres!$B$50,0)</f>
        <v>162</v>
      </c>
      <c r="D19" s="29" t="n">
        <f aca="false">ROUND(Paramètres!$B$53*A19^Paramètres!$B$54,0)</f>
        <v>106</v>
      </c>
      <c r="E19" s="29" t="n">
        <f aca="false">ROUND(C19*(Paramètres!$B$51+Paramètres!$B$52*A19),0)</f>
        <v>3208</v>
      </c>
      <c r="F19" s="29" t="n">
        <f aca="false">F18+E18</f>
        <v>15397</v>
      </c>
      <c r="G19" s="33" t="n">
        <f aca="false">E19/C19</f>
        <v>19.8024691358025</v>
      </c>
      <c r="H19" s="29" t="n">
        <f aca="false">ROUND(D19*Paramètres!$B$58*Paramètres!$B$59^0,0)</f>
        <v>848</v>
      </c>
      <c r="I19" s="29" t="n">
        <f aca="false">ROUND(D19*Paramètres!$B$58*Paramètres!$B$59^1,0)</f>
        <v>2544</v>
      </c>
      <c r="J19" s="29" t="n">
        <f aca="false">ROUND(D19*Paramètres!$B$58*Paramètres!$B$59^2,0)</f>
        <v>7632</v>
      </c>
      <c r="K19" s="29" t="n">
        <f aca="false">ROUND(D19*Paramètres!$B$58*Paramètres!$B$59^3,0)</f>
        <v>22896</v>
      </c>
      <c r="L19" s="29" t="n">
        <f aca="false">ROUND(D19*Paramètres!$B$58*Paramètres!$B$59^4,0)</f>
        <v>68688</v>
      </c>
      <c r="M19" s="29" t="n">
        <f aca="false">ROUND(D19*Paramètres!$B$58*Paramètres!$B$59^5,0)</f>
        <v>206064</v>
      </c>
    </row>
    <row r="20" customFormat="false" ht="15" hidden="false" customHeight="true" outlineLevel="0" collapsed="false">
      <c r="A20" s="71" t="n">
        <v>15</v>
      </c>
      <c r="B20" s="83" t="n">
        <f aca="false">(Paramètres!$B$5+(1-Paramètres!$B$5)*((A20-Paramètres!$B$7)/(Paramètres!$B$8-Paramètres!$B$7))^Paramètres!$B$6)</f>
        <v>0.140847925475674</v>
      </c>
      <c r="C20" s="29" t="n">
        <f aca="false">ROUND(Paramètres!$B$49*A20^Paramètres!$B$50,0)</f>
        <v>177</v>
      </c>
      <c r="D20" s="29" t="n">
        <f aca="false">ROUND(Paramètres!$B$53*A20^Paramètres!$B$54,0)</f>
        <v>116</v>
      </c>
      <c r="E20" s="29" t="n">
        <f aca="false">ROUND(C20*(Paramètres!$B$51+Paramètres!$B$52*A20),0)</f>
        <v>3629</v>
      </c>
      <c r="F20" s="29" t="n">
        <f aca="false">F19+E19</f>
        <v>18605</v>
      </c>
      <c r="G20" s="33" t="n">
        <f aca="false">E20/C20</f>
        <v>20.5028248587571</v>
      </c>
      <c r="H20" s="29" t="n">
        <f aca="false">ROUND(D20*Paramètres!$B$58*Paramètres!$B$59^0,0)</f>
        <v>928</v>
      </c>
      <c r="I20" s="29" t="n">
        <f aca="false">ROUND(D20*Paramètres!$B$58*Paramètres!$B$59^1,0)</f>
        <v>2784</v>
      </c>
      <c r="J20" s="29" t="n">
        <f aca="false">ROUND(D20*Paramètres!$B$58*Paramètres!$B$59^2,0)</f>
        <v>8352</v>
      </c>
      <c r="K20" s="29" t="n">
        <f aca="false">ROUND(D20*Paramètres!$B$58*Paramètres!$B$59^3,0)</f>
        <v>25056</v>
      </c>
      <c r="L20" s="29" t="n">
        <f aca="false">ROUND(D20*Paramètres!$B$58*Paramètres!$B$59^4,0)</f>
        <v>75168</v>
      </c>
      <c r="M20" s="29" t="n">
        <f aca="false">ROUND(D20*Paramètres!$B$58*Paramètres!$B$59^5,0)</f>
        <v>225504</v>
      </c>
    </row>
    <row r="21" customFormat="false" ht="15.75" hidden="false" customHeight="true" outlineLevel="0" collapsed="false">
      <c r="A21" s="71" t="n">
        <v>16</v>
      </c>
      <c r="B21" s="83" t="n">
        <f aca="false">(Paramètres!$B$5+(1-Paramètres!$B$5)*((A21-Paramètres!$B$7)/(Paramètres!$B$8-Paramètres!$B$7))^Paramètres!$B$6)</f>
        <v>0.148689484994666</v>
      </c>
      <c r="C21" s="29" t="n">
        <f aca="false">ROUND(Paramètres!$B$49*A21^Paramètres!$B$50,0)</f>
        <v>192</v>
      </c>
      <c r="D21" s="29" t="n">
        <f aca="false">ROUND(Paramètres!$B$53*A21^Paramètres!$B$54,0)</f>
        <v>127</v>
      </c>
      <c r="E21" s="29" t="n">
        <f aca="false">ROUND(C21*(Paramètres!$B$51+Paramètres!$B$52*A21),0)</f>
        <v>4070</v>
      </c>
      <c r="F21" s="29" t="n">
        <f aca="false">F20+E20</f>
        <v>22234</v>
      </c>
      <c r="G21" s="33" t="n">
        <f aca="false">E21/C21</f>
        <v>21.1979166666667</v>
      </c>
      <c r="H21" s="29" t="n">
        <f aca="false">ROUND(D21*Paramètres!$B$58*Paramètres!$B$59^0,0)</f>
        <v>1016</v>
      </c>
      <c r="I21" s="29" t="n">
        <f aca="false">ROUND(D21*Paramètres!$B$58*Paramètres!$B$59^1,0)</f>
        <v>3048</v>
      </c>
      <c r="J21" s="29" t="n">
        <f aca="false">ROUND(D21*Paramètres!$B$58*Paramètres!$B$59^2,0)</f>
        <v>9144</v>
      </c>
      <c r="K21" s="29" t="n">
        <f aca="false">ROUND(D21*Paramètres!$B$58*Paramètres!$B$59^3,0)</f>
        <v>27432</v>
      </c>
      <c r="L21" s="29" t="n">
        <f aca="false">ROUND(D21*Paramètres!$B$58*Paramètres!$B$59^4,0)</f>
        <v>82296</v>
      </c>
      <c r="M21" s="29" t="n">
        <f aca="false">ROUND(D21*Paramètres!$B$58*Paramètres!$B$59^5,0)</f>
        <v>246888</v>
      </c>
    </row>
    <row r="22" customFormat="false" ht="15.75" hidden="false" customHeight="true" outlineLevel="0" collapsed="false">
      <c r="A22" s="71" t="n">
        <v>17</v>
      </c>
      <c r="B22" s="83" t="n">
        <f aca="false">(Paramètres!$B$5+(1-Paramètres!$B$5)*((A22-Paramètres!$B$7)/(Paramètres!$B$8-Paramètres!$B$7))^Paramètres!$B$6)</f>
        <v>0.156636369529698</v>
      </c>
      <c r="C22" s="29" t="n">
        <f aca="false">ROUND(Paramètres!$B$49*A22^Paramètres!$B$50,0)</f>
        <v>207</v>
      </c>
      <c r="D22" s="29" t="n">
        <f aca="false">ROUND(Paramètres!$B$53*A22^Paramètres!$B$54,0)</f>
        <v>137</v>
      </c>
      <c r="E22" s="29" t="n">
        <f aca="false">ROUND(C22*(Paramètres!$B$51+Paramètres!$B$52*A22),0)</f>
        <v>4533</v>
      </c>
      <c r="F22" s="29" t="n">
        <f aca="false">F21+E21</f>
        <v>26304</v>
      </c>
      <c r="G22" s="33" t="n">
        <f aca="false">E22/C22</f>
        <v>21.8985507246377</v>
      </c>
      <c r="H22" s="29" t="n">
        <f aca="false">ROUND(D22*Paramètres!$B$58*Paramètres!$B$59^0,0)</f>
        <v>1096</v>
      </c>
      <c r="I22" s="29" t="n">
        <f aca="false">ROUND(D22*Paramètres!$B$58*Paramètres!$B$59^1,0)</f>
        <v>3288</v>
      </c>
      <c r="J22" s="29" t="n">
        <f aca="false">ROUND(D22*Paramètres!$B$58*Paramètres!$B$59^2,0)</f>
        <v>9864</v>
      </c>
      <c r="K22" s="29" t="n">
        <f aca="false">ROUND(D22*Paramètres!$B$58*Paramètres!$B$59^3,0)</f>
        <v>29592</v>
      </c>
      <c r="L22" s="29" t="n">
        <f aca="false">ROUND(D22*Paramètres!$B$58*Paramètres!$B$59^4,0)</f>
        <v>88776</v>
      </c>
      <c r="M22" s="29" t="n">
        <f aca="false">ROUND(D22*Paramètres!$B$58*Paramètres!$B$59^5,0)</f>
        <v>266328</v>
      </c>
    </row>
    <row r="23" customFormat="false" ht="15.75" hidden="false" customHeight="true" outlineLevel="0" collapsed="false">
      <c r="A23" s="71" t="n">
        <v>18</v>
      </c>
      <c r="B23" s="83" t="n">
        <f aca="false">(Paramètres!$B$5+(1-Paramètres!$B$5)*((A23-Paramètres!$B$7)/(Paramètres!$B$8-Paramètres!$B$7))^Paramètres!$B$6)</f>
        <v>0.1646832725879</v>
      </c>
      <c r="C23" s="29" t="n">
        <f aca="false">ROUND(Paramètres!$B$49*A23^Paramètres!$B$50,0)</f>
        <v>222</v>
      </c>
      <c r="D23" s="29" t="n">
        <f aca="false">ROUND(Paramètres!$B$53*A23^Paramètres!$B$54,0)</f>
        <v>149</v>
      </c>
      <c r="E23" s="29" t="n">
        <f aca="false">ROUND(C23*(Paramètres!$B$51+Paramètres!$B$52*A23),0)</f>
        <v>5017</v>
      </c>
      <c r="F23" s="29" t="n">
        <f aca="false">F22+E22</f>
        <v>30837</v>
      </c>
      <c r="G23" s="33" t="n">
        <f aca="false">E23/C23</f>
        <v>22.5990990990991</v>
      </c>
      <c r="H23" s="29" t="n">
        <f aca="false">ROUND(D23*Paramètres!$B$58*Paramètres!$B$59^0,0)</f>
        <v>1192</v>
      </c>
      <c r="I23" s="29" t="n">
        <f aca="false">ROUND(D23*Paramètres!$B$58*Paramètres!$B$59^1,0)</f>
        <v>3576</v>
      </c>
      <c r="J23" s="29" t="n">
        <f aca="false">ROUND(D23*Paramètres!$B$58*Paramètres!$B$59^2,0)</f>
        <v>10728</v>
      </c>
      <c r="K23" s="29" t="n">
        <f aca="false">ROUND(D23*Paramètres!$B$58*Paramètres!$B$59^3,0)</f>
        <v>32184</v>
      </c>
      <c r="L23" s="29" t="n">
        <f aca="false">ROUND(D23*Paramètres!$B$58*Paramètres!$B$59^4,0)</f>
        <v>96552</v>
      </c>
      <c r="M23" s="29" t="n">
        <f aca="false">ROUND(D23*Paramètres!$B$58*Paramètres!$B$59^5,0)</f>
        <v>289656</v>
      </c>
    </row>
    <row r="24" customFormat="false" ht="15.75" hidden="false" customHeight="true" outlineLevel="0" collapsed="false">
      <c r="A24" s="71" t="n">
        <v>19</v>
      </c>
      <c r="B24" s="83" t="n">
        <f aca="false">(Paramètres!$B$5+(1-Paramètres!$B$5)*((A24-Paramètres!$B$7)/(Paramètres!$B$8-Paramètres!$B$7))^Paramètres!$B$6)</f>
        <v>0.172825453944077</v>
      </c>
      <c r="C24" s="29" t="n">
        <f aca="false">ROUND(Paramètres!$B$49*A24^Paramètres!$B$50,0)</f>
        <v>238</v>
      </c>
      <c r="D24" s="29" t="n">
        <f aca="false">ROUND(Paramètres!$B$53*A24^Paramètres!$B$54,0)</f>
        <v>160</v>
      </c>
      <c r="E24" s="29" t="n">
        <f aca="false">ROUND(C24*(Paramètres!$B$51+Paramètres!$B$52*A24),0)</f>
        <v>5545</v>
      </c>
      <c r="F24" s="29" t="n">
        <f aca="false">F23+E23</f>
        <v>35854</v>
      </c>
      <c r="G24" s="33" t="n">
        <f aca="false">E24/C24</f>
        <v>23.2983193277311</v>
      </c>
      <c r="H24" s="29" t="n">
        <f aca="false">ROUND(D24*Paramètres!$B$58*Paramètres!$B$59^0,0)</f>
        <v>1280</v>
      </c>
      <c r="I24" s="29" t="n">
        <f aca="false">ROUND(D24*Paramètres!$B$58*Paramètres!$B$59^1,0)</f>
        <v>3840</v>
      </c>
      <c r="J24" s="29" t="n">
        <f aca="false">ROUND(D24*Paramètres!$B$58*Paramètres!$B$59^2,0)</f>
        <v>11520</v>
      </c>
      <c r="K24" s="29" t="n">
        <f aca="false">ROUND(D24*Paramètres!$B$58*Paramètres!$B$59^3,0)</f>
        <v>34560</v>
      </c>
      <c r="L24" s="29" t="n">
        <f aca="false">ROUND(D24*Paramètres!$B$58*Paramètres!$B$59^4,0)</f>
        <v>103680</v>
      </c>
      <c r="M24" s="29" t="n">
        <f aca="false">ROUND(D24*Paramètres!$B$58*Paramètres!$B$59^5,0)</f>
        <v>311040</v>
      </c>
    </row>
    <row r="25" customFormat="false" ht="15.75" hidden="false" customHeight="true" outlineLevel="0" collapsed="false">
      <c r="A25" s="71" t="n">
        <v>20</v>
      </c>
      <c r="B25" s="83" t="n">
        <f aca="false">(Paramètres!$B$5+(1-Paramètres!$B$5)*((A25-Paramètres!$B$7)/(Paramètres!$B$8-Paramètres!$B$7))^Paramètres!$B$6)</f>
        <v>0.181058650851904</v>
      </c>
      <c r="C25" s="29" t="n">
        <f aca="false">ROUND(Paramètres!$B$49*A25^Paramètres!$B$50,0)</f>
        <v>254</v>
      </c>
      <c r="D25" s="29" t="n">
        <f aca="false">ROUND(Paramètres!$B$53*A25^Paramètres!$B$54,0)</f>
        <v>171</v>
      </c>
      <c r="E25" s="29" t="n">
        <f aca="false">ROUND(C25*(Paramètres!$B$51+Paramètres!$B$52*A25),0)</f>
        <v>6096</v>
      </c>
      <c r="F25" s="29" t="n">
        <f aca="false">F24+E24</f>
        <v>41399</v>
      </c>
      <c r="G25" s="33" t="n">
        <f aca="false">E25/C25</f>
        <v>24</v>
      </c>
      <c r="H25" s="29" t="n">
        <f aca="false">ROUND(D25*Paramètres!$B$58*Paramètres!$B$59^0,0)</f>
        <v>1368</v>
      </c>
      <c r="I25" s="29" t="n">
        <f aca="false">ROUND(D25*Paramètres!$B$58*Paramètres!$B$59^1,0)</f>
        <v>4104</v>
      </c>
      <c r="J25" s="29" t="n">
        <f aca="false">ROUND(D25*Paramètres!$B$58*Paramètres!$B$59^2,0)</f>
        <v>12312</v>
      </c>
      <c r="K25" s="29" t="n">
        <f aca="false">ROUND(D25*Paramètres!$B$58*Paramètres!$B$59^3,0)</f>
        <v>36936</v>
      </c>
      <c r="L25" s="29" t="n">
        <f aca="false">ROUND(D25*Paramètres!$B$58*Paramètres!$B$59^4,0)</f>
        <v>110808</v>
      </c>
      <c r="M25" s="29" t="n">
        <f aca="false">ROUND(D25*Paramètres!$B$58*Paramètres!$B$59^5,0)</f>
        <v>332424</v>
      </c>
    </row>
    <row r="26" customFormat="false" ht="15.75" hidden="false" customHeight="true" outlineLevel="0" collapsed="false">
      <c r="A26" s="71" t="n">
        <v>21</v>
      </c>
      <c r="B26" s="83" t="n">
        <f aca="false">(Paramètres!$B$5+(1-Paramètres!$B$5)*((A26-Paramètres!$B$7)/(Paramètres!$B$8-Paramètres!$B$7))^Paramètres!$B$6)</f>
        <v>0.189379007156239</v>
      </c>
      <c r="C26" s="29" t="n">
        <f aca="false">ROUND(Paramètres!$B$49*A26^Paramètres!$B$50,0)</f>
        <v>270</v>
      </c>
      <c r="D26" s="29" t="n">
        <f aca="false">ROUND(Paramètres!$B$53*A26^Paramètres!$B$54,0)</f>
        <v>183</v>
      </c>
      <c r="E26" s="29" t="n">
        <f aca="false">ROUND(C26*(Paramètres!$B$51+Paramètres!$B$52*A26),0)</f>
        <v>6669</v>
      </c>
      <c r="F26" s="29" t="n">
        <f aca="false">F25+E25</f>
        <v>47495</v>
      </c>
      <c r="G26" s="33" t="n">
        <f aca="false">E26/C26</f>
        <v>24.7</v>
      </c>
      <c r="H26" s="29" t="n">
        <f aca="false">ROUND(D26*Paramètres!$B$58*Paramètres!$B$59^0,0)</f>
        <v>1464</v>
      </c>
      <c r="I26" s="29" t="n">
        <f aca="false">ROUND(D26*Paramètres!$B$58*Paramètres!$B$59^1,0)</f>
        <v>4392</v>
      </c>
      <c r="J26" s="29" t="n">
        <f aca="false">ROUND(D26*Paramètres!$B$58*Paramètres!$B$59^2,0)</f>
        <v>13176</v>
      </c>
      <c r="K26" s="29" t="n">
        <f aca="false">ROUND(D26*Paramètres!$B$58*Paramètres!$B$59^3,0)</f>
        <v>39528</v>
      </c>
      <c r="L26" s="29" t="n">
        <f aca="false">ROUND(D26*Paramètres!$B$58*Paramètres!$B$59^4,0)</f>
        <v>118584</v>
      </c>
      <c r="M26" s="29" t="n">
        <f aca="false">ROUND(D26*Paramètres!$B$58*Paramètres!$B$59^5,0)</f>
        <v>355752</v>
      </c>
    </row>
    <row r="27" customFormat="false" ht="15.75" hidden="false" customHeight="true" outlineLevel="0" collapsed="false">
      <c r="A27" s="71" t="n">
        <v>22</v>
      </c>
      <c r="B27" s="83" t="n">
        <f aca="false">(Paramètres!$B$5+(1-Paramètres!$B$5)*((A27-Paramètres!$B$7)/(Paramètres!$B$8-Paramètres!$B$7))^Paramètres!$B$6)</f>
        <v>0.197783015975362</v>
      </c>
      <c r="C27" s="29" t="n">
        <f aca="false">ROUND(Paramètres!$B$49*A27^Paramètres!$B$50,0)</f>
        <v>286</v>
      </c>
      <c r="D27" s="29" t="n">
        <f aca="false">ROUND(Paramètres!$B$53*A27^Paramètres!$B$54,0)</f>
        <v>195</v>
      </c>
      <c r="E27" s="29" t="n">
        <f aca="false">ROUND(C27*(Paramètres!$B$51+Paramètres!$B$52*A27),0)</f>
        <v>7264</v>
      </c>
      <c r="F27" s="29" t="n">
        <f aca="false">F26+E26</f>
        <v>54164</v>
      </c>
      <c r="G27" s="33" t="n">
        <f aca="false">E27/C27</f>
        <v>25.3986013986014</v>
      </c>
      <c r="H27" s="29" t="n">
        <f aca="false">ROUND(D27*Paramètres!$B$58*Paramètres!$B$59^0,0)</f>
        <v>1560</v>
      </c>
      <c r="I27" s="29" t="n">
        <f aca="false">ROUND(D27*Paramètres!$B$58*Paramètres!$B$59^1,0)</f>
        <v>4680</v>
      </c>
      <c r="J27" s="29" t="n">
        <f aca="false">ROUND(D27*Paramètres!$B$58*Paramètres!$B$59^2,0)</f>
        <v>14040</v>
      </c>
      <c r="K27" s="29" t="n">
        <f aca="false">ROUND(D27*Paramètres!$B$58*Paramètres!$B$59^3,0)</f>
        <v>42120</v>
      </c>
      <c r="L27" s="29" t="n">
        <f aca="false">ROUND(D27*Paramètres!$B$58*Paramètres!$B$59^4,0)</f>
        <v>126360</v>
      </c>
      <c r="M27" s="29" t="n">
        <f aca="false">ROUND(D27*Paramètres!$B$58*Paramètres!$B$59^5,0)</f>
        <v>379080</v>
      </c>
    </row>
    <row r="28" customFormat="false" ht="15.75" hidden="false" customHeight="true" outlineLevel="0" collapsed="false">
      <c r="A28" s="71" t="n">
        <v>23</v>
      </c>
      <c r="B28" s="83" t="n">
        <f aca="false">(Paramètres!$B$5+(1-Paramètres!$B$5)*((A28-Paramètres!$B$7)/(Paramètres!$B$8-Paramètres!$B$7))^Paramètres!$B$6)</f>
        <v>0.206267472827909</v>
      </c>
      <c r="C28" s="29" t="n">
        <f aca="false">ROUND(Paramètres!$B$49*A28^Paramètres!$B$50,0)</f>
        <v>302</v>
      </c>
      <c r="D28" s="29" t="n">
        <f aca="false">ROUND(Paramètres!$B$53*A28^Paramètres!$B$54,0)</f>
        <v>207</v>
      </c>
      <c r="E28" s="29" t="n">
        <f aca="false">ROUND(C28*(Paramètres!$B$51+Paramètres!$B$52*A28),0)</f>
        <v>7882</v>
      </c>
      <c r="F28" s="29" t="n">
        <f aca="false">F27+E27</f>
        <v>61428</v>
      </c>
      <c r="G28" s="33" t="n">
        <f aca="false">E28/C28</f>
        <v>26.0993377483444</v>
      </c>
      <c r="H28" s="29" t="n">
        <f aca="false">ROUND(D28*Paramètres!$B$58*Paramètres!$B$59^0,0)</f>
        <v>1656</v>
      </c>
      <c r="I28" s="29" t="n">
        <f aca="false">ROUND(D28*Paramètres!$B$58*Paramètres!$B$59^1,0)</f>
        <v>4968</v>
      </c>
      <c r="J28" s="29" t="n">
        <f aca="false">ROUND(D28*Paramètres!$B$58*Paramètres!$B$59^2,0)</f>
        <v>14904</v>
      </c>
      <c r="K28" s="29" t="n">
        <f aca="false">ROUND(D28*Paramètres!$B$58*Paramètres!$B$59^3,0)</f>
        <v>44712</v>
      </c>
      <c r="L28" s="29" t="n">
        <f aca="false">ROUND(D28*Paramètres!$B$58*Paramètres!$B$59^4,0)</f>
        <v>134136</v>
      </c>
      <c r="M28" s="29" t="n">
        <f aca="false">ROUND(D28*Paramètres!$B$58*Paramètres!$B$59^5,0)</f>
        <v>402408</v>
      </c>
    </row>
    <row r="29" customFormat="false" ht="15.75" hidden="false" customHeight="true" outlineLevel="0" collapsed="false">
      <c r="A29" s="71" t="n">
        <v>24</v>
      </c>
      <c r="B29" s="83" t="n">
        <f aca="false">(Paramètres!$B$5+(1-Paramètres!$B$5)*((A29-Paramètres!$B$7)/(Paramètres!$B$8-Paramètres!$B$7))^Paramètres!$B$6)</f>
        <v>0.214829436909506</v>
      </c>
      <c r="C29" s="29" t="n">
        <f aca="false">ROUND(Paramètres!$B$49*A29^Paramètres!$B$50,0)</f>
        <v>319</v>
      </c>
      <c r="D29" s="29" t="n">
        <f aca="false">ROUND(Paramètres!$B$53*A29^Paramètres!$B$54,0)</f>
        <v>219</v>
      </c>
      <c r="E29" s="29" t="n">
        <f aca="false">ROUND(C29*(Paramètres!$B$51+Paramètres!$B$52*A29),0)</f>
        <v>8549</v>
      </c>
      <c r="F29" s="29" t="n">
        <f aca="false">F28+E28</f>
        <v>69310</v>
      </c>
      <c r="G29" s="33" t="n">
        <f aca="false">E29/C29</f>
        <v>26.7993730407524</v>
      </c>
      <c r="H29" s="29" t="n">
        <f aca="false">ROUND(D29*Paramètres!$B$58*Paramètres!$B$59^0,0)</f>
        <v>1752</v>
      </c>
      <c r="I29" s="29" t="n">
        <f aca="false">ROUND(D29*Paramètres!$B$58*Paramètres!$B$59^1,0)</f>
        <v>5256</v>
      </c>
      <c r="J29" s="29" t="n">
        <f aca="false">ROUND(D29*Paramètres!$B$58*Paramètres!$B$59^2,0)</f>
        <v>15768</v>
      </c>
      <c r="K29" s="29" t="n">
        <f aca="false">ROUND(D29*Paramètres!$B$58*Paramètres!$B$59^3,0)</f>
        <v>47304</v>
      </c>
      <c r="L29" s="29" t="n">
        <f aca="false">ROUND(D29*Paramètres!$B$58*Paramètres!$B$59^4,0)</f>
        <v>141912</v>
      </c>
      <c r="M29" s="29" t="n">
        <f aca="false">ROUND(D29*Paramètres!$B$58*Paramètres!$B$59^5,0)</f>
        <v>425736</v>
      </c>
    </row>
    <row r="30" customFormat="false" ht="15.75" hidden="false" customHeight="true" outlineLevel="0" collapsed="false">
      <c r="A30" s="71" t="n">
        <v>25</v>
      </c>
      <c r="B30" s="83" t="n">
        <f aca="false">(Paramètres!$B$5+(1-Paramètres!$B$5)*((A30-Paramètres!$B$7)/(Paramètres!$B$8-Paramètres!$B$7))^Paramètres!$B$6)</f>
        <v>0.223466198806946</v>
      </c>
      <c r="C30" s="29" t="n">
        <f aca="false">ROUND(Paramètres!$B$49*A30^Paramètres!$B$50,0)</f>
        <v>335</v>
      </c>
      <c r="D30" s="29" t="n">
        <f aca="false">ROUND(Paramètres!$B$53*A30^Paramètres!$B$54,0)</f>
        <v>231</v>
      </c>
      <c r="E30" s="29" t="n">
        <f aca="false">ROUND(C30*(Paramètres!$B$51+Paramètres!$B$52*A30),0)</f>
        <v>9213</v>
      </c>
      <c r="F30" s="29" t="n">
        <f aca="false">F29+E29</f>
        <v>77859</v>
      </c>
      <c r="G30" s="33" t="n">
        <f aca="false">E30/C30</f>
        <v>27.5014925373134</v>
      </c>
      <c r="H30" s="29" t="n">
        <f aca="false">ROUND(D30*Paramètres!$B$58*Paramètres!$B$59^0,0)</f>
        <v>1848</v>
      </c>
      <c r="I30" s="29" t="n">
        <f aca="false">ROUND(D30*Paramètres!$B$58*Paramètres!$B$59^1,0)</f>
        <v>5544</v>
      </c>
      <c r="J30" s="29" t="n">
        <f aca="false">ROUND(D30*Paramètres!$B$58*Paramètres!$B$59^2,0)</f>
        <v>16632</v>
      </c>
      <c r="K30" s="29" t="n">
        <f aca="false">ROUND(D30*Paramètres!$B$58*Paramètres!$B$59^3,0)</f>
        <v>49896</v>
      </c>
      <c r="L30" s="29" t="n">
        <f aca="false">ROUND(D30*Paramètres!$B$58*Paramètres!$B$59^4,0)</f>
        <v>149688</v>
      </c>
      <c r="M30" s="29" t="n">
        <f aca="false">ROUND(D30*Paramètres!$B$58*Paramètres!$B$59^5,0)</f>
        <v>449064</v>
      </c>
    </row>
    <row r="31" customFormat="false" ht="15.75" hidden="false" customHeight="true" outlineLevel="0" collapsed="false">
      <c r="A31" s="71" t="n">
        <v>26</v>
      </c>
      <c r="B31" s="83" t="n">
        <f aca="false">(Paramètres!$B$5+(1-Paramètres!$B$5)*((A31-Paramètres!$B$7)/(Paramètres!$B$8-Paramètres!$B$7))^Paramètres!$B$6)</f>
        <v>0.232175253354332</v>
      </c>
      <c r="C31" s="29" t="n">
        <f aca="false">ROUND(Paramètres!$B$49*A31^Paramètres!$B$50,0)</f>
        <v>352</v>
      </c>
      <c r="D31" s="29" t="n">
        <f aca="false">ROUND(Paramètres!$B$53*A31^Paramètres!$B$54,0)</f>
        <v>244</v>
      </c>
      <c r="E31" s="29" t="n">
        <f aca="false">ROUND(C31*(Paramètres!$B$51+Paramètres!$B$52*A31),0)</f>
        <v>9926</v>
      </c>
      <c r="F31" s="29" t="n">
        <f aca="false">F30+E30</f>
        <v>87072</v>
      </c>
      <c r="G31" s="33" t="n">
        <f aca="false">E31/C31</f>
        <v>28.1988636363636</v>
      </c>
      <c r="H31" s="29" t="n">
        <f aca="false">ROUND(D31*Paramètres!$B$58*Paramètres!$B$59^0,0)</f>
        <v>1952</v>
      </c>
      <c r="I31" s="29" t="n">
        <f aca="false">ROUND(D31*Paramètres!$B$58*Paramètres!$B$59^1,0)</f>
        <v>5856</v>
      </c>
      <c r="J31" s="29" t="n">
        <f aca="false">ROUND(D31*Paramètres!$B$58*Paramètres!$B$59^2,0)</f>
        <v>17568</v>
      </c>
      <c r="K31" s="29" t="n">
        <f aca="false">ROUND(D31*Paramètres!$B$58*Paramètres!$B$59^3,0)</f>
        <v>52704</v>
      </c>
      <c r="L31" s="29" t="n">
        <f aca="false">ROUND(D31*Paramètres!$B$58*Paramètres!$B$59^4,0)</f>
        <v>158112</v>
      </c>
      <c r="M31" s="29" t="n">
        <f aca="false">ROUND(D31*Paramètres!$B$58*Paramètres!$B$59^5,0)</f>
        <v>474336</v>
      </c>
    </row>
    <row r="32" customFormat="false" ht="15.75" hidden="false" customHeight="true" outlineLevel="0" collapsed="false">
      <c r="A32" s="71" t="n">
        <v>27</v>
      </c>
      <c r="B32" s="83" t="n">
        <f aca="false">(Paramètres!$B$5+(1-Paramètres!$B$5)*((A32-Paramètres!$B$7)/(Paramètres!$B$8-Paramètres!$B$7))^Paramètres!$B$6)</f>
        <v>0.240954276638051</v>
      </c>
      <c r="C32" s="29" t="n">
        <f aca="false">ROUND(Paramètres!$B$49*A32^Paramètres!$B$50,0)</f>
        <v>369</v>
      </c>
      <c r="D32" s="29" t="n">
        <f aca="false">ROUND(Paramètres!$B$53*A32^Paramètres!$B$54,0)</f>
        <v>257</v>
      </c>
      <c r="E32" s="29" t="n">
        <f aca="false">ROUND(C32*(Paramètres!$B$51+Paramètres!$B$52*A32),0)</f>
        <v>10664</v>
      </c>
      <c r="F32" s="29" t="n">
        <f aca="false">F31+E31</f>
        <v>96998</v>
      </c>
      <c r="G32" s="33" t="n">
        <f aca="false">E32/C32</f>
        <v>28.89972899729</v>
      </c>
      <c r="H32" s="29" t="n">
        <f aca="false">ROUND(D32*Paramètres!$B$58*Paramètres!$B$59^0,0)</f>
        <v>2056</v>
      </c>
      <c r="I32" s="29" t="n">
        <f aca="false">ROUND(D32*Paramètres!$B$58*Paramètres!$B$59^1,0)</f>
        <v>6168</v>
      </c>
      <c r="J32" s="29" t="n">
        <f aca="false">ROUND(D32*Paramètres!$B$58*Paramètres!$B$59^2,0)</f>
        <v>18504</v>
      </c>
      <c r="K32" s="29" t="n">
        <f aca="false">ROUND(D32*Paramètres!$B$58*Paramètres!$B$59^3,0)</f>
        <v>55512</v>
      </c>
      <c r="L32" s="29" t="n">
        <f aca="false">ROUND(D32*Paramètres!$B$58*Paramètres!$B$59^4,0)</f>
        <v>166536</v>
      </c>
      <c r="M32" s="29" t="n">
        <f aca="false">ROUND(D32*Paramètres!$B$58*Paramètres!$B$59^5,0)</f>
        <v>499608</v>
      </c>
    </row>
    <row r="33" customFormat="false" ht="15.75" hidden="false" customHeight="true" outlineLevel="0" collapsed="false">
      <c r="A33" s="71" t="n">
        <v>28</v>
      </c>
      <c r="B33" s="83" t="n">
        <f aca="false">(Paramètres!$B$5+(1-Paramètres!$B$5)*((A33-Paramètres!$B$7)/(Paramètres!$B$8-Paramètres!$B$7))^Paramètres!$B$6)</f>
        <v>0.249801106380343</v>
      </c>
      <c r="C33" s="29" t="n">
        <f aca="false">ROUND(Paramètres!$B$49*A33^Paramètres!$B$50,0)</f>
        <v>386</v>
      </c>
      <c r="D33" s="29" t="n">
        <f aca="false">ROUND(Paramètres!$B$53*A33^Paramètres!$B$54,0)</f>
        <v>270</v>
      </c>
      <c r="E33" s="29" t="n">
        <f aca="false">ROUND(C33*(Paramètres!$B$51+Paramètres!$B$52*A33),0)</f>
        <v>11426</v>
      </c>
      <c r="F33" s="29" t="n">
        <f aca="false">F32+E32</f>
        <v>107662</v>
      </c>
      <c r="G33" s="33" t="n">
        <f aca="false">E33/C33</f>
        <v>29.6010362694301</v>
      </c>
      <c r="H33" s="29" t="n">
        <f aca="false">ROUND(D33*Paramètres!$B$58*Paramètres!$B$59^0,0)</f>
        <v>2160</v>
      </c>
      <c r="I33" s="29" t="n">
        <f aca="false">ROUND(D33*Paramètres!$B$58*Paramètres!$B$59^1,0)</f>
        <v>6480</v>
      </c>
      <c r="J33" s="29" t="n">
        <f aca="false">ROUND(D33*Paramètres!$B$58*Paramètres!$B$59^2,0)</f>
        <v>19440</v>
      </c>
      <c r="K33" s="29" t="n">
        <f aca="false">ROUND(D33*Paramètres!$B$58*Paramètres!$B$59^3,0)</f>
        <v>58320</v>
      </c>
      <c r="L33" s="29" t="n">
        <f aca="false">ROUND(D33*Paramètres!$B$58*Paramètres!$B$59^4,0)</f>
        <v>174960</v>
      </c>
      <c r="M33" s="29" t="n">
        <f aca="false">ROUND(D33*Paramètres!$B$58*Paramètres!$B$59^5,0)</f>
        <v>524880</v>
      </c>
    </row>
    <row r="34" customFormat="false" ht="15.75" hidden="false" customHeight="true" outlineLevel="0" collapsed="false">
      <c r="A34" s="71" t="n">
        <v>29</v>
      </c>
      <c r="B34" s="83" t="n">
        <f aca="false">(Paramètres!$B$5+(1-Paramètres!$B$5)*((A34-Paramètres!$B$7)/(Paramètres!$B$8-Paramètres!$B$7))^Paramètres!$B$6)</f>
        <v>0.258713725097601</v>
      </c>
      <c r="C34" s="29" t="n">
        <f aca="false">ROUND(Paramètres!$B$49*A34^Paramètres!$B$50,0)</f>
        <v>404</v>
      </c>
      <c r="D34" s="29" t="n">
        <f aca="false">ROUND(Paramètres!$B$53*A34^Paramètres!$B$54,0)</f>
        <v>283</v>
      </c>
      <c r="E34" s="29" t="n">
        <f aca="false">ROUND(C34*(Paramètres!$B$51+Paramètres!$B$52*A34),0)</f>
        <v>12241</v>
      </c>
      <c r="F34" s="29" t="n">
        <f aca="false">F33+E33</f>
        <v>119088</v>
      </c>
      <c r="G34" s="33" t="n">
        <f aca="false">E34/C34</f>
        <v>30.2995049504951</v>
      </c>
      <c r="H34" s="29" t="n">
        <f aca="false">ROUND(D34*Paramètres!$B$58*Paramètres!$B$59^0,0)</f>
        <v>2264</v>
      </c>
      <c r="I34" s="29" t="n">
        <f aca="false">ROUND(D34*Paramètres!$B$58*Paramètres!$B$59^1,0)</f>
        <v>6792</v>
      </c>
      <c r="J34" s="29" t="n">
        <f aca="false">ROUND(D34*Paramètres!$B$58*Paramètres!$B$59^2,0)</f>
        <v>20376</v>
      </c>
      <c r="K34" s="29" t="n">
        <f aca="false">ROUND(D34*Paramètres!$B$58*Paramètres!$B$59^3,0)</f>
        <v>61128</v>
      </c>
      <c r="L34" s="29" t="n">
        <f aca="false">ROUND(D34*Paramètres!$B$58*Paramètres!$B$59^4,0)</f>
        <v>183384</v>
      </c>
      <c r="M34" s="29" t="n">
        <f aca="false">ROUND(D34*Paramètres!$B$58*Paramètres!$B$59^5,0)</f>
        <v>550152</v>
      </c>
    </row>
    <row r="35" customFormat="false" ht="15.75" hidden="false" customHeight="true" outlineLevel="0" collapsed="false">
      <c r="A35" s="71" t="n">
        <v>30</v>
      </c>
      <c r="B35" s="83" t="n">
        <f aca="false">(Paramètres!$B$5+(1-Paramètres!$B$5)*((A35-Paramètres!$B$7)/(Paramètres!$B$8-Paramètres!$B$7))^Paramètres!$B$6)</f>
        <v>0.26769024555533</v>
      </c>
      <c r="C35" s="29" t="n">
        <f aca="false">ROUND(Paramètres!$B$49*A35^Paramètres!$B$50,0)</f>
        <v>421</v>
      </c>
      <c r="D35" s="29" t="n">
        <f aca="false">ROUND(Paramètres!$B$53*A35^Paramètres!$B$54,0)</f>
        <v>296</v>
      </c>
      <c r="E35" s="29" t="n">
        <f aca="false">ROUND(C35*(Paramètres!$B$51+Paramètres!$B$52*A35),0)</f>
        <v>13051</v>
      </c>
      <c r="F35" s="29" t="n">
        <f aca="false">F34+E34</f>
        <v>131329</v>
      </c>
      <c r="G35" s="33" t="n">
        <f aca="false">E35/C35</f>
        <v>31</v>
      </c>
      <c r="H35" s="29" t="n">
        <f aca="false">ROUND(D35*Paramètres!$B$58*Paramètres!$B$59^0,0)</f>
        <v>2368</v>
      </c>
      <c r="I35" s="29" t="n">
        <f aca="false">ROUND(D35*Paramètres!$B$58*Paramètres!$B$59^1,0)</f>
        <v>7104</v>
      </c>
      <c r="J35" s="29" t="n">
        <f aca="false">ROUND(D35*Paramètres!$B$58*Paramètres!$B$59^2,0)</f>
        <v>21312</v>
      </c>
      <c r="K35" s="29" t="n">
        <f aca="false">ROUND(D35*Paramètres!$B$58*Paramètres!$B$59^3,0)</f>
        <v>63936</v>
      </c>
      <c r="L35" s="29" t="n">
        <f aca="false">ROUND(D35*Paramètres!$B$58*Paramètres!$B$59^4,0)</f>
        <v>191808</v>
      </c>
      <c r="M35" s="29" t="n">
        <f aca="false">ROUND(D35*Paramètres!$B$58*Paramètres!$B$59^5,0)</f>
        <v>575424</v>
      </c>
    </row>
    <row r="36" customFormat="false" ht="15.75" hidden="false" customHeight="true" outlineLevel="0" collapsed="false">
      <c r="A36" s="71" t="n">
        <v>31</v>
      </c>
      <c r="B36" s="83" t="n">
        <f aca="false">(Paramètres!$B$5+(1-Paramètres!$B$5)*((A36-Paramètres!$B$7)/(Paramètres!$B$8-Paramètres!$B$7))^Paramètres!$B$6)</f>
        <v>0.276728898137755</v>
      </c>
      <c r="C36" s="29" t="n">
        <f aca="false">ROUND(Paramètres!$B$49*A36^Paramètres!$B$50,0)</f>
        <v>439</v>
      </c>
      <c r="D36" s="29" t="n">
        <f aca="false">ROUND(Paramètres!$B$53*A36^Paramètres!$B$54,0)</f>
        <v>309</v>
      </c>
      <c r="E36" s="29" t="n">
        <f aca="false">ROUND(C36*(Paramètres!$B$51+Paramètres!$B$52*A36),0)</f>
        <v>13916</v>
      </c>
      <c r="F36" s="29" t="n">
        <f aca="false">F35+E35</f>
        <v>144380</v>
      </c>
      <c r="G36" s="33" t="n">
        <f aca="false">E36/C36</f>
        <v>31.6993166287016</v>
      </c>
      <c r="H36" s="29" t="n">
        <f aca="false">ROUND(D36*Paramètres!$B$58*Paramètres!$B$59^0,0)</f>
        <v>2472</v>
      </c>
      <c r="I36" s="29" t="n">
        <f aca="false">ROUND(D36*Paramètres!$B$58*Paramètres!$B$59^1,0)</f>
        <v>7416</v>
      </c>
      <c r="J36" s="29" t="n">
        <f aca="false">ROUND(D36*Paramètres!$B$58*Paramètres!$B$59^2,0)</f>
        <v>22248</v>
      </c>
      <c r="K36" s="29" t="n">
        <f aca="false">ROUND(D36*Paramètres!$B$58*Paramètres!$B$59^3,0)</f>
        <v>66744</v>
      </c>
      <c r="L36" s="29" t="n">
        <f aca="false">ROUND(D36*Paramètres!$B$58*Paramètres!$B$59^4,0)</f>
        <v>200232</v>
      </c>
      <c r="M36" s="29" t="n">
        <f aca="false">ROUND(D36*Paramètres!$B$58*Paramètres!$B$59^5,0)</f>
        <v>600696</v>
      </c>
    </row>
    <row r="37" customFormat="false" ht="15.75" hidden="false" customHeight="true" outlineLevel="0" collapsed="false">
      <c r="A37" s="71" t="n">
        <v>32</v>
      </c>
      <c r="B37" s="83" t="n">
        <f aca="false">(Paramètres!$B$5+(1-Paramètres!$B$5)*((A37-Paramètres!$B$7)/(Paramètres!$B$8-Paramètres!$B$7))^Paramètres!$B$6)</f>
        <v>0.285828019824335</v>
      </c>
      <c r="C37" s="29" t="n">
        <f aca="false">ROUND(Paramètres!$B$49*A37^Paramètres!$B$50,0)</f>
        <v>457</v>
      </c>
      <c r="D37" s="29" t="n">
        <f aca="false">ROUND(Paramètres!$B$53*A37^Paramètres!$B$54,0)</f>
        <v>323</v>
      </c>
      <c r="E37" s="29" t="n">
        <f aca="false">ROUND(C37*(Paramètres!$B$51+Paramètres!$B$52*A37),0)</f>
        <v>14807</v>
      </c>
      <c r="F37" s="29" t="n">
        <f aca="false">F36+E36</f>
        <v>158296</v>
      </c>
      <c r="G37" s="33" t="n">
        <f aca="false">E37/C37</f>
        <v>32.4004376367615</v>
      </c>
      <c r="H37" s="29" t="n">
        <f aca="false">ROUND(D37*Paramètres!$B$58*Paramètres!$B$59^0,0)</f>
        <v>2584</v>
      </c>
      <c r="I37" s="29" t="n">
        <f aca="false">ROUND(D37*Paramètres!$B$58*Paramètres!$B$59^1,0)</f>
        <v>7752</v>
      </c>
      <c r="J37" s="29" t="n">
        <f aca="false">ROUND(D37*Paramètres!$B$58*Paramètres!$B$59^2,0)</f>
        <v>23256</v>
      </c>
      <c r="K37" s="29" t="n">
        <f aca="false">ROUND(D37*Paramètres!$B$58*Paramètres!$B$59^3,0)</f>
        <v>69768</v>
      </c>
      <c r="L37" s="29" t="n">
        <f aca="false">ROUND(D37*Paramètres!$B$58*Paramètres!$B$59^4,0)</f>
        <v>209304</v>
      </c>
      <c r="M37" s="29" t="n">
        <f aca="false">ROUND(D37*Paramètres!$B$58*Paramètres!$B$59^5,0)</f>
        <v>627912</v>
      </c>
    </row>
    <row r="38" customFormat="false" ht="15.75" hidden="false" customHeight="true" outlineLevel="0" collapsed="false">
      <c r="A38" s="71" t="n">
        <v>33</v>
      </c>
      <c r="B38" s="83" t="n">
        <f aca="false">(Paramètres!$B$5+(1-Paramètres!$B$5)*((A38-Paramètres!$B$7)/(Paramètres!$B$8-Paramètres!$B$7))^Paramètres!$B$6)</f>
        <v>0.294986044523241</v>
      </c>
      <c r="C38" s="29" t="n">
        <f aca="false">ROUND(Paramètres!$B$49*A38^Paramètres!$B$50,0)</f>
        <v>475</v>
      </c>
      <c r="D38" s="29" t="n">
        <f aca="false">ROUND(Paramètres!$B$53*A38^Paramètres!$B$54,0)</f>
        <v>337</v>
      </c>
      <c r="E38" s="29" t="n">
        <f aca="false">ROUND(C38*(Paramètres!$B$51+Paramètres!$B$52*A38),0)</f>
        <v>15722</v>
      </c>
      <c r="F38" s="29" t="n">
        <f aca="false">F37+E37</f>
        <v>173103</v>
      </c>
      <c r="G38" s="33" t="n">
        <f aca="false">E38/C38</f>
        <v>33.0989473684211</v>
      </c>
      <c r="H38" s="29" t="n">
        <f aca="false">ROUND(D38*Paramètres!$B$58*Paramètres!$B$59^0,0)</f>
        <v>2696</v>
      </c>
      <c r="I38" s="29" t="n">
        <f aca="false">ROUND(D38*Paramètres!$B$58*Paramètres!$B$59^1,0)</f>
        <v>8088</v>
      </c>
      <c r="J38" s="29" t="n">
        <f aca="false">ROUND(D38*Paramètres!$B$58*Paramètres!$B$59^2,0)</f>
        <v>24264</v>
      </c>
      <c r="K38" s="29" t="n">
        <f aca="false">ROUND(D38*Paramètres!$B$58*Paramètres!$B$59^3,0)</f>
        <v>72792</v>
      </c>
      <c r="L38" s="29" t="n">
        <f aca="false">ROUND(D38*Paramètres!$B$58*Paramètres!$B$59^4,0)</f>
        <v>218376</v>
      </c>
      <c r="M38" s="29" t="n">
        <f aca="false">ROUND(D38*Paramètres!$B$58*Paramètres!$B$59^5,0)</f>
        <v>655128</v>
      </c>
    </row>
    <row r="39" customFormat="false" ht="15.75" hidden="false" customHeight="true" outlineLevel="0" collapsed="false">
      <c r="A39" s="71" t="n">
        <v>34</v>
      </c>
      <c r="B39" s="83" t="n">
        <f aca="false">(Paramètres!$B$5+(1-Paramètres!$B$5)*((A39-Paramètres!$B$7)/(Paramètres!$B$8-Paramètres!$B$7))^Paramètres!$B$6)</f>
        <v>0.304201494557406</v>
      </c>
      <c r="C39" s="29" t="n">
        <f aca="false">ROUND(Paramètres!$B$49*A39^Paramètres!$B$50,0)</f>
        <v>493</v>
      </c>
      <c r="D39" s="29" t="n">
        <f aca="false">ROUND(Paramètres!$B$53*A39^Paramètres!$B$54,0)</f>
        <v>350</v>
      </c>
      <c r="E39" s="29" t="n">
        <f aca="false">ROUND(C39*(Paramètres!$B$51+Paramètres!$B$52*A39),0)</f>
        <v>16663</v>
      </c>
      <c r="F39" s="29" t="n">
        <f aca="false">F38+E38</f>
        <v>188825</v>
      </c>
      <c r="G39" s="33" t="n">
        <f aca="false">E39/C39</f>
        <v>33.7991886409736</v>
      </c>
      <c r="H39" s="29" t="n">
        <f aca="false">ROUND(D39*Paramètres!$B$58*Paramètres!$B$59^0,0)</f>
        <v>2800</v>
      </c>
      <c r="I39" s="29" t="n">
        <f aca="false">ROUND(D39*Paramètres!$B$58*Paramètres!$B$59^1,0)</f>
        <v>8400</v>
      </c>
      <c r="J39" s="29" t="n">
        <f aca="false">ROUND(D39*Paramètres!$B$58*Paramètres!$B$59^2,0)</f>
        <v>25200</v>
      </c>
      <c r="K39" s="29" t="n">
        <f aca="false">ROUND(D39*Paramètres!$B$58*Paramètres!$B$59^3,0)</f>
        <v>75600</v>
      </c>
      <c r="L39" s="29" t="n">
        <f aca="false">ROUND(D39*Paramètres!$B$58*Paramètres!$B$59^4,0)</f>
        <v>226800</v>
      </c>
      <c r="M39" s="29" t="n">
        <f aca="false">ROUND(D39*Paramètres!$B$58*Paramètres!$B$59^5,0)</f>
        <v>680400</v>
      </c>
    </row>
    <row r="40" customFormat="false" ht="15.75" hidden="false" customHeight="true" outlineLevel="0" collapsed="false">
      <c r="A40" s="71" t="n">
        <v>35</v>
      </c>
      <c r="B40" s="83" t="n">
        <f aca="false">(Paramètres!$B$5+(1-Paramètres!$B$5)*((A40-Paramètres!$B$7)/(Paramètres!$B$8-Paramètres!$B$7))^Paramètres!$B$6)</f>
        <v>0.313472973134794</v>
      </c>
      <c r="C40" s="29" t="n">
        <f aca="false">ROUND(Paramètres!$B$49*A40^Paramètres!$B$50,0)</f>
        <v>511</v>
      </c>
      <c r="D40" s="29" t="n">
        <f aca="false">ROUND(Paramètres!$B$53*A40^Paramètres!$B$54,0)</f>
        <v>364</v>
      </c>
      <c r="E40" s="29" t="n">
        <f aca="false">ROUND(C40*(Paramètres!$B$51+Paramètres!$B$52*A40),0)</f>
        <v>17630</v>
      </c>
      <c r="F40" s="29" t="n">
        <f aca="false">F39+E39</f>
        <v>205488</v>
      </c>
      <c r="G40" s="33" t="n">
        <f aca="false">E40/C40</f>
        <v>34.5009784735812</v>
      </c>
      <c r="H40" s="29" t="n">
        <f aca="false">ROUND(D40*Paramètres!$B$58*Paramètres!$B$59^0,0)</f>
        <v>2912</v>
      </c>
      <c r="I40" s="29" t="n">
        <f aca="false">ROUND(D40*Paramètres!$B$58*Paramètres!$B$59^1,0)</f>
        <v>8736</v>
      </c>
      <c r="J40" s="29" t="n">
        <f aca="false">ROUND(D40*Paramètres!$B$58*Paramètres!$B$59^2,0)</f>
        <v>26208</v>
      </c>
      <c r="K40" s="29" t="n">
        <f aca="false">ROUND(D40*Paramètres!$B$58*Paramètres!$B$59^3,0)</f>
        <v>78624</v>
      </c>
      <c r="L40" s="29" t="n">
        <f aca="false">ROUND(D40*Paramètres!$B$58*Paramètres!$B$59^4,0)</f>
        <v>235872</v>
      </c>
      <c r="M40" s="29" t="n">
        <f aca="false">ROUND(D40*Paramètres!$B$58*Paramètres!$B$59^5,0)</f>
        <v>707616</v>
      </c>
    </row>
    <row r="41" customFormat="false" ht="15.75" hidden="false" customHeight="true" outlineLevel="0" collapsed="false">
      <c r="A41" s="71" t="n">
        <v>36</v>
      </c>
      <c r="B41" s="83" t="n">
        <f aca="false">(Paramètres!$B$5+(1-Paramètres!$B$5)*((A41-Paramètres!$B$7)/(Paramètres!$B$8-Paramètres!$B$7))^Paramètres!$B$6)</f>
        <v>0.322799157663392</v>
      </c>
      <c r="C41" s="29" t="n">
        <f aca="false">ROUND(Paramètres!$B$49*A41^Paramètres!$B$50,0)</f>
        <v>529</v>
      </c>
      <c r="D41" s="29" t="n">
        <f aca="false">ROUND(Paramètres!$B$53*A41^Paramètres!$B$54,0)</f>
        <v>379</v>
      </c>
      <c r="E41" s="29" t="n">
        <f aca="false">ROUND(C41*(Paramètres!$B$51+Paramètres!$B$52*A41),0)</f>
        <v>18621</v>
      </c>
      <c r="F41" s="29" t="n">
        <f aca="false">F40+E40</f>
        <v>223118</v>
      </c>
      <c r="G41" s="33" t="n">
        <f aca="false">E41/C41</f>
        <v>35.2003780718337</v>
      </c>
      <c r="H41" s="29" t="n">
        <f aca="false">ROUND(D41*Paramètres!$B$58*Paramètres!$B$59^0,0)</f>
        <v>3032</v>
      </c>
      <c r="I41" s="29" t="n">
        <f aca="false">ROUND(D41*Paramètres!$B$58*Paramètres!$B$59^1,0)</f>
        <v>9096</v>
      </c>
      <c r="J41" s="29" t="n">
        <f aca="false">ROUND(D41*Paramètres!$B$58*Paramètres!$B$59^2,0)</f>
        <v>27288</v>
      </c>
      <c r="K41" s="29" t="n">
        <f aca="false">ROUND(D41*Paramètres!$B$58*Paramètres!$B$59^3,0)</f>
        <v>81864</v>
      </c>
      <c r="L41" s="29" t="n">
        <f aca="false">ROUND(D41*Paramètres!$B$58*Paramètres!$B$59^4,0)</f>
        <v>245592</v>
      </c>
      <c r="M41" s="29" t="n">
        <f aca="false">ROUND(D41*Paramètres!$B$58*Paramètres!$B$59^5,0)</f>
        <v>736776</v>
      </c>
    </row>
    <row r="42" customFormat="false" ht="15.75" hidden="false" customHeight="true" outlineLevel="0" collapsed="false">
      <c r="A42" s="71" t="n">
        <v>37</v>
      </c>
      <c r="B42" s="83" t="n">
        <f aca="false">(Paramètres!$B$5+(1-Paramètres!$B$5)*((A42-Paramètres!$B$7)/(Paramètres!$B$8-Paramètres!$B$7))^Paramètres!$B$6)</f>
        <v>0.332178793794652</v>
      </c>
      <c r="C42" s="29" t="n">
        <f aca="false">ROUND(Paramètres!$B$49*A42^Paramètres!$B$50,0)</f>
        <v>548</v>
      </c>
      <c r="D42" s="29" t="n">
        <f aca="false">ROUND(Paramètres!$B$53*A42^Paramètres!$B$54,0)</f>
        <v>393</v>
      </c>
      <c r="E42" s="29" t="n">
        <f aca="false">ROUND(C42*(Paramètres!$B$51+Paramètres!$B$52*A42),0)</f>
        <v>19673</v>
      </c>
      <c r="F42" s="29" t="n">
        <f aca="false">F41+E41</f>
        <v>241739</v>
      </c>
      <c r="G42" s="33" t="n">
        <f aca="false">E42/C42</f>
        <v>35.8996350364964</v>
      </c>
      <c r="H42" s="29" t="n">
        <f aca="false">ROUND(D42*Paramètres!$B$58*Paramètres!$B$59^0,0)</f>
        <v>3144</v>
      </c>
      <c r="I42" s="29" t="n">
        <f aca="false">ROUND(D42*Paramètres!$B$58*Paramètres!$B$59^1,0)</f>
        <v>9432</v>
      </c>
      <c r="J42" s="29" t="n">
        <f aca="false">ROUND(D42*Paramètres!$B$58*Paramètres!$B$59^2,0)</f>
        <v>28296</v>
      </c>
      <c r="K42" s="29" t="n">
        <f aca="false">ROUND(D42*Paramètres!$B$58*Paramètres!$B$59^3,0)</f>
        <v>84888</v>
      </c>
      <c r="L42" s="29" t="n">
        <f aca="false">ROUND(D42*Paramètres!$B$58*Paramètres!$B$59^4,0)</f>
        <v>254664</v>
      </c>
      <c r="M42" s="29" t="n">
        <f aca="false">ROUND(D42*Paramètres!$B$58*Paramètres!$B$59^5,0)</f>
        <v>763992</v>
      </c>
    </row>
    <row r="43" customFormat="false" ht="15.75" hidden="false" customHeight="true" outlineLevel="0" collapsed="false">
      <c r="A43" s="71" t="n">
        <v>38</v>
      </c>
      <c r="B43" s="83" t="n">
        <f aca="false">(Paramètres!$B$5+(1-Paramètres!$B$5)*((A43-Paramètres!$B$7)/(Paramètres!$B$8-Paramètres!$B$7))^Paramètres!$B$6)</f>
        <v>0.341610690097877</v>
      </c>
      <c r="C43" s="29" t="n">
        <f aca="false">ROUND(Paramètres!$B$49*A43^Paramètres!$B$50,0)</f>
        <v>566</v>
      </c>
      <c r="D43" s="29" t="n">
        <f aca="false">ROUND(Paramètres!$B$53*A43^Paramètres!$B$54,0)</f>
        <v>407</v>
      </c>
      <c r="E43" s="29" t="n">
        <f aca="false">ROUND(C43*(Paramètres!$B$51+Paramètres!$B$52*A43),0)</f>
        <v>20716</v>
      </c>
      <c r="F43" s="29" t="n">
        <f aca="false">F42+E42</f>
        <v>261412</v>
      </c>
      <c r="G43" s="33" t="n">
        <f aca="false">E43/C43</f>
        <v>36.6007067137809</v>
      </c>
      <c r="H43" s="29" t="n">
        <f aca="false">ROUND(D43*Paramètres!$B$58*Paramètres!$B$59^0,0)</f>
        <v>3256</v>
      </c>
      <c r="I43" s="29" t="n">
        <f aca="false">ROUND(D43*Paramètres!$B$58*Paramètres!$B$59^1,0)</f>
        <v>9768</v>
      </c>
      <c r="J43" s="29" t="n">
        <f aca="false">ROUND(D43*Paramètres!$B$58*Paramètres!$B$59^2,0)</f>
        <v>29304</v>
      </c>
      <c r="K43" s="29" t="n">
        <f aca="false">ROUND(D43*Paramètres!$B$58*Paramètres!$B$59^3,0)</f>
        <v>87912</v>
      </c>
      <c r="L43" s="29" t="n">
        <f aca="false">ROUND(D43*Paramètres!$B$58*Paramètres!$B$59^4,0)</f>
        <v>263736</v>
      </c>
      <c r="M43" s="29" t="n">
        <f aca="false">ROUND(D43*Paramètres!$B$58*Paramètres!$B$59^5,0)</f>
        <v>791208</v>
      </c>
    </row>
    <row r="44" customFormat="false" ht="15.75" hidden="false" customHeight="true" outlineLevel="0" collapsed="false">
      <c r="A44" s="71" t="n">
        <v>39</v>
      </c>
      <c r="B44" s="83" t="n">
        <f aca="false">(Paramètres!$B$5+(1-Paramètres!$B$5)*((A44-Paramètres!$B$7)/(Paramètres!$B$8-Paramètres!$B$7))^Paramètres!$B$6)</f>
        <v>0.351093713283426</v>
      </c>
      <c r="C44" s="29" t="n">
        <f aca="false">ROUND(Paramètres!$B$49*A44^Paramètres!$B$50,0)</f>
        <v>585</v>
      </c>
      <c r="D44" s="29" t="n">
        <f aca="false">ROUND(Paramètres!$B$53*A44^Paramètres!$B$54,0)</f>
        <v>422</v>
      </c>
      <c r="E44" s="29" t="n">
        <f aca="false">ROUND(C44*(Paramètres!$B$51+Paramètres!$B$52*A44),0)</f>
        <v>21821</v>
      </c>
      <c r="F44" s="29" t="n">
        <f aca="false">F43+E43</f>
        <v>282128</v>
      </c>
      <c r="G44" s="33" t="n">
        <f aca="false">E44/C44</f>
        <v>37.3008547008547</v>
      </c>
      <c r="H44" s="29" t="n">
        <f aca="false">ROUND(D44*Paramètres!$B$58*Paramètres!$B$59^0,0)</f>
        <v>3376</v>
      </c>
      <c r="I44" s="29" t="n">
        <f aca="false">ROUND(D44*Paramètres!$B$58*Paramètres!$B$59^1,0)</f>
        <v>10128</v>
      </c>
      <c r="J44" s="29" t="n">
        <f aca="false">ROUND(D44*Paramètres!$B$58*Paramètres!$B$59^2,0)</f>
        <v>30384</v>
      </c>
      <c r="K44" s="29" t="n">
        <f aca="false">ROUND(D44*Paramètres!$B$58*Paramètres!$B$59^3,0)</f>
        <v>91152</v>
      </c>
      <c r="L44" s="29" t="n">
        <f aca="false">ROUND(D44*Paramètres!$B$58*Paramètres!$B$59^4,0)</f>
        <v>273456</v>
      </c>
      <c r="M44" s="29" t="n">
        <f aca="false">ROUND(D44*Paramètres!$B$58*Paramètres!$B$59^5,0)</f>
        <v>820368</v>
      </c>
    </row>
    <row r="45" customFormat="false" ht="15.75" hidden="false" customHeight="true" outlineLevel="0" collapsed="false">
      <c r="A45" s="71" t="n">
        <v>40</v>
      </c>
      <c r="B45" s="83" t="n">
        <f aca="false">(Paramètres!$B$5+(1-Paramètres!$B$5)*((A45-Paramètres!$B$7)/(Paramètres!$B$8-Paramètres!$B$7))^Paramètres!$B$6)</f>
        <v>0.360626783905164</v>
      </c>
      <c r="C45" s="29" t="n">
        <f aca="false">ROUND(Paramètres!$B$49*A45^Paramètres!$B$50,0)</f>
        <v>604</v>
      </c>
      <c r="D45" s="29" t="n">
        <f aca="false">ROUND(Paramètres!$B$53*A45^Paramètres!$B$54,0)</f>
        <v>436</v>
      </c>
      <c r="E45" s="29" t="n">
        <f aca="false">ROUND(C45*(Paramètres!$B$51+Paramètres!$B$52*A45),0)</f>
        <v>22952</v>
      </c>
      <c r="F45" s="29" t="n">
        <f aca="false">F44+E44</f>
        <v>303949</v>
      </c>
      <c r="G45" s="33" t="n">
        <f aca="false">E45/C45</f>
        <v>38</v>
      </c>
      <c r="H45" s="29" t="n">
        <f aca="false">ROUND(D45*Paramètres!$B$58*Paramètres!$B$59^0,0)</f>
        <v>3488</v>
      </c>
      <c r="I45" s="29" t="n">
        <f aca="false">ROUND(D45*Paramètres!$B$58*Paramètres!$B$59^1,0)</f>
        <v>10464</v>
      </c>
      <c r="J45" s="29" t="n">
        <f aca="false">ROUND(D45*Paramètres!$B$58*Paramètres!$B$59^2,0)</f>
        <v>31392</v>
      </c>
      <c r="K45" s="29" t="n">
        <f aca="false">ROUND(D45*Paramètres!$B$58*Paramètres!$B$59^3,0)</f>
        <v>94176</v>
      </c>
      <c r="L45" s="29" t="n">
        <f aca="false">ROUND(D45*Paramètres!$B$58*Paramètres!$B$59^4,0)</f>
        <v>282528</v>
      </c>
      <c r="M45" s="29" t="n">
        <f aca="false">ROUND(D45*Paramètres!$B$58*Paramètres!$B$59^5,0)</f>
        <v>847584</v>
      </c>
    </row>
    <row r="46" customFormat="false" ht="15.75" hidden="false" customHeight="true" outlineLevel="0" collapsed="false">
      <c r="A46" s="71" t="n">
        <v>41</v>
      </c>
      <c r="B46" s="83" t="n">
        <f aca="false">(Paramètres!$B$5+(1-Paramètres!$B$5)*((A46-Paramètres!$B$7)/(Paramètres!$B$8-Paramètres!$B$7))^Paramètres!$B$6)</f>
        <v>0.370208872482984</v>
      </c>
      <c r="C46" s="29" t="n">
        <f aca="false">ROUND(Paramètres!$B$49*A46^Paramètres!$B$50,0)</f>
        <v>622</v>
      </c>
      <c r="D46" s="29" t="n">
        <f aca="false">ROUND(Paramètres!$B$53*A46^Paramètres!$B$54,0)</f>
        <v>451</v>
      </c>
      <c r="E46" s="29" t="n">
        <f aca="false">ROUND(C46*(Paramètres!$B$51+Paramètres!$B$52*A46),0)</f>
        <v>24071</v>
      </c>
      <c r="F46" s="29" t="n">
        <f aca="false">F45+E45</f>
        <v>326901</v>
      </c>
      <c r="G46" s="33" t="n">
        <f aca="false">E46/C46</f>
        <v>38.6993569131833</v>
      </c>
      <c r="H46" s="29" t="n">
        <f aca="false">ROUND(D46*Paramètres!$B$58*Paramètres!$B$59^0,0)</f>
        <v>3608</v>
      </c>
      <c r="I46" s="29" t="n">
        <f aca="false">ROUND(D46*Paramètres!$B$58*Paramètres!$B$59^1,0)</f>
        <v>10824</v>
      </c>
      <c r="J46" s="29" t="n">
        <f aca="false">ROUND(D46*Paramètres!$B$58*Paramètres!$B$59^2,0)</f>
        <v>32472</v>
      </c>
      <c r="K46" s="29" t="n">
        <f aca="false">ROUND(D46*Paramètres!$B$58*Paramètres!$B$59^3,0)</f>
        <v>97416</v>
      </c>
      <c r="L46" s="29" t="n">
        <f aca="false">ROUND(D46*Paramètres!$B$58*Paramètres!$B$59^4,0)</f>
        <v>292248</v>
      </c>
      <c r="M46" s="29" t="n">
        <f aca="false">ROUND(D46*Paramètres!$B$58*Paramètres!$B$59^5,0)</f>
        <v>876744</v>
      </c>
    </row>
    <row r="47" customFormat="false" ht="15.75" hidden="false" customHeight="true" outlineLevel="0" collapsed="false">
      <c r="A47" s="71" t="n">
        <v>42</v>
      </c>
      <c r="B47" s="83" t="n">
        <f aca="false">(Paramètres!$B$5+(1-Paramètres!$B$5)*((A47-Paramètres!$B$7)/(Paramètres!$B$8-Paramètres!$B$7))^Paramètres!$B$6)</f>
        <v>0.379838995994824</v>
      </c>
      <c r="C47" s="29" t="n">
        <f aca="false">ROUND(Paramètres!$B$49*A47^Paramètres!$B$50,0)</f>
        <v>642</v>
      </c>
      <c r="D47" s="29" t="n">
        <f aca="false">ROUND(Paramètres!$B$53*A47^Paramètres!$B$54,0)</f>
        <v>466</v>
      </c>
      <c r="E47" s="29" t="n">
        <f aca="false">ROUND(C47*(Paramètres!$B$51+Paramètres!$B$52*A47),0)</f>
        <v>25295</v>
      </c>
      <c r="F47" s="29" t="n">
        <f aca="false">F46+E46</f>
        <v>350972</v>
      </c>
      <c r="G47" s="33" t="n">
        <f aca="false">E47/C47</f>
        <v>39.4003115264798</v>
      </c>
      <c r="H47" s="29" t="n">
        <f aca="false">ROUND(D47*Paramètres!$B$58*Paramètres!$B$59^0,0)</f>
        <v>3728</v>
      </c>
      <c r="I47" s="29" t="n">
        <f aca="false">ROUND(D47*Paramètres!$B$58*Paramètres!$B$59^1,0)</f>
        <v>11184</v>
      </c>
      <c r="J47" s="29" t="n">
        <f aca="false">ROUND(D47*Paramètres!$B$58*Paramètres!$B$59^2,0)</f>
        <v>33552</v>
      </c>
      <c r="K47" s="29" t="n">
        <f aca="false">ROUND(D47*Paramètres!$B$58*Paramètres!$B$59^3,0)</f>
        <v>100656</v>
      </c>
      <c r="L47" s="29" t="n">
        <f aca="false">ROUND(D47*Paramètres!$B$58*Paramètres!$B$59^4,0)</f>
        <v>301968</v>
      </c>
      <c r="M47" s="29" t="n">
        <f aca="false">ROUND(D47*Paramètres!$B$58*Paramètres!$B$59^5,0)</f>
        <v>905904</v>
      </c>
    </row>
    <row r="48" customFormat="false" ht="15.75" hidden="false" customHeight="true" outlineLevel="0" collapsed="false">
      <c r="A48" s="71" t="n">
        <v>43</v>
      </c>
      <c r="B48" s="83" t="n">
        <f aca="false">(Paramètres!$B$5+(1-Paramètres!$B$5)*((A48-Paramètres!$B$7)/(Paramètres!$B$8-Paramètres!$B$7))^Paramètres!$B$6)</f>
        <v>0.389516214694797</v>
      </c>
      <c r="C48" s="29" t="n">
        <f aca="false">ROUND(Paramètres!$B$49*A48^Paramètres!$B$50,0)</f>
        <v>661</v>
      </c>
      <c r="D48" s="29" t="n">
        <f aca="false">ROUND(Paramètres!$B$53*A48^Paramètres!$B$54,0)</f>
        <v>481</v>
      </c>
      <c r="E48" s="29" t="n">
        <f aca="false">ROUND(C48*(Paramètres!$B$51+Paramètres!$B$52*A48),0)</f>
        <v>26506</v>
      </c>
      <c r="F48" s="29" t="n">
        <f aca="false">F47+E47</f>
        <v>376267</v>
      </c>
      <c r="G48" s="33" t="n">
        <f aca="false">E48/C48</f>
        <v>40.0998487140696</v>
      </c>
      <c r="H48" s="29" t="n">
        <f aca="false">ROUND(D48*Paramètres!$B$58*Paramètres!$B$59^0,0)</f>
        <v>3848</v>
      </c>
      <c r="I48" s="29" t="n">
        <f aca="false">ROUND(D48*Paramètres!$B$58*Paramètres!$B$59^1,0)</f>
        <v>11544</v>
      </c>
      <c r="J48" s="29" t="n">
        <f aca="false">ROUND(D48*Paramètres!$B$58*Paramètres!$B$59^2,0)</f>
        <v>34632</v>
      </c>
      <c r="K48" s="29" t="n">
        <f aca="false">ROUND(D48*Paramètres!$B$58*Paramètres!$B$59^3,0)</f>
        <v>103896</v>
      </c>
      <c r="L48" s="29" t="n">
        <f aca="false">ROUND(D48*Paramètres!$B$58*Paramètres!$B$59^4,0)</f>
        <v>311688</v>
      </c>
      <c r="M48" s="29" t="n">
        <f aca="false">ROUND(D48*Paramètres!$B$58*Paramètres!$B$59^5,0)</f>
        <v>935064</v>
      </c>
    </row>
    <row r="49" customFormat="false" ht="15.75" hidden="false" customHeight="true" outlineLevel="0" collapsed="false">
      <c r="A49" s="71" t="n">
        <v>44</v>
      </c>
      <c r="B49" s="83" t="n">
        <f aca="false">(Paramètres!$B$5+(1-Paramètres!$B$5)*((A49-Paramètres!$B$7)/(Paramètres!$B$8-Paramètres!$B$7))^Paramètres!$B$6)</f>
        <v>0.399239629220033</v>
      </c>
      <c r="C49" s="29" t="n">
        <f aca="false">ROUND(Paramètres!$B$49*A49^Paramètres!$B$50,0)</f>
        <v>680</v>
      </c>
      <c r="D49" s="29" t="n">
        <f aca="false">ROUND(Paramètres!$B$53*A49^Paramètres!$B$54,0)</f>
        <v>496</v>
      </c>
      <c r="E49" s="29" t="n">
        <f aca="false">ROUND(C49*(Paramètres!$B$51+Paramètres!$B$52*A49),0)</f>
        <v>27744</v>
      </c>
      <c r="F49" s="29" t="n">
        <f aca="false">F48+E48</f>
        <v>402773</v>
      </c>
      <c r="G49" s="33" t="n">
        <f aca="false">E49/C49</f>
        <v>40.8</v>
      </c>
      <c r="H49" s="29" t="n">
        <f aca="false">ROUND(D49*Paramètres!$B$58*Paramètres!$B$59^0,0)</f>
        <v>3968</v>
      </c>
      <c r="I49" s="29" t="n">
        <f aca="false">ROUND(D49*Paramètres!$B$58*Paramètres!$B$59^1,0)</f>
        <v>11904</v>
      </c>
      <c r="J49" s="29" t="n">
        <f aca="false">ROUND(D49*Paramètres!$B$58*Paramètres!$B$59^2,0)</f>
        <v>35712</v>
      </c>
      <c r="K49" s="29" t="n">
        <f aca="false">ROUND(D49*Paramètres!$B$58*Paramètres!$B$59^3,0)</f>
        <v>107136</v>
      </c>
      <c r="L49" s="29" t="n">
        <f aca="false">ROUND(D49*Paramètres!$B$58*Paramètres!$B$59^4,0)</f>
        <v>321408</v>
      </c>
      <c r="M49" s="29" t="n">
        <f aca="false">ROUND(D49*Paramètres!$B$58*Paramètres!$B$59^5,0)</f>
        <v>964224</v>
      </c>
    </row>
    <row r="50" customFormat="false" ht="15.75" hidden="false" customHeight="true" outlineLevel="0" collapsed="false">
      <c r="A50" s="71" t="n">
        <v>45</v>
      </c>
      <c r="B50" s="83" t="n">
        <f aca="false">(Paramètres!$B$5+(1-Paramètres!$B$5)*((A50-Paramètres!$B$7)/(Paramètres!$B$8-Paramètres!$B$7))^Paramètres!$B$6)</f>
        <v>0.409008377953926</v>
      </c>
      <c r="C50" s="29" t="n">
        <f aca="false">ROUND(Paramètres!$B$49*A50^Paramètres!$B$50,0)</f>
        <v>699</v>
      </c>
      <c r="D50" s="29" t="n">
        <f aca="false">ROUND(Paramètres!$B$53*A50^Paramètres!$B$54,0)</f>
        <v>512</v>
      </c>
      <c r="E50" s="29" t="n">
        <f aca="false">ROUND(C50*(Paramètres!$B$51+Paramètres!$B$52*A50),0)</f>
        <v>29009</v>
      </c>
      <c r="F50" s="29" t="n">
        <f aca="false">F49+E49</f>
        <v>430517</v>
      </c>
      <c r="G50" s="33" t="n">
        <f aca="false">E50/C50</f>
        <v>41.5007153075823</v>
      </c>
      <c r="H50" s="29" t="n">
        <f aca="false">ROUND(D50*Paramètres!$B$58*Paramètres!$B$59^0,0)</f>
        <v>4096</v>
      </c>
      <c r="I50" s="29" t="n">
        <f aca="false">ROUND(D50*Paramètres!$B$58*Paramètres!$B$59^1,0)</f>
        <v>12288</v>
      </c>
      <c r="J50" s="29" t="n">
        <f aca="false">ROUND(D50*Paramètres!$B$58*Paramètres!$B$59^2,0)</f>
        <v>36864</v>
      </c>
      <c r="K50" s="29" t="n">
        <f aca="false">ROUND(D50*Paramètres!$B$58*Paramètres!$B$59^3,0)</f>
        <v>110592</v>
      </c>
      <c r="L50" s="29" t="n">
        <f aca="false">ROUND(D50*Paramètres!$B$58*Paramètres!$B$59^4,0)</f>
        <v>331776</v>
      </c>
      <c r="M50" s="29" t="n">
        <f aca="false">ROUND(D50*Paramètres!$B$58*Paramètres!$B$59^5,0)</f>
        <v>995328</v>
      </c>
    </row>
    <row r="51" customFormat="false" ht="15.75" hidden="false" customHeight="true" outlineLevel="0" collapsed="false">
      <c r="A51" s="71" t="n">
        <v>46</v>
      </c>
      <c r="B51" s="83" t="n">
        <f aca="false">(Paramètres!$B$5+(1-Paramètres!$B$5)*((A51-Paramètres!$B$7)/(Paramètres!$B$8-Paramètres!$B$7))^Paramètres!$B$6)</f>
        <v>0.418821634617731</v>
      </c>
      <c r="C51" s="29" t="n">
        <f aca="false">ROUND(Paramètres!$B$49*A51^Paramètres!$B$50,0)</f>
        <v>719</v>
      </c>
      <c r="D51" s="29" t="n">
        <f aca="false">ROUND(Paramètres!$B$53*A51^Paramètres!$B$54,0)</f>
        <v>527</v>
      </c>
      <c r="E51" s="29" t="n">
        <f aca="false">ROUND(C51*(Paramètres!$B$51+Paramètres!$B$52*A51),0)</f>
        <v>30342</v>
      </c>
      <c r="F51" s="29" t="n">
        <f aca="false">F50+E50</f>
        <v>459526</v>
      </c>
      <c r="G51" s="33" t="n">
        <f aca="false">E51/C51</f>
        <v>42.2002781641168</v>
      </c>
      <c r="H51" s="29" t="n">
        <f aca="false">ROUND(D51*Paramètres!$B$58*Paramètres!$B$59^0,0)</f>
        <v>4216</v>
      </c>
      <c r="I51" s="29" t="n">
        <f aca="false">ROUND(D51*Paramètres!$B$58*Paramètres!$B$59^1,0)</f>
        <v>12648</v>
      </c>
      <c r="J51" s="29" t="n">
        <f aca="false">ROUND(D51*Paramètres!$B$58*Paramètres!$B$59^2,0)</f>
        <v>37944</v>
      </c>
      <c r="K51" s="29" t="n">
        <f aca="false">ROUND(D51*Paramètres!$B$58*Paramètres!$B$59^3,0)</f>
        <v>113832</v>
      </c>
      <c r="L51" s="29" t="n">
        <f aca="false">ROUND(D51*Paramètres!$B$58*Paramètres!$B$59^4,0)</f>
        <v>341496</v>
      </c>
      <c r="M51" s="29" t="n">
        <f aca="false">ROUND(D51*Paramètres!$B$58*Paramètres!$B$59^5,0)</f>
        <v>1024488</v>
      </c>
    </row>
    <row r="52" customFormat="false" ht="15.75" hidden="false" customHeight="true" outlineLevel="0" collapsed="false">
      <c r="A52" s="71" t="n">
        <v>47</v>
      </c>
      <c r="B52" s="83" t="n">
        <f aca="false">(Paramètres!$B$5+(1-Paramètres!$B$5)*((A52-Paramètres!$B$7)/(Paramètres!$B$8-Paramètres!$B$7))^Paramètres!$B$6)</f>
        <v>0.428678606066074</v>
      </c>
      <c r="C52" s="29" t="n">
        <f aca="false">ROUND(Paramètres!$B$49*A52^Paramètres!$B$50,0)</f>
        <v>738</v>
      </c>
      <c r="D52" s="29" t="n">
        <f aca="false">ROUND(Paramètres!$B$53*A52^Paramètres!$B$54,0)</f>
        <v>543</v>
      </c>
      <c r="E52" s="29" t="n">
        <f aca="false">ROUND(C52*(Paramètres!$B$51+Paramètres!$B$52*A52),0)</f>
        <v>31660</v>
      </c>
      <c r="F52" s="29" t="n">
        <f aca="false">F51+E51</f>
        <v>489868</v>
      </c>
      <c r="G52" s="33" t="n">
        <f aca="false">E52/C52</f>
        <v>42.89972899729</v>
      </c>
      <c r="H52" s="29" t="n">
        <f aca="false">ROUND(D52*Paramètres!$B$58*Paramètres!$B$59^0,0)</f>
        <v>4344</v>
      </c>
      <c r="I52" s="29" t="n">
        <f aca="false">ROUND(D52*Paramètres!$B$58*Paramètres!$B$59^1,0)</f>
        <v>13032</v>
      </c>
      <c r="J52" s="29" t="n">
        <f aca="false">ROUND(D52*Paramètres!$B$58*Paramètres!$B$59^2,0)</f>
        <v>39096</v>
      </c>
      <c r="K52" s="29" t="n">
        <f aca="false">ROUND(D52*Paramètres!$B$58*Paramètres!$B$59^3,0)</f>
        <v>117288</v>
      </c>
      <c r="L52" s="29" t="n">
        <f aca="false">ROUND(D52*Paramètres!$B$58*Paramètres!$B$59^4,0)</f>
        <v>351864</v>
      </c>
      <c r="M52" s="29" t="n">
        <f aca="false">ROUND(D52*Paramètres!$B$58*Paramètres!$B$59^5,0)</f>
        <v>1055592</v>
      </c>
    </row>
    <row r="53" customFormat="false" ht="15.75" hidden="false" customHeight="true" outlineLevel="0" collapsed="false">
      <c r="A53" s="71" t="n">
        <v>48</v>
      </c>
      <c r="B53" s="83" t="n">
        <f aca="false">(Paramètres!$B$5+(1-Paramètres!$B$5)*((A53-Paramètres!$B$7)/(Paramètres!$B$8-Paramètres!$B$7))^Paramètres!$B$6)</f>
        <v>0.438578530265059</v>
      </c>
      <c r="C53" s="29" t="n">
        <f aca="false">ROUND(Paramètres!$B$49*A53^Paramètres!$B$50,0)</f>
        <v>758</v>
      </c>
      <c r="D53" s="29" t="n">
        <f aca="false">ROUND(Paramètres!$B$53*A53^Paramètres!$B$54,0)</f>
        <v>558</v>
      </c>
      <c r="E53" s="29" t="n">
        <f aca="false">ROUND(C53*(Paramètres!$B$51+Paramètres!$B$52*A53),0)</f>
        <v>33049</v>
      </c>
      <c r="F53" s="29" t="n">
        <f aca="false">F52+E52</f>
        <v>521528</v>
      </c>
      <c r="G53" s="33" t="n">
        <f aca="false">E53/C53</f>
        <v>43.6002638522428</v>
      </c>
      <c r="H53" s="29" t="n">
        <f aca="false">ROUND(D53*Paramètres!$B$58*Paramètres!$B$59^0,0)</f>
        <v>4464</v>
      </c>
      <c r="I53" s="29" t="n">
        <f aca="false">ROUND(D53*Paramètres!$B$58*Paramètres!$B$59^1,0)</f>
        <v>13392</v>
      </c>
      <c r="J53" s="29" t="n">
        <f aca="false">ROUND(D53*Paramètres!$B$58*Paramètres!$B$59^2,0)</f>
        <v>40176</v>
      </c>
      <c r="K53" s="29" t="n">
        <f aca="false">ROUND(D53*Paramètres!$B$58*Paramètres!$B$59^3,0)</f>
        <v>120528</v>
      </c>
      <c r="L53" s="29" t="n">
        <f aca="false">ROUND(D53*Paramètres!$B$58*Paramètres!$B$59^4,0)</f>
        <v>361584</v>
      </c>
      <c r="M53" s="29" t="n">
        <f aca="false">ROUND(D53*Paramètres!$B$58*Paramètres!$B$59^5,0)</f>
        <v>1084752</v>
      </c>
    </row>
    <row r="54" customFormat="false" ht="15.75" hidden="false" customHeight="true" outlineLevel="0" collapsed="false">
      <c r="A54" s="71" t="n">
        <v>49</v>
      </c>
      <c r="B54" s="83" t="n">
        <f aca="false">(Paramètres!$B$5+(1-Paramètres!$B$5)*((A54-Paramètres!$B$7)/(Paramètres!$B$8-Paramètres!$B$7))^Paramètres!$B$6)</f>
        <v>0.448520674434256</v>
      </c>
      <c r="C54" s="29" t="n">
        <f aca="false">ROUND(Paramètres!$B$49*A54^Paramètres!$B$50,0)</f>
        <v>778</v>
      </c>
      <c r="D54" s="29" t="n">
        <f aca="false">ROUND(Paramètres!$B$53*A54^Paramètres!$B$54,0)</f>
        <v>574</v>
      </c>
      <c r="E54" s="29" t="n">
        <f aca="false">ROUND(C54*(Paramètres!$B$51+Paramètres!$B$52*A54),0)</f>
        <v>34465</v>
      </c>
      <c r="F54" s="29" t="n">
        <f aca="false">F53+E53</f>
        <v>554577</v>
      </c>
      <c r="G54" s="33" t="n">
        <f aca="false">E54/C54</f>
        <v>44.2994858611825</v>
      </c>
      <c r="H54" s="29" t="n">
        <f aca="false">ROUND(D54*Paramètres!$B$58*Paramètres!$B$59^0,0)</f>
        <v>4592</v>
      </c>
      <c r="I54" s="29" t="n">
        <f aca="false">ROUND(D54*Paramètres!$B$58*Paramètres!$B$59^1,0)</f>
        <v>13776</v>
      </c>
      <c r="J54" s="29" t="n">
        <f aca="false">ROUND(D54*Paramètres!$B$58*Paramètres!$B$59^2,0)</f>
        <v>41328</v>
      </c>
      <c r="K54" s="29" t="n">
        <f aca="false">ROUND(D54*Paramètres!$B$58*Paramètres!$B$59^3,0)</f>
        <v>123984</v>
      </c>
      <c r="L54" s="29" t="n">
        <f aca="false">ROUND(D54*Paramètres!$B$58*Paramètres!$B$59^4,0)</f>
        <v>371952</v>
      </c>
      <c r="M54" s="29" t="n">
        <f aca="false">ROUND(D54*Paramètres!$B$58*Paramètres!$B$59^5,0)</f>
        <v>1115856</v>
      </c>
    </row>
    <row r="55" customFormat="false" ht="15.75" hidden="false" customHeight="true" outlineLevel="0" collapsed="false">
      <c r="A55" s="71" t="n">
        <v>50</v>
      </c>
      <c r="B55" s="83" t="n">
        <f aca="false">(Paramètres!$B$5+(1-Paramètres!$B$5)*((A55-Paramètres!$B$7)/(Paramètres!$B$8-Paramètres!$B$7))^Paramètres!$B$6)</f>
        <v>0.458504333336152</v>
      </c>
      <c r="C55" s="29" t="n">
        <f aca="false">ROUND(Paramètres!$B$49*A55^Paramètres!$B$50,0)</f>
        <v>798</v>
      </c>
      <c r="D55" s="29" t="n">
        <f aca="false">ROUND(Paramètres!$B$53*A55^Paramètres!$B$54,0)</f>
        <v>590</v>
      </c>
      <c r="E55" s="29" t="n">
        <f aca="false">ROUND(C55*(Paramètres!$B$51+Paramètres!$B$52*A55),0)</f>
        <v>35910</v>
      </c>
      <c r="F55" s="29" t="n">
        <f aca="false">F54+E54</f>
        <v>589042</v>
      </c>
      <c r="G55" s="33" t="n">
        <f aca="false">E55/C55</f>
        <v>45</v>
      </c>
      <c r="H55" s="29" t="n">
        <f aca="false">ROUND(D55*Paramètres!$B$58*Paramètres!$B$59^0,0)</f>
        <v>4720</v>
      </c>
      <c r="I55" s="29" t="n">
        <f aca="false">ROUND(D55*Paramètres!$B$58*Paramètres!$B$59^1,0)</f>
        <v>14160</v>
      </c>
      <c r="J55" s="29" t="n">
        <f aca="false">ROUND(D55*Paramètres!$B$58*Paramètres!$B$59^2,0)</f>
        <v>42480</v>
      </c>
      <c r="K55" s="29" t="n">
        <f aca="false">ROUND(D55*Paramètres!$B$58*Paramètres!$B$59^3,0)</f>
        <v>127440</v>
      </c>
      <c r="L55" s="29" t="n">
        <f aca="false">ROUND(D55*Paramètres!$B$58*Paramètres!$B$59^4,0)</f>
        <v>382320</v>
      </c>
      <c r="M55" s="29" t="n">
        <f aca="false">ROUND(D55*Paramètres!$B$58*Paramètres!$B$59^5,0)</f>
        <v>1146960</v>
      </c>
    </row>
    <row r="56" customFormat="false" ht="15.75" hidden="false" customHeight="true" outlineLevel="0" collapsed="false">
      <c r="A56" s="71" t="n">
        <v>51</v>
      </c>
      <c r="B56" s="83" t="n">
        <f aca="false">(Paramètres!$B$5+(1-Paramètres!$B$5)*((A56-Paramètres!$B$7)/(Paramètres!$B$8-Paramètres!$B$7))^Paramètres!$B$6)</f>
        <v>0.468528827698579</v>
      </c>
      <c r="C56" s="29" t="n">
        <f aca="false">ROUND(Paramètres!$B$49*A56^Paramètres!$B$50,0)</f>
        <v>818</v>
      </c>
      <c r="D56" s="29" t="n">
        <f aca="false">ROUND(Paramètres!$B$53*A56^Paramètres!$B$54,0)</f>
        <v>606</v>
      </c>
      <c r="E56" s="29" t="n">
        <f aca="false">ROUND(C56*(Paramètres!$B$51+Paramètres!$B$52*A56),0)</f>
        <v>37383</v>
      </c>
      <c r="F56" s="29" t="n">
        <f aca="false">F55+E55</f>
        <v>624952</v>
      </c>
      <c r="G56" s="33" t="n">
        <f aca="false">E56/C56</f>
        <v>45.700488997555</v>
      </c>
      <c r="H56" s="29" t="n">
        <f aca="false">ROUND(D56*Paramètres!$B$58*Paramètres!$B$59^0,0)</f>
        <v>4848</v>
      </c>
      <c r="I56" s="29" t="n">
        <f aca="false">ROUND(D56*Paramètres!$B$58*Paramètres!$B$59^1,0)</f>
        <v>14544</v>
      </c>
      <c r="J56" s="29" t="n">
        <f aca="false">ROUND(D56*Paramètres!$B$58*Paramètres!$B$59^2,0)</f>
        <v>43632</v>
      </c>
      <c r="K56" s="29" t="n">
        <f aca="false">ROUND(D56*Paramètres!$B$58*Paramètres!$B$59^3,0)</f>
        <v>130896</v>
      </c>
      <c r="L56" s="29" t="n">
        <f aca="false">ROUND(D56*Paramètres!$B$58*Paramètres!$B$59^4,0)</f>
        <v>392688</v>
      </c>
      <c r="M56" s="29" t="n">
        <f aca="false">ROUND(D56*Paramètres!$B$58*Paramètres!$B$59^5,0)</f>
        <v>1178064</v>
      </c>
    </row>
    <row r="57" customFormat="false" ht="15.75" hidden="false" customHeight="true" outlineLevel="0" collapsed="false">
      <c r="A57" s="71" t="n">
        <v>52</v>
      </c>
      <c r="B57" s="83" t="n">
        <f aca="false">(Paramètres!$B$5+(1-Paramètres!$B$5)*((A57-Paramètres!$B$7)/(Paramètres!$B$8-Paramètres!$B$7))^Paramètres!$B$6)</f>
        <v>0.47859350275732</v>
      </c>
      <c r="C57" s="29" t="n">
        <f aca="false">ROUND(Paramètres!$B$49*A57^Paramètres!$B$50,0)</f>
        <v>838</v>
      </c>
      <c r="D57" s="29" t="n">
        <f aca="false">ROUND(Paramètres!$B$53*A57^Paramètres!$B$54,0)</f>
        <v>622</v>
      </c>
      <c r="E57" s="29" t="n">
        <f aca="false">ROUND(C57*(Paramètres!$B$51+Paramètres!$B$52*A57),0)</f>
        <v>38883</v>
      </c>
      <c r="F57" s="29" t="n">
        <f aca="false">F56+E56</f>
        <v>662335</v>
      </c>
      <c r="G57" s="33" t="n">
        <f aca="false">E57/C57</f>
        <v>46.3997613365155</v>
      </c>
      <c r="H57" s="29" t="n">
        <f aca="false">ROUND(D57*Paramètres!$B$58*Paramètres!$B$59^0,0)</f>
        <v>4976</v>
      </c>
      <c r="I57" s="29" t="n">
        <f aca="false">ROUND(D57*Paramètres!$B$58*Paramètres!$B$59^1,0)</f>
        <v>14928</v>
      </c>
      <c r="J57" s="29" t="n">
        <f aca="false">ROUND(D57*Paramètres!$B$58*Paramètres!$B$59^2,0)</f>
        <v>44784</v>
      </c>
      <c r="K57" s="29" t="n">
        <f aca="false">ROUND(D57*Paramètres!$B$58*Paramètres!$B$59^3,0)</f>
        <v>134352</v>
      </c>
      <c r="L57" s="29" t="n">
        <f aca="false">ROUND(D57*Paramètres!$B$58*Paramètres!$B$59^4,0)</f>
        <v>403056</v>
      </c>
      <c r="M57" s="29" t="n">
        <f aca="false">ROUND(D57*Paramètres!$B$58*Paramètres!$B$59^5,0)</f>
        <v>1209168</v>
      </c>
    </row>
    <row r="58" customFormat="false" ht="15.75" hidden="false" customHeight="true" outlineLevel="0" collapsed="false">
      <c r="A58" s="71" t="n">
        <v>53</v>
      </c>
      <c r="B58" s="83" t="n">
        <f aca="false">(Paramètres!$B$5+(1-Paramètres!$B$5)*((A58-Paramètres!$B$7)/(Paramètres!$B$8-Paramètres!$B$7))^Paramètres!$B$6)</f>
        <v>0.488697726907557</v>
      </c>
      <c r="C58" s="29" t="n">
        <f aca="false">ROUND(Paramètres!$B$49*A58^Paramètres!$B$50,0)</f>
        <v>858</v>
      </c>
      <c r="D58" s="29" t="n">
        <f aca="false">ROUND(Paramètres!$B$53*A58^Paramètres!$B$54,0)</f>
        <v>638</v>
      </c>
      <c r="E58" s="29" t="n">
        <f aca="false">ROUND(C58*(Paramètres!$B$51+Paramètres!$B$52*A58),0)</f>
        <v>40412</v>
      </c>
      <c r="F58" s="29" t="n">
        <f aca="false">F57+E57</f>
        <v>701218</v>
      </c>
      <c r="G58" s="33" t="n">
        <f aca="false">E58/C58</f>
        <v>47.1002331002331</v>
      </c>
      <c r="H58" s="29" t="n">
        <f aca="false">ROUND(D58*Paramètres!$B$58*Paramètres!$B$59^0,0)</f>
        <v>5104</v>
      </c>
      <c r="I58" s="29" t="n">
        <f aca="false">ROUND(D58*Paramètres!$B$58*Paramètres!$B$59^1,0)</f>
        <v>15312</v>
      </c>
      <c r="J58" s="29" t="n">
        <f aca="false">ROUND(D58*Paramètres!$B$58*Paramètres!$B$59^2,0)</f>
        <v>45936</v>
      </c>
      <c r="K58" s="29" t="n">
        <f aca="false">ROUND(D58*Paramètres!$B$58*Paramètres!$B$59^3,0)</f>
        <v>137808</v>
      </c>
      <c r="L58" s="29" t="n">
        <f aca="false">ROUND(D58*Paramètres!$B$58*Paramètres!$B$59^4,0)</f>
        <v>413424</v>
      </c>
      <c r="M58" s="29" t="n">
        <f aca="false">ROUND(D58*Paramètres!$B$58*Paramètres!$B$59^5,0)</f>
        <v>1240272</v>
      </c>
    </row>
    <row r="59" customFormat="false" ht="15.75" hidden="false" customHeight="true" outlineLevel="0" collapsed="false">
      <c r="A59" s="71" t="n">
        <v>54</v>
      </c>
      <c r="B59" s="83" t="n">
        <f aca="false">(Paramètres!$B$5+(1-Paramètres!$B$5)*((A59-Paramètres!$B$7)/(Paramètres!$B$8-Paramètres!$B$7))^Paramètres!$B$6)</f>
        <v>0.498840890454092</v>
      </c>
      <c r="C59" s="29" t="n">
        <f aca="false">ROUND(Paramètres!$B$49*A59^Paramètres!$B$50,0)</f>
        <v>878</v>
      </c>
      <c r="D59" s="29" t="n">
        <f aca="false">ROUND(Paramètres!$B$53*A59^Paramètres!$B$54,0)</f>
        <v>654</v>
      </c>
      <c r="E59" s="29" t="n">
        <f aca="false">ROUND(C59*(Paramètres!$B$51+Paramètres!$B$52*A59),0)</f>
        <v>41968</v>
      </c>
      <c r="F59" s="29" t="n">
        <f aca="false">F58+E58</f>
        <v>741630</v>
      </c>
      <c r="G59" s="33" t="n">
        <f aca="false">E59/C59</f>
        <v>47.7995444191344</v>
      </c>
      <c r="H59" s="29" t="n">
        <f aca="false">ROUND(D59*Paramètres!$B$58*Paramètres!$B$59^0,0)</f>
        <v>5232</v>
      </c>
      <c r="I59" s="29" t="n">
        <f aca="false">ROUND(D59*Paramètres!$B$58*Paramètres!$B$59^1,0)</f>
        <v>15696</v>
      </c>
      <c r="J59" s="29" t="n">
        <f aca="false">ROUND(D59*Paramètres!$B$58*Paramètres!$B$59^2,0)</f>
        <v>47088</v>
      </c>
      <c r="K59" s="29" t="n">
        <f aca="false">ROUND(D59*Paramètres!$B$58*Paramètres!$B$59^3,0)</f>
        <v>141264</v>
      </c>
      <c r="L59" s="29" t="n">
        <f aca="false">ROUND(D59*Paramètres!$B$58*Paramètres!$B$59^4,0)</f>
        <v>423792</v>
      </c>
      <c r="M59" s="29" t="n">
        <f aca="false">ROUND(D59*Paramètres!$B$58*Paramètres!$B$59^5,0)</f>
        <v>1271376</v>
      </c>
    </row>
    <row r="60" customFormat="false" ht="15.75" hidden="false" customHeight="true" outlineLevel="0" collapsed="false">
      <c r="A60" s="71" t="n">
        <v>55</v>
      </c>
      <c r="B60" s="83" t="n">
        <f aca="false">(Paramètres!$B$5+(1-Paramètres!$B$5)*((A60-Paramètres!$B$7)/(Paramètres!$B$8-Paramètres!$B$7))^Paramètres!$B$6)</f>
        <v>0.509022404451374</v>
      </c>
      <c r="C60" s="29" t="n">
        <f aca="false">ROUND(Paramètres!$B$49*A60^Paramètres!$B$50,0)</f>
        <v>899</v>
      </c>
      <c r="D60" s="29" t="n">
        <f aca="false">ROUND(Paramètres!$B$53*A60^Paramètres!$B$54,0)</f>
        <v>671</v>
      </c>
      <c r="E60" s="29" t="n">
        <f aca="false">ROUND(C60*(Paramètres!$B$51+Paramètres!$B$52*A60),0)</f>
        <v>43602</v>
      </c>
      <c r="F60" s="29" t="n">
        <f aca="false">F59+E59</f>
        <v>783598</v>
      </c>
      <c r="G60" s="33" t="n">
        <f aca="false">E60/C60</f>
        <v>48.5005561735261</v>
      </c>
      <c r="H60" s="29" t="n">
        <f aca="false">ROUND(D60*Paramètres!$B$58*Paramètres!$B$59^0,0)</f>
        <v>5368</v>
      </c>
      <c r="I60" s="29" t="n">
        <f aca="false">ROUND(D60*Paramètres!$B$58*Paramètres!$B$59^1,0)</f>
        <v>16104</v>
      </c>
      <c r="J60" s="29" t="n">
        <f aca="false">ROUND(D60*Paramètres!$B$58*Paramètres!$B$59^2,0)</f>
        <v>48312</v>
      </c>
      <c r="K60" s="29" t="n">
        <f aca="false">ROUND(D60*Paramètres!$B$58*Paramètres!$B$59^3,0)</f>
        <v>144936</v>
      </c>
      <c r="L60" s="29" t="n">
        <f aca="false">ROUND(D60*Paramètres!$B$58*Paramètres!$B$59^4,0)</f>
        <v>434808</v>
      </c>
      <c r="M60" s="29" t="n">
        <f aca="false">ROUND(D60*Paramètres!$B$58*Paramètres!$B$59^5,0)</f>
        <v>1304424</v>
      </c>
    </row>
    <row r="61" customFormat="false" ht="15.75" hidden="false" customHeight="true" outlineLevel="0" collapsed="false">
      <c r="A61" s="71" t="n">
        <v>56</v>
      </c>
      <c r="B61" s="83" t="n">
        <f aca="false">(Paramètres!$B$5+(1-Paramètres!$B$5)*((A61-Paramètres!$B$7)/(Paramètres!$B$8-Paramètres!$B$7))^Paramètres!$B$6)</f>
        <v>0.519241699625328</v>
      </c>
      <c r="C61" s="29" t="n">
        <f aca="false">ROUND(Paramètres!$B$49*A61^Paramètres!$B$50,0)</f>
        <v>919</v>
      </c>
      <c r="D61" s="29" t="n">
        <f aca="false">ROUND(Paramètres!$B$53*A61^Paramètres!$B$54,0)</f>
        <v>687</v>
      </c>
      <c r="E61" s="29" t="n">
        <f aca="false">ROUND(C61*(Paramètres!$B$51+Paramètres!$B$52*A61),0)</f>
        <v>45215</v>
      </c>
      <c r="F61" s="29" t="n">
        <f aca="false">F60+E60</f>
        <v>827200</v>
      </c>
      <c r="G61" s="33" t="n">
        <f aca="false">E61/C61</f>
        <v>49.2002176278564</v>
      </c>
      <c r="H61" s="29" t="n">
        <f aca="false">ROUND(D61*Paramètres!$B$58*Paramètres!$B$59^0,0)</f>
        <v>5496</v>
      </c>
      <c r="I61" s="29" t="n">
        <f aca="false">ROUND(D61*Paramètres!$B$58*Paramètres!$B$59^1,0)</f>
        <v>16488</v>
      </c>
      <c r="J61" s="29" t="n">
        <f aca="false">ROUND(D61*Paramètres!$B$58*Paramètres!$B$59^2,0)</f>
        <v>49464</v>
      </c>
      <c r="K61" s="29" t="n">
        <f aca="false">ROUND(D61*Paramètres!$B$58*Paramètres!$B$59^3,0)</f>
        <v>148392</v>
      </c>
      <c r="L61" s="29" t="n">
        <f aca="false">ROUND(D61*Paramètres!$B$58*Paramètres!$B$59^4,0)</f>
        <v>445176</v>
      </c>
      <c r="M61" s="29" t="n">
        <f aca="false">ROUND(D61*Paramètres!$B$58*Paramètres!$B$59^5,0)</f>
        <v>1335528</v>
      </c>
    </row>
    <row r="62" customFormat="false" ht="15.75" hidden="false" customHeight="true" outlineLevel="0" collapsed="false">
      <c r="A62" s="71" t="n">
        <v>57</v>
      </c>
      <c r="B62" s="83" t="n">
        <f aca="false">(Paramètres!$B$5+(1-Paramètres!$B$5)*((A62-Paramètres!$B$7)/(Paramètres!$B$8-Paramètres!$B$7))^Paramètres!$B$6)</f>
        <v>0.529498225369835</v>
      </c>
      <c r="C62" s="29" t="n">
        <f aca="false">ROUND(Paramètres!$B$49*A62^Paramètres!$B$50,0)</f>
        <v>940</v>
      </c>
      <c r="D62" s="29" t="n">
        <f aca="false">ROUND(Paramètres!$B$53*A62^Paramètres!$B$54,0)</f>
        <v>704</v>
      </c>
      <c r="E62" s="29" t="n">
        <f aca="false">ROUND(C62*(Paramètres!$B$51+Paramètres!$B$52*A62),0)</f>
        <v>46906</v>
      </c>
      <c r="F62" s="29" t="n">
        <f aca="false">F61+E61</f>
        <v>872415</v>
      </c>
      <c r="G62" s="33" t="n">
        <f aca="false">E62/C62</f>
        <v>49.9</v>
      </c>
      <c r="H62" s="29" t="n">
        <f aca="false">ROUND(D62*Paramètres!$B$58*Paramètres!$B$59^0,0)</f>
        <v>5632</v>
      </c>
      <c r="I62" s="29" t="n">
        <f aca="false">ROUND(D62*Paramètres!$B$58*Paramètres!$B$59^1,0)</f>
        <v>16896</v>
      </c>
      <c r="J62" s="29" t="n">
        <f aca="false">ROUND(D62*Paramètres!$B$58*Paramètres!$B$59^2,0)</f>
        <v>50688</v>
      </c>
      <c r="K62" s="29" t="n">
        <f aca="false">ROUND(D62*Paramètres!$B$58*Paramètres!$B$59^3,0)</f>
        <v>152064</v>
      </c>
      <c r="L62" s="29" t="n">
        <f aca="false">ROUND(D62*Paramètres!$B$58*Paramètres!$B$59^4,0)</f>
        <v>456192</v>
      </c>
      <c r="M62" s="29" t="n">
        <f aca="false">ROUND(D62*Paramètres!$B$58*Paramètres!$B$59^5,0)</f>
        <v>1368576</v>
      </c>
    </row>
    <row r="63" customFormat="false" ht="15.75" hidden="false" customHeight="true" outlineLevel="0" collapsed="false">
      <c r="A63" s="71" t="n">
        <v>58</v>
      </c>
      <c r="B63" s="83" t="n">
        <f aca="false">(Paramètres!$B$5+(1-Paramètres!$B$5)*((A63-Paramètres!$B$7)/(Paramètres!$B$8-Paramètres!$B$7))^Paramètres!$B$6)</f>
        <v>0.539791448811454</v>
      </c>
      <c r="C63" s="29" t="n">
        <f aca="false">ROUND(Paramètres!$B$49*A63^Paramètres!$B$50,0)</f>
        <v>960</v>
      </c>
      <c r="D63" s="29" t="n">
        <f aca="false">ROUND(Paramètres!$B$53*A63^Paramètres!$B$54,0)</f>
        <v>721</v>
      </c>
      <c r="E63" s="29" t="n">
        <f aca="false">ROUND(C63*(Paramètres!$B$51+Paramètres!$B$52*A63),0)</f>
        <v>48576</v>
      </c>
      <c r="F63" s="29" t="n">
        <f aca="false">F62+E62</f>
        <v>919321</v>
      </c>
      <c r="G63" s="33" t="n">
        <f aca="false">E63/C63</f>
        <v>50.6</v>
      </c>
      <c r="H63" s="29" t="n">
        <f aca="false">ROUND(D63*Paramètres!$B$58*Paramètres!$B$59^0,0)</f>
        <v>5768</v>
      </c>
      <c r="I63" s="29" t="n">
        <f aca="false">ROUND(D63*Paramètres!$B$58*Paramètres!$B$59^1,0)</f>
        <v>17304</v>
      </c>
      <c r="J63" s="29" t="n">
        <f aca="false">ROUND(D63*Paramètres!$B$58*Paramètres!$B$59^2,0)</f>
        <v>51912</v>
      </c>
      <c r="K63" s="29" t="n">
        <f aca="false">ROUND(D63*Paramètres!$B$58*Paramètres!$B$59^3,0)</f>
        <v>155736</v>
      </c>
      <c r="L63" s="29" t="n">
        <f aca="false">ROUND(D63*Paramètres!$B$58*Paramètres!$B$59^4,0)</f>
        <v>467208</v>
      </c>
      <c r="M63" s="29" t="n">
        <f aca="false">ROUND(D63*Paramètres!$B$58*Paramètres!$B$59^5,0)</f>
        <v>1401624</v>
      </c>
    </row>
    <row r="64" customFormat="false" ht="15.75" hidden="false" customHeight="true" outlineLevel="0" collapsed="false">
      <c r="A64" s="71" t="n">
        <v>59</v>
      </c>
      <c r="B64" s="83" t="n">
        <f aca="false">(Paramètres!$B$5+(1-Paramètres!$B$5)*((A64-Paramètres!$B$7)/(Paramètres!$B$8-Paramètres!$B$7))^Paramètres!$B$6)</f>
        <v>0.550120853936616</v>
      </c>
      <c r="C64" s="29" t="n">
        <f aca="false">ROUND(Paramètres!$B$49*A64^Paramètres!$B$50,0)</f>
        <v>981</v>
      </c>
      <c r="D64" s="29" t="n">
        <f aca="false">ROUND(Paramètres!$B$53*A64^Paramètres!$B$54,0)</f>
        <v>738</v>
      </c>
      <c r="E64" s="29" t="n">
        <f aca="false">ROUND(C64*(Paramètres!$B$51+Paramètres!$B$52*A64),0)</f>
        <v>50325</v>
      </c>
      <c r="F64" s="29" t="n">
        <f aca="false">F63+E63</f>
        <v>967897</v>
      </c>
      <c r="G64" s="33" t="n">
        <f aca="false">E64/C64</f>
        <v>51.2996941896025</v>
      </c>
      <c r="H64" s="29" t="n">
        <f aca="false">ROUND(D64*Paramètres!$B$58*Paramètres!$B$59^0,0)</f>
        <v>5904</v>
      </c>
      <c r="I64" s="29" t="n">
        <f aca="false">ROUND(D64*Paramètres!$B$58*Paramètres!$B$59^1,0)</f>
        <v>17712</v>
      </c>
      <c r="J64" s="29" t="n">
        <f aca="false">ROUND(D64*Paramètres!$B$58*Paramètres!$B$59^2,0)</f>
        <v>53136</v>
      </c>
      <c r="K64" s="29" t="n">
        <f aca="false">ROUND(D64*Paramètres!$B$58*Paramètres!$B$59^3,0)</f>
        <v>159408</v>
      </c>
      <c r="L64" s="29" t="n">
        <f aca="false">ROUND(D64*Paramètres!$B$58*Paramètres!$B$59^4,0)</f>
        <v>478224</v>
      </c>
      <c r="M64" s="29" t="n">
        <f aca="false">ROUND(D64*Paramètres!$B$58*Paramètres!$B$59^5,0)</f>
        <v>1434672</v>
      </c>
    </row>
    <row r="65" customFormat="false" ht="15.75" hidden="false" customHeight="true" outlineLevel="0" collapsed="false">
      <c r="A65" s="71" t="n">
        <v>60</v>
      </c>
      <c r="B65" s="83" t="n">
        <f aca="false">(Paramètres!$B$5+(1-Paramètres!$B$5)*((A65-Paramètres!$B$7)/(Paramètres!$B$8-Paramètres!$B$7))^Paramètres!$B$6)</f>
        <v>0.560485940776121</v>
      </c>
      <c r="C65" s="29" t="n">
        <f aca="false">ROUND(Paramètres!$B$49*A65^Paramètres!$B$50,0)</f>
        <v>1002</v>
      </c>
      <c r="D65" s="29" t="n">
        <f aca="false">ROUND(Paramètres!$B$53*A65^Paramètres!$B$54,0)</f>
        <v>754</v>
      </c>
      <c r="E65" s="29" t="n">
        <f aca="false">ROUND(C65*(Paramètres!$B$51+Paramètres!$B$52*A65),0)</f>
        <v>52104</v>
      </c>
      <c r="F65" s="29" t="n">
        <f aca="false">F64+E64</f>
        <v>1018222</v>
      </c>
      <c r="G65" s="33" t="n">
        <f aca="false">E65/C65</f>
        <v>52</v>
      </c>
      <c r="H65" s="29" t="n">
        <f aca="false">ROUND(D65*Paramètres!$B$58*Paramètres!$B$59^0,0)</f>
        <v>6032</v>
      </c>
      <c r="I65" s="29" t="n">
        <f aca="false">ROUND(D65*Paramètres!$B$58*Paramètres!$B$59^1,0)</f>
        <v>18096</v>
      </c>
      <c r="J65" s="29" t="n">
        <f aca="false">ROUND(D65*Paramètres!$B$58*Paramètres!$B$59^2,0)</f>
        <v>54288</v>
      </c>
      <c r="K65" s="29" t="n">
        <f aca="false">ROUND(D65*Paramètres!$B$58*Paramètres!$B$59^3,0)</f>
        <v>162864</v>
      </c>
      <c r="L65" s="29" t="n">
        <f aca="false">ROUND(D65*Paramètres!$B$58*Paramètres!$B$59^4,0)</f>
        <v>488592</v>
      </c>
      <c r="M65" s="29" t="n">
        <f aca="false">ROUND(D65*Paramètres!$B$58*Paramètres!$B$59^5,0)</f>
        <v>1465776</v>
      </c>
    </row>
    <row r="66" customFormat="false" ht="15.75" hidden="false" customHeight="true" outlineLevel="0" collapsed="false">
      <c r="A66" s="71" t="n">
        <v>61</v>
      </c>
      <c r="B66" s="83" t="n">
        <f aca="false">(Paramètres!$B$5+(1-Paramètres!$B$5)*((A66-Paramètres!$B$7)/(Paramètres!$B$8-Paramètres!$B$7))^Paramètres!$B$6)</f>
        <v>0.57088622464226</v>
      </c>
      <c r="C66" s="29" t="n">
        <f aca="false">ROUND(Paramètres!$B$49*A66^Paramètres!$B$50,0)</f>
        <v>1023</v>
      </c>
      <c r="D66" s="29" t="n">
        <f aca="false">ROUND(Paramètres!$B$53*A66^Paramètres!$B$54,0)</f>
        <v>771</v>
      </c>
      <c r="E66" s="29" t="n">
        <f aca="false">ROUND(C66*(Paramètres!$B$51+Paramètres!$B$52*A66),0)</f>
        <v>53912</v>
      </c>
      <c r="F66" s="29" t="n">
        <f aca="false">F65+E65</f>
        <v>1070326</v>
      </c>
      <c r="G66" s="33" t="n">
        <f aca="false">E66/C66</f>
        <v>52.6999022482894</v>
      </c>
      <c r="H66" s="29" t="n">
        <f aca="false">ROUND(D66*Paramètres!$B$58*Paramètres!$B$59^0,0)</f>
        <v>6168</v>
      </c>
      <c r="I66" s="29" t="n">
        <f aca="false">ROUND(D66*Paramètres!$B$58*Paramètres!$B$59^1,0)</f>
        <v>18504</v>
      </c>
      <c r="J66" s="29" t="n">
        <f aca="false">ROUND(D66*Paramètres!$B$58*Paramètres!$B$59^2,0)</f>
        <v>55512</v>
      </c>
      <c r="K66" s="29" t="n">
        <f aca="false">ROUND(D66*Paramètres!$B$58*Paramètres!$B$59^3,0)</f>
        <v>166536</v>
      </c>
      <c r="L66" s="29" t="n">
        <f aca="false">ROUND(D66*Paramètres!$B$58*Paramètres!$B$59^4,0)</f>
        <v>499608</v>
      </c>
      <c r="M66" s="29" t="n">
        <f aca="false">ROUND(D66*Paramètres!$B$58*Paramètres!$B$59^5,0)</f>
        <v>1498824</v>
      </c>
    </row>
    <row r="67" customFormat="false" ht="15.75" hidden="false" customHeight="true" outlineLevel="0" collapsed="false">
      <c r="A67" s="71" t="n">
        <v>62</v>
      </c>
      <c r="B67" s="83" t="n">
        <f aca="false">(Paramètres!$B$5+(1-Paramètres!$B$5)*((A67-Paramètres!$B$7)/(Paramètres!$B$8-Paramètres!$B$7))^Paramètres!$B$6)</f>
        <v>0.581321235414347</v>
      </c>
      <c r="C67" s="29" t="n">
        <f aca="false">ROUND(Paramètres!$B$49*A67^Paramètres!$B$50,0)</f>
        <v>1044</v>
      </c>
      <c r="D67" s="29" t="n">
        <f aca="false">ROUND(Paramètres!$B$53*A67^Paramètres!$B$54,0)</f>
        <v>789</v>
      </c>
      <c r="E67" s="29" t="n">
        <f aca="false">ROUND(C67*(Paramètres!$B$51+Paramètres!$B$52*A67),0)</f>
        <v>55750</v>
      </c>
      <c r="F67" s="29" t="n">
        <f aca="false">F66+E66</f>
        <v>1124238</v>
      </c>
      <c r="G67" s="33" t="n">
        <f aca="false">E67/C67</f>
        <v>53.4003831417625</v>
      </c>
      <c r="H67" s="29" t="n">
        <f aca="false">ROUND(D67*Paramètres!$B$58*Paramètres!$B$59^0,0)</f>
        <v>6312</v>
      </c>
      <c r="I67" s="29" t="n">
        <f aca="false">ROUND(D67*Paramètres!$B$58*Paramètres!$B$59^1,0)</f>
        <v>18936</v>
      </c>
      <c r="J67" s="29" t="n">
        <f aca="false">ROUND(D67*Paramètres!$B$58*Paramètres!$B$59^2,0)</f>
        <v>56808</v>
      </c>
      <c r="K67" s="29" t="n">
        <f aca="false">ROUND(D67*Paramètres!$B$58*Paramètres!$B$59^3,0)</f>
        <v>170424</v>
      </c>
      <c r="L67" s="29" t="n">
        <f aca="false">ROUND(D67*Paramètres!$B$58*Paramètres!$B$59^4,0)</f>
        <v>511272</v>
      </c>
      <c r="M67" s="29" t="n">
        <f aca="false">ROUND(D67*Paramètres!$B$58*Paramètres!$B$59^5,0)</f>
        <v>1533816</v>
      </c>
    </row>
    <row r="68" customFormat="false" ht="15.75" hidden="false" customHeight="true" outlineLevel="0" collapsed="false">
      <c r="A68" s="71" t="n">
        <v>63</v>
      </c>
      <c r="B68" s="83" t="n">
        <f aca="false">(Paramètres!$B$5+(1-Paramètres!$B$5)*((A68-Paramètres!$B$7)/(Paramètres!$B$8-Paramètres!$B$7))^Paramètres!$B$6)</f>
        <v>0.591790516868843</v>
      </c>
      <c r="C68" s="29" t="n">
        <f aca="false">ROUND(Paramètres!$B$49*A68^Paramètres!$B$50,0)</f>
        <v>1065</v>
      </c>
      <c r="D68" s="29" t="n">
        <f aca="false">ROUND(Paramètres!$B$53*A68^Paramètres!$B$54,0)</f>
        <v>806</v>
      </c>
      <c r="E68" s="29" t="n">
        <f aca="false">ROUND(C68*(Paramètres!$B$51+Paramètres!$B$52*A68),0)</f>
        <v>57616</v>
      </c>
      <c r="F68" s="29" t="n">
        <f aca="false">F67+E67</f>
        <v>1179988</v>
      </c>
      <c r="G68" s="33" t="n">
        <f aca="false">E68/C68</f>
        <v>54.0995305164319</v>
      </c>
      <c r="H68" s="29" t="n">
        <f aca="false">ROUND(D68*Paramètres!$B$58*Paramètres!$B$59^0,0)</f>
        <v>6448</v>
      </c>
      <c r="I68" s="29" t="n">
        <f aca="false">ROUND(D68*Paramètres!$B$58*Paramètres!$B$59^1,0)</f>
        <v>19344</v>
      </c>
      <c r="J68" s="29" t="n">
        <f aca="false">ROUND(D68*Paramètres!$B$58*Paramètres!$B$59^2,0)</f>
        <v>58032</v>
      </c>
      <c r="K68" s="29" t="n">
        <f aca="false">ROUND(D68*Paramètres!$B$58*Paramètres!$B$59^3,0)</f>
        <v>174096</v>
      </c>
      <c r="L68" s="29" t="n">
        <f aca="false">ROUND(D68*Paramètres!$B$58*Paramètres!$B$59^4,0)</f>
        <v>522288</v>
      </c>
      <c r="M68" s="29" t="n">
        <f aca="false">ROUND(D68*Paramètres!$B$58*Paramètres!$B$59^5,0)</f>
        <v>1566864</v>
      </c>
    </row>
    <row r="69" customFormat="false" ht="15.75" hidden="false" customHeight="true" outlineLevel="0" collapsed="false">
      <c r="A69" s="71" t="n">
        <v>64</v>
      </c>
      <c r="B69" s="83" t="n">
        <f aca="false">(Paramètres!$B$5+(1-Paramètres!$B$5)*((A69-Paramètres!$B$7)/(Paramètres!$B$8-Paramètres!$B$7))^Paramètres!$B$6)</f>
        <v>0.602293626050607</v>
      </c>
      <c r="C69" s="29" t="n">
        <f aca="false">ROUND(Paramètres!$B$49*A69^Paramètres!$B$50,0)</f>
        <v>1086</v>
      </c>
      <c r="D69" s="29" t="n">
        <f aca="false">ROUND(Paramètres!$B$53*A69^Paramètres!$B$54,0)</f>
        <v>823</v>
      </c>
      <c r="E69" s="29" t="n">
        <f aca="false">ROUND(C69*(Paramètres!$B$51+Paramètres!$B$52*A69),0)</f>
        <v>59513</v>
      </c>
      <c r="F69" s="29" t="n">
        <f aca="false">F68+E68</f>
        <v>1237604</v>
      </c>
      <c r="G69" s="33" t="n">
        <f aca="false">E69/C69</f>
        <v>54.8001841620626</v>
      </c>
      <c r="H69" s="29" t="n">
        <f aca="false">ROUND(D69*Paramètres!$B$58*Paramètres!$B$59^0,0)</f>
        <v>6584</v>
      </c>
      <c r="I69" s="29" t="n">
        <f aca="false">ROUND(D69*Paramètres!$B$58*Paramètres!$B$59^1,0)</f>
        <v>19752</v>
      </c>
      <c r="J69" s="29" t="n">
        <f aca="false">ROUND(D69*Paramètres!$B$58*Paramètres!$B$59^2,0)</f>
        <v>59256</v>
      </c>
      <c r="K69" s="29" t="n">
        <f aca="false">ROUND(D69*Paramètres!$B$58*Paramètres!$B$59^3,0)</f>
        <v>177768</v>
      </c>
      <c r="L69" s="29" t="n">
        <f aca="false">ROUND(D69*Paramètres!$B$58*Paramètres!$B$59^4,0)</f>
        <v>533304</v>
      </c>
      <c r="M69" s="29" t="n">
        <f aca="false">ROUND(D69*Paramètres!$B$58*Paramètres!$B$59^5,0)</f>
        <v>1599912</v>
      </c>
    </row>
    <row r="70" customFormat="false" ht="15.75" hidden="false" customHeight="true" outlineLevel="0" collapsed="false">
      <c r="A70" s="71" t="n">
        <v>65</v>
      </c>
      <c r="B70" s="83" t="n">
        <f aca="false">(Paramètres!$B$5+(1-Paramètres!$B$5)*((A70-Paramètres!$B$7)/(Paramètres!$B$8-Paramètres!$B$7))^Paramètres!$B$6)</f>
        <v>0.612830132682154</v>
      </c>
      <c r="C70" s="29" t="n">
        <f aca="false">ROUND(Paramètres!$B$49*A70^Paramètres!$B$50,0)</f>
        <v>1107</v>
      </c>
      <c r="D70" s="29" t="n">
        <f aca="false">ROUND(Paramètres!$B$53*A70^Paramètres!$B$54,0)</f>
        <v>841</v>
      </c>
      <c r="E70" s="29" t="n">
        <f aca="false">ROUND(C70*(Paramètres!$B$51+Paramètres!$B$52*A70),0)</f>
        <v>61439</v>
      </c>
      <c r="F70" s="29" t="n">
        <f aca="false">F69+E69</f>
        <v>1297117</v>
      </c>
      <c r="G70" s="33" t="n">
        <f aca="false">E70/C70</f>
        <v>55.5004516711834</v>
      </c>
      <c r="H70" s="29" t="n">
        <f aca="false">ROUND(D70*Paramètres!$B$58*Paramètres!$B$59^0,0)</f>
        <v>6728</v>
      </c>
      <c r="I70" s="29" t="n">
        <f aca="false">ROUND(D70*Paramètres!$B$58*Paramètres!$B$59^1,0)</f>
        <v>20184</v>
      </c>
      <c r="J70" s="29" t="n">
        <f aca="false">ROUND(D70*Paramètres!$B$58*Paramètres!$B$59^2,0)</f>
        <v>60552</v>
      </c>
      <c r="K70" s="29" t="n">
        <f aca="false">ROUND(D70*Paramètres!$B$58*Paramètres!$B$59^3,0)</f>
        <v>181656</v>
      </c>
      <c r="L70" s="29" t="n">
        <f aca="false">ROUND(D70*Paramètres!$B$58*Paramètres!$B$59^4,0)</f>
        <v>544968</v>
      </c>
      <c r="M70" s="29" t="n">
        <f aca="false">ROUND(D70*Paramètres!$B$58*Paramètres!$B$59^5,0)</f>
        <v>1634904</v>
      </c>
    </row>
    <row r="71" customFormat="false" ht="15.75" hidden="false" customHeight="true" outlineLevel="0" collapsed="false">
      <c r="A71" s="71" t="n">
        <v>66</v>
      </c>
      <c r="B71" s="83" t="n">
        <f aca="false">(Paramètres!$B$5+(1-Paramètres!$B$5)*((A71-Paramètres!$B$7)/(Paramètres!$B$8-Paramètres!$B$7))^Paramètres!$B$6)</f>
        <v>0.623399618608033</v>
      </c>
      <c r="C71" s="29" t="n">
        <f aca="false">ROUND(Paramètres!$B$49*A71^Paramètres!$B$50,0)</f>
        <v>1129</v>
      </c>
      <c r="D71" s="29" t="n">
        <f aca="false">ROUND(Paramètres!$B$53*A71^Paramètres!$B$54,0)</f>
        <v>858</v>
      </c>
      <c r="E71" s="29" t="n">
        <f aca="false">ROUND(C71*(Paramètres!$B$51+Paramètres!$B$52*A71),0)</f>
        <v>63450</v>
      </c>
      <c r="F71" s="29" t="n">
        <f aca="false">F70+E70</f>
        <v>1358556</v>
      </c>
      <c r="G71" s="33" t="n">
        <f aca="false">E71/C71</f>
        <v>56.2001771479185</v>
      </c>
      <c r="H71" s="29" t="n">
        <f aca="false">ROUND(D71*Paramètres!$B$58*Paramètres!$B$59^0,0)</f>
        <v>6864</v>
      </c>
      <c r="I71" s="29" t="n">
        <f aca="false">ROUND(D71*Paramètres!$B$58*Paramètres!$B$59^1,0)</f>
        <v>20592</v>
      </c>
      <c r="J71" s="29" t="n">
        <f aca="false">ROUND(D71*Paramètres!$B$58*Paramètres!$B$59^2,0)</f>
        <v>61776</v>
      </c>
      <c r="K71" s="29" t="n">
        <f aca="false">ROUND(D71*Paramètres!$B$58*Paramètres!$B$59^3,0)</f>
        <v>185328</v>
      </c>
      <c r="L71" s="29" t="n">
        <f aca="false">ROUND(D71*Paramètres!$B$58*Paramètres!$B$59^4,0)</f>
        <v>555984</v>
      </c>
      <c r="M71" s="29" t="n">
        <f aca="false">ROUND(D71*Paramètres!$B$58*Paramètres!$B$59^5,0)</f>
        <v>1667952</v>
      </c>
    </row>
    <row r="72" customFormat="false" ht="15.75" hidden="false" customHeight="true" outlineLevel="0" collapsed="false">
      <c r="A72" s="71" t="n">
        <v>67</v>
      </c>
      <c r="B72" s="83" t="n">
        <f aca="false">(Paramètres!$B$5+(1-Paramètres!$B$5)*((A72-Paramètres!$B$7)/(Paramètres!$B$8-Paramètres!$B$7))^Paramètres!$B$6)</f>
        <v>0.634001677271761</v>
      </c>
      <c r="C72" s="29" t="n">
        <f aca="false">ROUND(Paramètres!$B$49*A72^Paramètres!$B$50,0)</f>
        <v>1150</v>
      </c>
      <c r="D72" s="29" t="n">
        <f aca="false">ROUND(Paramètres!$B$53*A72^Paramètres!$B$54,0)</f>
        <v>876</v>
      </c>
      <c r="E72" s="29" t="n">
        <f aca="false">ROUND(C72*(Paramètres!$B$51+Paramètres!$B$52*A72),0)</f>
        <v>65435</v>
      </c>
      <c r="F72" s="29" t="n">
        <f aca="false">F71+E71</f>
        <v>1422006</v>
      </c>
      <c r="G72" s="33" t="n">
        <f aca="false">E72/C72</f>
        <v>56.9</v>
      </c>
      <c r="H72" s="29" t="n">
        <f aca="false">ROUND(D72*Paramètres!$B$58*Paramètres!$B$59^0,0)</f>
        <v>7008</v>
      </c>
      <c r="I72" s="29" t="n">
        <f aca="false">ROUND(D72*Paramètres!$B$58*Paramètres!$B$59^1,0)</f>
        <v>21024</v>
      </c>
      <c r="J72" s="29" t="n">
        <f aca="false">ROUND(D72*Paramètres!$B$58*Paramètres!$B$59^2,0)</f>
        <v>63072</v>
      </c>
      <c r="K72" s="29" t="n">
        <f aca="false">ROUND(D72*Paramètres!$B$58*Paramètres!$B$59^3,0)</f>
        <v>189216</v>
      </c>
      <c r="L72" s="29" t="n">
        <f aca="false">ROUND(D72*Paramètres!$B$58*Paramètres!$B$59^4,0)</f>
        <v>567648</v>
      </c>
      <c r="M72" s="29" t="n">
        <f aca="false">ROUND(D72*Paramètres!$B$58*Paramètres!$B$59^5,0)</f>
        <v>1702944</v>
      </c>
    </row>
    <row r="73" customFormat="false" ht="15.75" hidden="false" customHeight="true" outlineLevel="0" collapsed="false">
      <c r="A73" s="71" t="n">
        <v>68</v>
      </c>
      <c r="B73" s="83" t="n">
        <f aca="false">(Paramètres!$B$5+(1-Paramètres!$B$5)*((A73-Paramètres!$B$7)/(Paramètres!$B$8-Paramètres!$B$7))^Paramètres!$B$6)</f>
        <v>0.644635913222915</v>
      </c>
      <c r="C73" s="29" t="n">
        <f aca="false">ROUND(Paramètres!$B$49*A73^Paramètres!$B$50,0)</f>
        <v>1172</v>
      </c>
      <c r="D73" s="29" t="n">
        <f aca="false">ROUND(Paramètres!$B$53*A73^Paramètres!$B$54,0)</f>
        <v>893</v>
      </c>
      <c r="E73" s="29" t="n">
        <f aca="false">ROUND(C73*(Paramètres!$B$51+Paramètres!$B$52*A73),0)</f>
        <v>67507</v>
      </c>
      <c r="F73" s="29" t="n">
        <f aca="false">F72+E72</f>
        <v>1487441</v>
      </c>
      <c r="G73" s="33" t="n">
        <f aca="false">E73/C73</f>
        <v>57.5998293515358</v>
      </c>
      <c r="H73" s="29" t="n">
        <f aca="false">ROUND(D73*Paramètres!$B$58*Paramètres!$B$59^0,0)</f>
        <v>7144</v>
      </c>
      <c r="I73" s="29" t="n">
        <f aca="false">ROUND(D73*Paramètres!$B$58*Paramètres!$B$59^1,0)</f>
        <v>21432</v>
      </c>
      <c r="J73" s="29" t="n">
        <f aca="false">ROUND(D73*Paramètres!$B$58*Paramètres!$B$59^2,0)</f>
        <v>64296</v>
      </c>
      <c r="K73" s="29" t="n">
        <f aca="false">ROUND(D73*Paramètres!$B$58*Paramètres!$B$59^3,0)</f>
        <v>192888</v>
      </c>
      <c r="L73" s="29" t="n">
        <f aca="false">ROUND(D73*Paramètres!$B$58*Paramètres!$B$59^4,0)</f>
        <v>578664</v>
      </c>
      <c r="M73" s="29" t="n">
        <f aca="false">ROUND(D73*Paramètres!$B$58*Paramètres!$B$59^5,0)</f>
        <v>1735992</v>
      </c>
    </row>
    <row r="74" customFormat="false" ht="15.75" hidden="false" customHeight="true" outlineLevel="0" collapsed="false">
      <c r="A74" s="71" t="n">
        <v>69</v>
      </c>
      <c r="B74" s="83" t="n">
        <f aca="false">(Paramètres!$B$5+(1-Paramètres!$B$5)*((A74-Paramètres!$B$7)/(Paramètres!$B$8-Paramètres!$B$7))^Paramètres!$B$6)</f>
        <v>0.655301941652231</v>
      </c>
      <c r="C74" s="29" t="n">
        <f aca="false">ROUND(Paramètres!$B$49*A74^Paramètres!$B$50,0)</f>
        <v>1193</v>
      </c>
      <c r="D74" s="29" t="n">
        <f aca="false">ROUND(Paramètres!$B$53*A74^Paramètres!$B$54,0)</f>
        <v>911</v>
      </c>
      <c r="E74" s="29" t="n">
        <f aca="false">ROUND(C74*(Paramètres!$B$51+Paramètres!$B$52*A74),0)</f>
        <v>69552</v>
      </c>
      <c r="F74" s="29" t="n">
        <f aca="false">F73+E73</f>
        <v>1554948</v>
      </c>
      <c r="G74" s="33" t="n">
        <f aca="false">E74/C74</f>
        <v>58.3000838222967</v>
      </c>
      <c r="H74" s="29" t="n">
        <f aca="false">ROUND(D74*Paramètres!$B$58*Paramètres!$B$59^0,0)</f>
        <v>7288</v>
      </c>
      <c r="I74" s="29" t="n">
        <f aca="false">ROUND(D74*Paramètres!$B$58*Paramètres!$B$59^1,0)</f>
        <v>21864</v>
      </c>
      <c r="J74" s="29" t="n">
        <f aca="false">ROUND(D74*Paramètres!$B$58*Paramètres!$B$59^2,0)</f>
        <v>65592</v>
      </c>
      <c r="K74" s="29" t="n">
        <f aca="false">ROUND(D74*Paramètres!$B$58*Paramètres!$B$59^3,0)</f>
        <v>196776</v>
      </c>
      <c r="L74" s="29" t="n">
        <f aca="false">ROUND(D74*Paramètres!$B$58*Paramètres!$B$59^4,0)</f>
        <v>590328</v>
      </c>
      <c r="M74" s="29" t="n">
        <f aca="false">ROUND(D74*Paramètres!$B$58*Paramètres!$B$59^5,0)</f>
        <v>1770984</v>
      </c>
    </row>
    <row r="75" customFormat="false" ht="15.75" hidden="false" customHeight="true" outlineLevel="0" collapsed="false">
      <c r="A75" s="71" t="n">
        <v>70</v>
      </c>
      <c r="B75" s="83" t="n">
        <f aca="false">(Paramètres!$B$5+(1-Paramètres!$B$5)*((A75-Paramètres!$B$7)/(Paramètres!$B$8-Paramètres!$B$7))^Paramètres!$B$6)</f>
        <v>0.665999387952727</v>
      </c>
      <c r="C75" s="29" t="n">
        <f aca="false">ROUND(Paramètres!$B$49*A75^Paramètres!$B$50,0)</f>
        <v>1215</v>
      </c>
      <c r="D75" s="29" t="n">
        <f aca="false">ROUND(Paramètres!$B$53*A75^Paramètres!$B$54,0)</f>
        <v>929</v>
      </c>
      <c r="E75" s="29" t="n">
        <f aca="false">ROUND(C75*(Paramètres!$B$51+Paramètres!$B$52*A75),0)</f>
        <v>71685</v>
      </c>
      <c r="F75" s="29" t="n">
        <f aca="false">F74+E74</f>
        <v>1624500</v>
      </c>
      <c r="G75" s="33" t="n">
        <f aca="false">E75/C75</f>
        <v>59</v>
      </c>
      <c r="H75" s="29" t="n">
        <f aca="false">ROUND(D75*Paramètres!$B$58*Paramètres!$B$59^0,0)</f>
        <v>7432</v>
      </c>
      <c r="I75" s="29" t="n">
        <f aca="false">ROUND(D75*Paramètres!$B$58*Paramètres!$B$59^1,0)</f>
        <v>22296</v>
      </c>
      <c r="J75" s="29" t="n">
        <f aca="false">ROUND(D75*Paramètres!$B$58*Paramètres!$B$59^2,0)</f>
        <v>66888</v>
      </c>
      <c r="K75" s="29" t="n">
        <f aca="false">ROUND(D75*Paramètres!$B$58*Paramètres!$B$59^3,0)</f>
        <v>200664</v>
      </c>
      <c r="L75" s="29" t="n">
        <f aca="false">ROUND(D75*Paramètres!$B$58*Paramètres!$B$59^4,0)</f>
        <v>601992</v>
      </c>
      <c r="M75" s="29" t="n">
        <f aca="false">ROUND(D75*Paramètres!$B$58*Paramètres!$B$59^5,0)</f>
        <v>1805976</v>
      </c>
    </row>
    <row r="76" customFormat="false" ht="15.75" hidden="false" customHeight="true" outlineLevel="0" collapsed="false">
      <c r="A76" s="71" t="n">
        <v>71</v>
      </c>
      <c r="B76" s="83" t="n">
        <f aca="false">(Paramètres!$B$5+(1-Paramètres!$B$5)*((A76-Paramètres!$B$7)/(Paramètres!$B$8-Paramètres!$B$7))^Paramètres!$B$6)</f>
        <v>0.67672788730503</v>
      </c>
      <c r="C76" s="29" t="n">
        <f aca="false">ROUND(Paramètres!$B$49*A76^Paramètres!$B$50,0)</f>
        <v>1237</v>
      </c>
      <c r="D76" s="29" t="n">
        <f aca="false">ROUND(Paramètres!$B$53*A76^Paramètres!$B$54,0)</f>
        <v>947</v>
      </c>
      <c r="E76" s="29" t="n">
        <f aca="false">ROUND(C76*(Paramètres!$B$51+Paramètres!$B$52*A76),0)</f>
        <v>73849</v>
      </c>
      <c r="F76" s="29" t="n">
        <f aca="false">F75+E75</f>
        <v>1696185</v>
      </c>
      <c r="G76" s="33" t="n">
        <f aca="false">E76/C76</f>
        <v>59.7000808407437</v>
      </c>
      <c r="H76" s="29" t="n">
        <f aca="false">ROUND(D76*Paramètres!$B$58*Paramètres!$B$59^0,0)</f>
        <v>7576</v>
      </c>
      <c r="I76" s="29" t="n">
        <f aca="false">ROUND(D76*Paramètres!$B$58*Paramètres!$B$59^1,0)</f>
        <v>22728</v>
      </c>
      <c r="J76" s="29" t="n">
        <f aca="false">ROUND(D76*Paramètres!$B$58*Paramètres!$B$59^2,0)</f>
        <v>68184</v>
      </c>
      <c r="K76" s="29" t="n">
        <f aca="false">ROUND(D76*Paramètres!$B$58*Paramètres!$B$59^3,0)</f>
        <v>204552</v>
      </c>
      <c r="L76" s="29" t="n">
        <f aca="false">ROUND(D76*Paramètres!$B$58*Paramètres!$B$59^4,0)</f>
        <v>613656</v>
      </c>
      <c r="M76" s="29" t="n">
        <f aca="false">ROUND(D76*Paramètres!$B$58*Paramètres!$B$59^5,0)</f>
        <v>1840968</v>
      </c>
    </row>
    <row r="77" customFormat="false" ht="15.75" hidden="false" customHeight="true" outlineLevel="0" collapsed="false">
      <c r="A77" s="71" t="n">
        <v>72</v>
      </c>
      <c r="B77" s="83" t="n">
        <f aca="false">(Paramètres!$B$5+(1-Paramètres!$B$5)*((A77-Paramètres!$B$7)/(Paramètres!$B$8-Paramètres!$B$7))^Paramètres!$B$6)</f>
        <v>0.687487084285261</v>
      </c>
      <c r="C77" s="29" t="n">
        <f aca="false">ROUND(Paramètres!$B$49*A77^Paramètres!$B$50,0)</f>
        <v>1258</v>
      </c>
      <c r="D77" s="29" t="n">
        <f aca="false">ROUND(Paramètres!$B$53*A77^Paramètres!$B$54,0)</f>
        <v>965</v>
      </c>
      <c r="E77" s="29" t="n">
        <f aca="false">ROUND(C77*(Paramètres!$B$51+Paramètres!$B$52*A77),0)</f>
        <v>75983</v>
      </c>
      <c r="F77" s="29" t="n">
        <f aca="false">F76+E76</f>
        <v>1770034</v>
      </c>
      <c r="G77" s="33" t="n">
        <f aca="false">E77/C77</f>
        <v>60.3998410174881</v>
      </c>
      <c r="H77" s="29" t="n">
        <f aca="false">ROUND(D77*Paramètres!$B$58*Paramètres!$B$59^0,0)</f>
        <v>7720</v>
      </c>
      <c r="I77" s="29" t="n">
        <f aca="false">ROUND(D77*Paramètres!$B$58*Paramètres!$B$59^1,0)</f>
        <v>23160</v>
      </c>
      <c r="J77" s="29" t="n">
        <f aca="false">ROUND(D77*Paramètres!$B$58*Paramètres!$B$59^2,0)</f>
        <v>69480</v>
      </c>
      <c r="K77" s="29" t="n">
        <f aca="false">ROUND(D77*Paramètres!$B$58*Paramètres!$B$59^3,0)</f>
        <v>208440</v>
      </c>
      <c r="L77" s="29" t="n">
        <f aca="false">ROUND(D77*Paramètres!$B$58*Paramètres!$B$59^4,0)</f>
        <v>625320</v>
      </c>
      <c r="M77" s="29" t="n">
        <f aca="false">ROUND(D77*Paramètres!$B$58*Paramètres!$B$59^5,0)</f>
        <v>1875960</v>
      </c>
    </row>
    <row r="78" customFormat="false" ht="15.75" hidden="false" customHeight="true" outlineLevel="0" collapsed="false">
      <c r="A78" s="71" t="n">
        <v>73</v>
      </c>
      <c r="B78" s="83" t="n">
        <f aca="false">(Paramètres!$B$5+(1-Paramètres!$B$5)*((A78-Paramètres!$B$7)/(Paramètres!$B$8-Paramètres!$B$7))^Paramètres!$B$6)</f>
        <v>0.698276632493928</v>
      </c>
      <c r="C78" s="29" t="n">
        <f aca="false">ROUND(Paramètres!$B$49*A78^Paramètres!$B$50,0)</f>
        <v>1280</v>
      </c>
      <c r="D78" s="29" t="n">
        <f aca="false">ROUND(Paramètres!$B$53*A78^Paramètres!$B$54,0)</f>
        <v>983</v>
      </c>
      <c r="E78" s="29" t="n">
        <f aca="false">ROUND(C78*(Paramètres!$B$51+Paramètres!$B$52*A78),0)</f>
        <v>78208</v>
      </c>
      <c r="F78" s="29" t="n">
        <f aca="false">F77+E77</f>
        <v>1846017</v>
      </c>
      <c r="G78" s="33" t="n">
        <f aca="false">E78/C78</f>
        <v>61.1</v>
      </c>
      <c r="H78" s="29" t="n">
        <f aca="false">ROUND(D78*Paramètres!$B$58*Paramètres!$B$59^0,0)</f>
        <v>7864</v>
      </c>
      <c r="I78" s="29" t="n">
        <f aca="false">ROUND(D78*Paramètres!$B$58*Paramètres!$B$59^1,0)</f>
        <v>23592</v>
      </c>
      <c r="J78" s="29" t="n">
        <f aca="false">ROUND(D78*Paramètres!$B$58*Paramètres!$B$59^2,0)</f>
        <v>70776</v>
      </c>
      <c r="K78" s="29" t="n">
        <f aca="false">ROUND(D78*Paramètres!$B$58*Paramètres!$B$59^3,0)</f>
        <v>212328</v>
      </c>
      <c r="L78" s="29" t="n">
        <f aca="false">ROUND(D78*Paramètres!$B$58*Paramètres!$B$59^4,0)</f>
        <v>636984</v>
      </c>
      <c r="M78" s="29" t="n">
        <f aca="false">ROUND(D78*Paramètres!$B$58*Paramètres!$B$59^5,0)</f>
        <v>1910952</v>
      </c>
    </row>
    <row r="79" customFormat="false" ht="15.75" hidden="false" customHeight="true" outlineLevel="0" collapsed="false">
      <c r="A79" s="71" t="n">
        <v>74</v>
      </c>
      <c r="B79" s="83" t="n">
        <f aca="false">(Paramètres!$B$5+(1-Paramètres!$B$5)*((A79-Paramètres!$B$7)/(Paramètres!$B$8-Paramètres!$B$7))^Paramètres!$B$6)</f>
        <v>0.709096194204443</v>
      </c>
      <c r="C79" s="29" t="n">
        <f aca="false">ROUND(Paramètres!$B$49*A79^Paramètres!$B$50,0)</f>
        <v>1302</v>
      </c>
      <c r="D79" s="29" t="n">
        <f aca="false">ROUND(Paramètres!$B$53*A79^Paramètres!$B$54,0)</f>
        <v>1001</v>
      </c>
      <c r="E79" s="29" t="n">
        <f aca="false">ROUND(C79*(Paramètres!$B$51+Paramètres!$B$52*A79),0)</f>
        <v>80464</v>
      </c>
      <c r="F79" s="29" t="n">
        <f aca="false">F78+E78</f>
        <v>1924225</v>
      </c>
      <c r="G79" s="33" t="n">
        <f aca="false">E79/C79</f>
        <v>61.8003072196621</v>
      </c>
      <c r="H79" s="29" t="n">
        <f aca="false">ROUND(D79*Paramètres!$B$58*Paramètres!$B$59^0,0)</f>
        <v>8008</v>
      </c>
      <c r="I79" s="29" t="n">
        <f aca="false">ROUND(D79*Paramètres!$B$58*Paramètres!$B$59^1,0)</f>
        <v>24024</v>
      </c>
      <c r="J79" s="29" t="n">
        <f aca="false">ROUND(D79*Paramètres!$B$58*Paramètres!$B$59^2,0)</f>
        <v>72072</v>
      </c>
      <c r="K79" s="29" t="n">
        <f aca="false">ROUND(D79*Paramètres!$B$58*Paramètres!$B$59^3,0)</f>
        <v>216216</v>
      </c>
      <c r="L79" s="29" t="n">
        <f aca="false">ROUND(D79*Paramètres!$B$58*Paramètres!$B$59^4,0)</f>
        <v>648648</v>
      </c>
      <c r="M79" s="29" t="n">
        <f aca="false">ROUND(D79*Paramètres!$B$58*Paramètres!$B$59^5,0)</f>
        <v>1945944</v>
      </c>
    </row>
    <row r="80" customFormat="false" ht="15.75" hidden="false" customHeight="true" outlineLevel="0" collapsed="false">
      <c r="A80" s="71" t="n">
        <v>75</v>
      </c>
      <c r="B80" s="83" t="n">
        <f aca="false">(Paramètres!$B$5+(1-Paramètres!$B$5)*((A80-Paramètres!$B$7)/(Paramètres!$B$8-Paramètres!$B$7))^Paramètres!$B$6)</f>
        <v>0.719945440029963</v>
      </c>
      <c r="C80" s="29" t="n">
        <f aca="false">ROUND(Paramètres!$B$49*A80^Paramètres!$B$50,0)</f>
        <v>1324</v>
      </c>
      <c r="D80" s="29" t="n">
        <f aca="false">ROUND(Paramètres!$B$53*A80^Paramètres!$B$54,0)</f>
        <v>1020</v>
      </c>
      <c r="E80" s="29" t="n">
        <f aca="false">ROUND(C80*(Paramètres!$B$51+Paramètres!$B$52*A80),0)</f>
        <v>82750</v>
      </c>
      <c r="F80" s="29" t="n">
        <f aca="false">F79+E79</f>
        <v>2004689</v>
      </c>
      <c r="G80" s="33" t="n">
        <f aca="false">E80/C80</f>
        <v>62.5</v>
      </c>
      <c r="H80" s="29" t="n">
        <f aca="false">ROUND(D80*Paramètres!$B$58*Paramètres!$B$59^0,0)</f>
        <v>8160</v>
      </c>
      <c r="I80" s="29" t="n">
        <f aca="false">ROUND(D80*Paramètres!$B$58*Paramètres!$B$59^1,0)</f>
        <v>24480</v>
      </c>
      <c r="J80" s="29" t="n">
        <f aca="false">ROUND(D80*Paramètres!$B$58*Paramètres!$B$59^2,0)</f>
        <v>73440</v>
      </c>
      <c r="K80" s="29" t="n">
        <f aca="false">ROUND(D80*Paramètres!$B$58*Paramètres!$B$59^3,0)</f>
        <v>220320</v>
      </c>
      <c r="L80" s="29" t="n">
        <f aca="false">ROUND(D80*Paramètres!$B$58*Paramètres!$B$59^4,0)</f>
        <v>660960</v>
      </c>
      <c r="M80" s="29" t="n">
        <f aca="false">ROUND(D80*Paramètres!$B$58*Paramètres!$B$59^5,0)</f>
        <v>1982880</v>
      </c>
    </row>
    <row r="81" customFormat="false" ht="15.75" hidden="false" customHeight="true" outlineLevel="0" collapsed="false">
      <c r="A81" s="71" t="n">
        <v>76</v>
      </c>
      <c r="B81" s="83" t="n">
        <f aca="false">(Paramètres!$B$5+(1-Paramètres!$B$5)*((A81-Paramètres!$B$7)/(Paramètres!$B$8-Paramètres!$B$7))^Paramètres!$B$6)</f>
        <v>0.730824048607362</v>
      </c>
      <c r="C81" s="29" t="n">
        <f aca="false">ROUND(Paramètres!$B$49*A81^Paramètres!$B$50,0)</f>
        <v>1346</v>
      </c>
      <c r="D81" s="29" t="n">
        <f aca="false">ROUND(Paramètres!$B$53*A81^Paramètres!$B$54,0)</f>
        <v>1038</v>
      </c>
      <c r="E81" s="29" t="n">
        <f aca="false">ROUND(C81*(Paramètres!$B$51+Paramètres!$B$52*A81),0)</f>
        <v>85067</v>
      </c>
      <c r="F81" s="29" t="n">
        <f aca="false">F80+E80</f>
        <v>2087439</v>
      </c>
      <c r="G81" s="33" t="n">
        <f aca="false">E81/C81</f>
        <v>63.1998514115899</v>
      </c>
      <c r="H81" s="29" t="n">
        <f aca="false">ROUND(D81*Paramètres!$B$58*Paramètres!$B$59^0,0)</f>
        <v>8304</v>
      </c>
      <c r="I81" s="29" t="n">
        <f aca="false">ROUND(D81*Paramètres!$B$58*Paramètres!$B$59^1,0)</f>
        <v>24912</v>
      </c>
      <c r="J81" s="29" t="n">
        <f aca="false">ROUND(D81*Paramètres!$B$58*Paramètres!$B$59^2,0)</f>
        <v>74736</v>
      </c>
      <c r="K81" s="29" t="n">
        <f aca="false">ROUND(D81*Paramètres!$B$58*Paramètres!$B$59^3,0)</f>
        <v>224208</v>
      </c>
      <c r="L81" s="29" t="n">
        <f aca="false">ROUND(D81*Paramètres!$B$58*Paramètres!$B$59^4,0)</f>
        <v>672624</v>
      </c>
      <c r="M81" s="29" t="n">
        <f aca="false">ROUND(D81*Paramètres!$B$58*Paramètres!$B$59^5,0)</f>
        <v>2017872</v>
      </c>
    </row>
    <row r="82" customFormat="false" ht="15.75" hidden="false" customHeight="true" outlineLevel="0" collapsed="false">
      <c r="A82" s="71" t="n">
        <v>77</v>
      </c>
      <c r="B82" s="83" t="n">
        <f aca="false">(Paramètres!$B$5+(1-Paramètres!$B$5)*((A82-Paramètres!$B$7)/(Paramètres!$B$8-Paramètres!$B$7))^Paramètres!$B$6)</f>
        <v>0.741731706297242</v>
      </c>
      <c r="C82" s="29" t="n">
        <f aca="false">ROUND(Paramètres!$B$49*A82^Paramètres!$B$50,0)</f>
        <v>1369</v>
      </c>
      <c r="D82" s="29" t="n">
        <f aca="false">ROUND(Paramètres!$B$53*A82^Paramètres!$B$54,0)</f>
        <v>1057</v>
      </c>
      <c r="E82" s="29" t="n">
        <f aca="false">ROUND(C82*(Paramètres!$B$51+Paramètres!$B$52*A82),0)</f>
        <v>87479</v>
      </c>
      <c r="F82" s="29" t="n">
        <f aca="false">F81+E81</f>
        <v>2172506</v>
      </c>
      <c r="G82" s="33" t="n">
        <f aca="false">E82/C82</f>
        <v>63.899926953981</v>
      </c>
      <c r="H82" s="29" t="n">
        <f aca="false">ROUND(D82*Paramètres!$B$58*Paramètres!$B$59^0,0)</f>
        <v>8456</v>
      </c>
      <c r="I82" s="29" t="n">
        <f aca="false">ROUND(D82*Paramètres!$B$58*Paramètres!$B$59^1,0)</f>
        <v>25368</v>
      </c>
      <c r="J82" s="29" t="n">
        <f aca="false">ROUND(D82*Paramètres!$B$58*Paramètres!$B$59^2,0)</f>
        <v>76104</v>
      </c>
      <c r="K82" s="29" t="n">
        <f aca="false">ROUND(D82*Paramètres!$B$58*Paramètres!$B$59^3,0)</f>
        <v>228312</v>
      </c>
      <c r="L82" s="29" t="n">
        <f aca="false">ROUND(D82*Paramètres!$B$58*Paramètres!$B$59^4,0)</f>
        <v>684936</v>
      </c>
      <c r="M82" s="29" t="n">
        <f aca="false">ROUND(D82*Paramètres!$B$58*Paramètres!$B$59^5,0)</f>
        <v>2054808</v>
      </c>
    </row>
    <row r="83" customFormat="false" ht="15.75" hidden="false" customHeight="true" outlineLevel="0" collapsed="false">
      <c r="A83" s="71" t="n">
        <v>78</v>
      </c>
      <c r="B83" s="83" t="n">
        <f aca="false">(Paramètres!$B$5+(1-Paramètres!$B$5)*((A83-Paramètres!$B$7)/(Paramètres!$B$8-Paramètres!$B$7))^Paramètres!$B$6)</f>
        <v>0.752668106898964</v>
      </c>
      <c r="C83" s="29" t="n">
        <f aca="false">ROUND(Paramètres!$B$49*A83^Paramètres!$B$50,0)</f>
        <v>1391</v>
      </c>
      <c r="D83" s="29" t="n">
        <f aca="false">ROUND(Paramètres!$B$53*A83^Paramètres!$B$54,0)</f>
        <v>1075</v>
      </c>
      <c r="E83" s="29" t="n">
        <f aca="false">ROUND(C83*(Paramètres!$B$51+Paramètres!$B$52*A83),0)</f>
        <v>89859</v>
      </c>
      <c r="F83" s="29" t="n">
        <f aca="false">F82+E82</f>
        <v>2259985</v>
      </c>
      <c r="G83" s="33" t="n">
        <f aca="false">E83/C83</f>
        <v>64.6002875629044</v>
      </c>
      <c r="H83" s="29" t="n">
        <f aca="false">ROUND(D83*Paramètres!$B$58*Paramètres!$B$59^0,0)</f>
        <v>8600</v>
      </c>
      <c r="I83" s="29" t="n">
        <f aca="false">ROUND(D83*Paramètres!$B$58*Paramètres!$B$59^1,0)</f>
        <v>25800</v>
      </c>
      <c r="J83" s="29" t="n">
        <f aca="false">ROUND(D83*Paramètres!$B$58*Paramètres!$B$59^2,0)</f>
        <v>77400</v>
      </c>
      <c r="K83" s="29" t="n">
        <f aca="false">ROUND(D83*Paramètres!$B$58*Paramètres!$B$59^3,0)</f>
        <v>232200</v>
      </c>
      <c r="L83" s="29" t="n">
        <f aca="false">ROUND(D83*Paramètres!$B$58*Paramètres!$B$59^4,0)</f>
        <v>696600</v>
      </c>
      <c r="M83" s="29" t="n">
        <f aca="false">ROUND(D83*Paramètres!$B$58*Paramètres!$B$59^5,0)</f>
        <v>2089800</v>
      </c>
    </row>
    <row r="84" customFormat="false" ht="15.75" hidden="false" customHeight="true" outlineLevel="0" collapsed="false">
      <c r="A84" s="71" t="n">
        <v>79</v>
      </c>
      <c r="B84" s="83" t="n">
        <f aca="false">(Paramètres!$B$5+(1-Paramètres!$B$5)*((A84-Paramètres!$B$7)/(Paramètres!$B$8-Paramètres!$B$7))^Paramètres!$B$6)</f>
        <v>0.763632951379764</v>
      </c>
      <c r="C84" s="29" t="n">
        <f aca="false">ROUND(Paramètres!$B$49*A84^Paramètres!$B$50,0)</f>
        <v>1413</v>
      </c>
      <c r="D84" s="29" t="n">
        <f aca="false">ROUND(Paramètres!$B$53*A84^Paramètres!$B$54,0)</f>
        <v>1094</v>
      </c>
      <c r="E84" s="29" t="n">
        <f aca="false">ROUND(C84*(Paramètres!$B$51+Paramètres!$B$52*A84),0)</f>
        <v>92269</v>
      </c>
      <c r="F84" s="29" t="n">
        <f aca="false">F83+E83</f>
        <v>2349844</v>
      </c>
      <c r="G84" s="33" t="n">
        <f aca="false">E84/C84</f>
        <v>65.3000707714084</v>
      </c>
      <c r="H84" s="29" t="n">
        <f aca="false">ROUND(D84*Paramètres!$B$58*Paramètres!$B$59^0,0)</f>
        <v>8752</v>
      </c>
      <c r="I84" s="29" t="n">
        <f aca="false">ROUND(D84*Paramètres!$B$58*Paramètres!$B$59^1,0)</f>
        <v>26256</v>
      </c>
      <c r="J84" s="29" t="n">
        <f aca="false">ROUND(D84*Paramètres!$B$58*Paramètres!$B$59^2,0)</f>
        <v>78768</v>
      </c>
      <c r="K84" s="29" t="n">
        <f aca="false">ROUND(D84*Paramètres!$B$58*Paramètres!$B$59^3,0)</f>
        <v>236304</v>
      </c>
      <c r="L84" s="29" t="n">
        <f aca="false">ROUND(D84*Paramètres!$B$58*Paramètres!$B$59^4,0)</f>
        <v>708912</v>
      </c>
      <c r="M84" s="29" t="n">
        <f aca="false">ROUND(D84*Paramètres!$B$58*Paramètres!$B$59^5,0)</f>
        <v>2126736</v>
      </c>
    </row>
    <row r="85" customFormat="false" ht="15.75" hidden="false" customHeight="true" outlineLevel="0" collapsed="false">
      <c r="A85" s="71" t="n">
        <v>80</v>
      </c>
      <c r="B85" s="83" t="n">
        <f aca="false">(Paramètres!$B$5+(1-Paramètres!$B$5)*((A85-Paramètres!$B$7)/(Paramètres!$B$8-Paramètres!$B$7))^Paramètres!$B$6)</f>
        <v>0.774625947617085</v>
      </c>
      <c r="C85" s="29" t="n">
        <f aca="false">ROUND(Paramètres!$B$49*A85^Paramètres!$B$50,0)</f>
        <v>1436</v>
      </c>
      <c r="D85" s="29" t="n">
        <f aca="false">ROUND(Paramètres!$B$53*A85^Paramètres!$B$54,0)</f>
        <v>1112</v>
      </c>
      <c r="E85" s="29" t="n">
        <f aca="false">ROUND(C85*(Paramètres!$B$51+Paramètres!$B$52*A85),0)</f>
        <v>94776</v>
      </c>
      <c r="F85" s="29" t="n">
        <f aca="false">F84+E84</f>
        <v>2442113</v>
      </c>
      <c r="G85" s="33" t="n">
        <f aca="false">E85/C85</f>
        <v>66</v>
      </c>
      <c r="H85" s="29" t="n">
        <f aca="false">ROUND(D85*Paramètres!$B$58*Paramètres!$B$59^0,0)</f>
        <v>8896</v>
      </c>
      <c r="I85" s="29" t="n">
        <f aca="false">ROUND(D85*Paramètres!$B$58*Paramètres!$B$59^1,0)</f>
        <v>26688</v>
      </c>
      <c r="J85" s="29" t="n">
        <f aca="false">ROUND(D85*Paramètres!$B$58*Paramètres!$B$59^2,0)</f>
        <v>80064</v>
      </c>
      <c r="K85" s="29" t="n">
        <f aca="false">ROUND(D85*Paramètres!$B$58*Paramètres!$B$59^3,0)</f>
        <v>240192</v>
      </c>
      <c r="L85" s="29" t="n">
        <f aca="false">ROUND(D85*Paramètres!$B$58*Paramètres!$B$59^4,0)</f>
        <v>720576</v>
      </c>
      <c r="M85" s="29" t="n">
        <f aca="false">ROUND(D85*Paramètres!$B$58*Paramètres!$B$59^5,0)</f>
        <v>2161728</v>
      </c>
    </row>
    <row r="86" customFormat="false" ht="15.75" hidden="false" customHeight="true" outlineLevel="0" collapsed="false">
      <c r="A86" s="71" t="n">
        <v>81</v>
      </c>
      <c r="B86" s="83" t="n">
        <f aca="false">(Paramètres!$B$5+(1-Paramètres!$B$5)*((A86-Paramètres!$B$7)/(Paramètres!$B$8-Paramètres!$B$7))^Paramètres!$B$6)</f>
        <v>0.785646810153318</v>
      </c>
      <c r="C86" s="29" t="n">
        <f aca="false">ROUND(Paramètres!$B$49*A86^Paramètres!$B$50,0)</f>
        <v>1458</v>
      </c>
      <c r="D86" s="29" t="n">
        <f aca="false">ROUND(Paramètres!$B$53*A86^Paramètres!$B$54,0)</f>
        <v>1131</v>
      </c>
      <c r="E86" s="29" t="n">
        <f aca="false">ROUND(C86*(Paramètres!$B$51+Paramètres!$B$52*A86),0)</f>
        <v>97249</v>
      </c>
      <c r="F86" s="29" t="n">
        <f aca="false">F85+E85</f>
        <v>2536889</v>
      </c>
      <c r="G86" s="33" t="n">
        <f aca="false">E86/C86</f>
        <v>66.7002743484225</v>
      </c>
      <c r="H86" s="29" t="n">
        <f aca="false">ROUND(D86*Paramètres!$B$58*Paramètres!$B$59^0,0)</f>
        <v>9048</v>
      </c>
      <c r="I86" s="29" t="n">
        <f aca="false">ROUND(D86*Paramètres!$B$58*Paramètres!$B$59^1,0)</f>
        <v>27144</v>
      </c>
      <c r="J86" s="29" t="n">
        <f aca="false">ROUND(D86*Paramètres!$B$58*Paramètres!$B$59^2,0)</f>
        <v>81432</v>
      </c>
      <c r="K86" s="29" t="n">
        <f aca="false">ROUND(D86*Paramètres!$B$58*Paramètres!$B$59^3,0)</f>
        <v>244296</v>
      </c>
      <c r="L86" s="29" t="n">
        <f aca="false">ROUND(D86*Paramètres!$B$58*Paramètres!$B$59^4,0)</f>
        <v>732888</v>
      </c>
      <c r="M86" s="29" t="n">
        <f aca="false">ROUND(D86*Paramètres!$B$58*Paramètres!$B$59^5,0)</f>
        <v>2198664</v>
      </c>
    </row>
    <row r="87" customFormat="false" ht="15.75" hidden="false" customHeight="true" outlineLevel="0" collapsed="false">
      <c r="A87" s="71" t="n">
        <v>82</v>
      </c>
      <c r="B87" s="83" t="n">
        <f aca="false">(Paramètres!$B$5+(1-Paramètres!$B$5)*((A87-Paramètres!$B$7)/(Paramètres!$B$8-Paramètres!$B$7))^Paramètres!$B$6)</f>
        <v>0.796695259962212</v>
      </c>
      <c r="C87" s="29" t="n">
        <f aca="false">ROUND(Paramètres!$B$49*A87^Paramètres!$B$50,0)</f>
        <v>1481</v>
      </c>
      <c r="D87" s="29" t="n">
        <f aca="false">ROUND(Paramètres!$B$53*A87^Paramètres!$B$54,0)</f>
        <v>1150</v>
      </c>
      <c r="E87" s="29" t="n">
        <f aca="false">ROUND(C87*(Paramètres!$B$51+Paramètres!$B$52*A87),0)</f>
        <v>99819</v>
      </c>
      <c r="F87" s="29" t="n">
        <f aca="false">F86+E86</f>
        <v>2634138</v>
      </c>
      <c r="G87" s="33" t="n">
        <f aca="false">E87/C87</f>
        <v>67.3997299122215</v>
      </c>
      <c r="H87" s="29" t="n">
        <f aca="false">ROUND(D87*Paramètres!$B$58*Paramètres!$B$59^0,0)</f>
        <v>9200</v>
      </c>
      <c r="I87" s="29" t="n">
        <f aca="false">ROUND(D87*Paramètres!$B$58*Paramètres!$B$59^1,0)</f>
        <v>27600</v>
      </c>
      <c r="J87" s="29" t="n">
        <f aca="false">ROUND(D87*Paramètres!$B$58*Paramètres!$B$59^2,0)</f>
        <v>82800</v>
      </c>
      <c r="K87" s="29" t="n">
        <f aca="false">ROUND(D87*Paramètres!$B$58*Paramètres!$B$59^3,0)</f>
        <v>248400</v>
      </c>
      <c r="L87" s="29" t="n">
        <f aca="false">ROUND(D87*Paramètres!$B$58*Paramètres!$B$59^4,0)</f>
        <v>745200</v>
      </c>
      <c r="M87" s="29" t="n">
        <f aca="false">ROUND(D87*Paramètres!$B$58*Paramètres!$B$59^5,0)</f>
        <v>2235600</v>
      </c>
    </row>
    <row r="88" customFormat="false" ht="15.75" hidden="false" customHeight="true" outlineLevel="0" collapsed="false">
      <c r="A88" s="71" t="n">
        <v>83</v>
      </c>
      <c r="B88" s="83" t="n">
        <f aca="false">(Paramètres!$B$5+(1-Paramètres!$B$5)*((A88-Paramètres!$B$7)/(Paramètres!$B$8-Paramètres!$B$7))^Paramètres!$B$6)</f>
        <v>0.807771024226257</v>
      </c>
      <c r="C88" s="29" t="n">
        <f aca="false">ROUND(Paramètres!$B$49*A88^Paramètres!$B$50,0)</f>
        <v>1503</v>
      </c>
      <c r="D88" s="29" t="n">
        <f aca="false">ROUND(Paramètres!$B$53*A88^Paramètres!$B$54,0)</f>
        <v>1169</v>
      </c>
      <c r="E88" s="29" t="n">
        <f aca="false">ROUND(C88*(Paramètres!$B$51+Paramètres!$B$52*A88),0)</f>
        <v>102354</v>
      </c>
      <c r="F88" s="29" t="n">
        <f aca="false">F87+E87</f>
        <v>2733957</v>
      </c>
      <c r="G88" s="33" t="n">
        <f aca="false">E88/C88</f>
        <v>68.0998003992016</v>
      </c>
      <c r="H88" s="29" t="n">
        <f aca="false">ROUND(D88*Paramètres!$B$58*Paramètres!$B$59^0,0)</f>
        <v>9352</v>
      </c>
      <c r="I88" s="29" t="n">
        <f aca="false">ROUND(D88*Paramètres!$B$58*Paramètres!$B$59^1,0)</f>
        <v>28056</v>
      </c>
      <c r="J88" s="29" t="n">
        <f aca="false">ROUND(D88*Paramètres!$B$58*Paramètres!$B$59^2,0)</f>
        <v>84168</v>
      </c>
      <c r="K88" s="29" t="n">
        <f aca="false">ROUND(D88*Paramètres!$B$58*Paramètres!$B$59^3,0)</f>
        <v>252504</v>
      </c>
      <c r="L88" s="29" t="n">
        <f aca="false">ROUND(D88*Paramètres!$B$58*Paramètres!$B$59^4,0)</f>
        <v>757512</v>
      </c>
      <c r="M88" s="29" t="n">
        <f aca="false">ROUND(D88*Paramètres!$B$58*Paramètres!$B$59^5,0)</f>
        <v>2272536</v>
      </c>
    </row>
    <row r="89" customFormat="false" ht="15.75" hidden="false" customHeight="true" outlineLevel="0" collapsed="false">
      <c r="A89" s="71" t="n">
        <v>84</v>
      </c>
      <c r="B89" s="83" t="n">
        <f aca="false">(Paramètres!$B$5+(1-Paramètres!$B$5)*((A89-Paramètres!$B$7)/(Paramètres!$B$8-Paramètres!$B$7))^Paramètres!$B$6)</f>
        <v>0.818873836124395</v>
      </c>
      <c r="C89" s="29" t="n">
        <f aca="false">ROUND(Paramètres!$B$49*A89^Paramètres!$B$50,0)</f>
        <v>1526</v>
      </c>
      <c r="D89" s="29" t="n">
        <f aca="false">ROUND(Paramètres!$B$53*A89^Paramètres!$B$54,0)</f>
        <v>1188</v>
      </c>
      <c r="E89" s="29" t="n">
        <f aca="false">ROUND(C89*(Paramètres!$B$51+Paramètres!$B$52*A89),0)</f>
        <v>104989</v>
      </c>
      <c r="F89" s="29" t="n">
        <f aca="false">F88+E88</f>
        <v>2836311</v>
      </c>
      <c r="G89" s="33" t="n">
        <f aca="false">E89/C89</f>
        <v>68.800131061599</v>
      </c>
      <c r="H89" s="29" t="n">
        <f aca="false">ROUND(D89*Paramètres!$B$58*Paramètres!$B$59^0,0)</f>
        <v>9504</v>
      </c>
      <c r="I89" s="29" t="n">
        <f aca="false">ROUND(D89*Paramètres!$B$58*Paramètres!$B$59^1,0)</f>
        <v>28512</v>
      </c>
      <c r="J89" s="29" t="n">
        <f aca="false">ROUND(D89*Paramètres!$B$58*Paramètres!$B$59^2,0)</f>
        <v>85536</v>
      </c>
      <c r="K89" s="29" t="n">
        <f aca="false">ROUND(D89*Paramètres!$B$58*Paramètres!$B$59^3,0)</f>
        <v>256608</v>
      </c>
      <c r="L89" s="29" t="n">
        <f aca="false">ROUND(D89*Paramètres!$B$58*Paramètres!$B$59^4,0)</f>
        <v>769824</v>
      </c>
      <c r="M89" s="29" t="n">
        <f aca="false">ROUND(D89*Paramètres!$B$58*Paramètres!$B$59^5,0)</f>
        <v>2309472</v>
      </c>
    </row>
    <row r="90" customFormat="false" ht="15.75" hidden="false" customHeight="true" outlineLevel="0" collapsed="false">
      <c r="A90" s="71" t="n">
        <v>85</v>
      </c>
      <c r="B90" s="83" t="n">
        <f aca="false">(Paramètres!$B$5+(1-Paramètres!$B$5)*((A90-Paramètres!$B$7)/(Paramètres!$B$8-Paramètres!$B$7))^Paramètres!$B$6)</f>
        <v>0.830003434629468</v>
      </c>
      <c r="C90" s="29" t="n">
        <f aca="false">ROUND(Paramètres!$B$49*A90^Paramètres!$B$50,0)</f>
        <v>1549</v>
      </c>
      <c r="D90" s="29" t="n">
        <f aca="false">ROUND(Paramètres!$B$53*A90^Paramètres!$B$54,0)</f>
        <v>1207</v>
      </c>
      <c r="E90" s="29" t="n">
        <f aca="false">ROUND(C90*(Paramètres!$B$51+Paramètres!$B$52*A90),0)</f>
        <v>107656</v>
      </c>
      <c r="F90" s="29" t="n">
        <f aca="false">F89+E89</f>
        <v>2941300</v>
      </c>
      <c r="G90" s="33" t="n">
        <f aca="false">E90/C90</f>
        <v>69.5003227888961</v>
      </c>
      <c r="H90" s="29" t="n">
        <f aca="false">ROUND(D90*Paramètres!$B$58*Paramètres!$B$59^0,0)</f>
        <v>9656</v>
      </c>
      <c r="I90" s="29" t="n">
        <f aca="false">ROUND(D90*Paramètres!$B$58*Paramètres!$B$59^1,0)</f>
        <v>28968</v>
      </c>
      <c r="J90" s="29" t="n">
        <f aca="false">ROUND(D90*Paramètres!$B$58*Paramètres!$B$59^2,0)</f>
        <v>86904</v>
      </c>
      <c r="K90" s="29" t="n">
        <f aca="false">ROUND(D90*Paramètres!$B$58*Paramètres!$B$59^3,0)</f>
        <v>260712</v>
      </c>
      <c r="L90" s="29" t="n">
        <f aca="false">ROUND(D90*Paramètres!$B$58*Paramètres!$B$59^4,0)</f>
        <v>782136</v>
      </c>
      <c r="M90" s="29" t="n">
        <f aca="false">ROUND(D90*Paramètres!$B$58*Paramètres!$B$59^5,0)</f>
        <v>2346408</v>
      </c>
    </row>
    <row r="91" customFormat="false" ht="15.75" hidden="false" customHeight="true" outlineLevel="0" collapsed="false">
      <c r="A91" s="71" t="n">
        <v>86</v>
      </c>
      <c r="B91" s="83" t="n">
        <f aca="false">(Paramètres!$B$5+(1-Paramètres!$B$5)*((A91-Paramètres!$B$7)/(Paramètres!$B$8-Paramètres!$B$7))^Paramètres!$B$6)</f>
        <v>0.841159564314835</v>
      </c>
      <c r="C91" s="29" t="n">
        <f aca="false">ROUND(Paramètres!$B$49*A91^Paramètres!$B$50,0)</f>
        <v>1571</v>
      </c>
      <c r="D91" s="29" t="n">
        <f aca="false">ROUND(Paramètres!$B$53*A91^Paramètres!$B$54,0)</f>
        <v>1227</v>
      </c>
      <c r="E91" s="29" t="n">
        <f aca="false">ROUND(C91*(Paramètres!$B$51+Paramètres!$B$52*A91),0)</f>
        <v>110284</v>
      </c>
      <c r="F91" s="29" t="n">
        <f aca="false">F90+E90</f>
        <v>3048956</v>
      </c>
      <c r="G91" s="33" t="n">
        <f aca="false">E91/C91</f>
        <v>70.1998726925525</v>
      </c>
      <c r="H91" s="29" t="n">
        <f aca="false">ROUND(D91*Paramètres!$B$58*Paramètres!$B$59^0,0)</f>
        <v>9816</v>
      </c>
      <c r="I91" s="29" t="n">
        <f aca="false">ROUND(D91*Paramètres!$B$58*Paramètres!$B$59^1,0)</f>
        <v>29448</v>
      </c>
      <c r="J91" s="29" t="n">
        <f aca="false">ROUND(D91*Paramètres!$B$58*Paramètres!$B$59^2,0)</f>
        <v>88344</v>
      </c>
      <c r="K91" s="29" t="n">
        <f aca="false">ROUND(D91*Paramètres!$B$58*Paramètres!$B$59^3,0)</f>
        <v>265032</v>
      </c>
      <c r="L91" s="29" t="n">
        <f aca="false">ROUND(D91*Paramètres!$B$58*Paramètres!$B$59^4,0)</f>
        <v>795096</v>
      </c>
      <c r="M91" s="29" t="n">
        <f aca="false">ROUND(D91*Paramètres!$B$58*Paramètres!$B$59^5,0)</f>
        <v>2385288</v>
      </c>
    </row>
    <row r="92" customFormat="false" ht="15.75" hidden="false" customHeight="true" outlineLevel="0" collapsed="false">
      <c r="A92" s="71" t="n">
        <v>87</v>
      </c>
      <c r="B92" s="83" t="n">
        <f aca="false">(Paramètres!$B$5+(1-Paramètres!$B$5)*((A92-Paramètres!$B$7)/(Paramètres!$B$8-Paramètres!$B$7))^Paramètres!$B$6)</f>
        <v>0.852341975169652</v>
      </c>
      <c r="C92" s="29" t="n">
        <f aca="false">ROUND(Paramètres!$B$49*A92^Paramètres!$B$50,0)</f>
        <v>1594</v>
      </c>
      <c r="D92" s="29" t="n">
        <f aca="false">ROUND(Paramètres!$B$53*A92^Paramètres!$B$54,0)</f>
        <v>1246</v>
      </c>
      <c r="E92" s="29" t="n">
        <f aca="false">ROUND(C92*(Paramètres!$B$51+Paramètres!$B$52*A92),0)</f>
        <v>113015</v>
      </c>
      <c r="F92" s="29" t="n">
        <f aca="false">F91+E91</f>
        <v>3159240</v>
      </c>
      <c r="G92" s="33" t="n">
        <f aca="false">E92/C92</f>
        <v>70.9002509410289</v>
      </c>
      <c r="H92" s="29" t="n">
        <f aca="false">ROUND(D92*Paramètres!$B$58*Paramètres!$B$59^0,0)</f>
        <v>9968</v>
      </c>
      <c r="I92" s="29" t="n">
        <f aca="false">ROUND(D92*Paramètres!$B$58*Paramètres!$B$59^1,0)</f>
        <v>29904</v>
      </c>
      <c r="J92" s="29" t="n">
        <f aca="false">ROUND(D92*Paramètres!$B$58*Paramètres!$B$59^2,0)</f>
        <v>89712</v>
      </c>
      <c r="K92" s="29" t="n">
        <f aca="false">ROUND(D92*Paramètres!$B$58*Paramètres!$B$59^3,0)</f>
        <v>269136</v>
      </c>
      <c r="L92" s="29" t="n">
        <f aca="false">ROUND(D92*Paramètres!$B$58*Paramètres!$B$59^4,0)</f>
        <v>807408</v>
      </c>
      <c r="M92" s="29" t="n">
        <f aca="false">ROUND(D92*Paramètres!$B$58*Paramètres!$B$59^5,0)</f>
        <v>2422224</v>
      </c>
    </row>
    <row r="93" customFormat="false" ht="15.75" hidden="false" customHeight="true" outlineLevel="0" collapsed="false">
      <c r="A93" s="71" t="n">
        <v>88</v>
      </c>
      <c r="B93" s="83" t="n">
        <f aca="false">(Paramètres!$B$5+(1-Paramètres!$B$5)*((A93-Paramètres!$B$7)/(Paramètres!$B$8-Paramètres!$B$7))^Paramètres!$B$6)</f>
        <v>0.863550422422321</v>
      </c>
      <c r="C93" s="29" t="n">
        <f aca="false">ROUND(Paramètres!$B$49*A93^Paramètres!$B$50,0)</f>
        <v>1617</v>
      </c>
      <c r="D93" s="29" t="n">
        <f aca="false">ROUND(Paramètres!$B$53*A93^Paramètres!$B$54,0)</f>
        <v>1265</v>
      </c>
      <c r="E93" s="29" t="n">
        <f aca="false">ROUND(C93*(Paramètres!$B$51+Paramètres!$B$52*A93),0)</f>
        <v>115777</v>
      </c>
      <c r="F93" s="29" t="n">
        <f aca="false">F92+E92</f>
        <v>3272255</v>
      </c>
      <c r="G93" s="33" t="n">
        <f aca="false">E93/C93</f>
        <v>71.599876314162</v>
      </c>
      <c r="H93" s="29" t="n">
        <f aca="false">ROUND(D93*Paramètres!$B$58*Paramètres!$B$59^0,0)</f>
        <v>10120</v>
      </c>
      <c r="I93" s="29" t="n">
        <f aca="false">ROUND(D93*Paramètres!$B$58*Paramètres!$B$59^1,0)</f>
        <v>30360</v>
      </c>
      <c r="J93" s="29" t="n">
        <f aca="false">ROUND(D93*Paramètres!$B$58*Paramètres!$B$59^2,0)</f>
        <v>91080</v>
      </c>
      <c r="K93" s="29" t="n">
        <f aca="false">ROUND(D93*Paramètres!$B$58*Paramètres!$B$59^3,0)</f>
        <v>273240</v>
      </c>
      <c r="L93" s="29" t="n">
        <f aca="false">ROUND(D93*Paramètres!$B$58*Paramètres!$B$59^4,0)</f>
        <v>819720</v>
      </c>
      <c r="M93" s="29" t="n">
        <f aca="false">ROUND(D93*Paramètres!$B$58*Paramètres!$B$59^5,0)</f>
        <v>2459160</v>
      </c>
    </row>
    <row r="94" customFormat="false" ht="15.75" hidden="false" customHeight="true" outlineLevel="0" collapsed="false">
      <c r="A94" s="71" t="n">
        <v>89</v>
      </c>
      <c r="B94" s="83" t="n">
        <f aca="false">(Paramètres!$B$5+(1-Paramètres!$B$5)*((A94-Paramètres!$B$7)/(Paramètres!$B$8-Paramètres!$B$7))^Paramètres!$B$6)</f>
        <v>0.874784666371658</v>
      </c>
      <c r="C94" s="29" t="n">
        <f aca="false">ROUND(Paramètres!$B$49*A94^Paramètres!$B$50,0)</f>
        <v>1640</v>
      </c>
      <c r="D94" s="29" t="n">
        <f aca="false">ROUND(Paramètres!$B$53*A94^Paramètres!$B$54,0)</f>
        <v>1285</v>
      </c>
      <c r="E94" s="29" t="n">
        <f aca="false">ROUND(C94*(Paramètres!$B$51+Paramètres!$B$52*A94),0)</f>
        <v>118572</v>
      </c>
      <c r="F94" s="29" t="n">
        <f aca="false">F93+E93</f>
        <v>3388032</v>
      </c>
      <c r="G94" s="33" t="n">
        <f aca="false">E94/C94</f>
        <v>72.3</v>
      </c>
      <c r="H94" s="29" t="n">
        <f aca="false">ROUND(D94*Paramètres!$B$58*Paramètres!$B$59^0,0)</f>
        <v>10280</v>
      </c>
      <c r="I94" s="29" t="n">
        <f aca="false">ROUND(D94*Paramètres!$B$58*Paramètres!$B$59^1,0)</f>
        <v>30840</v>
      </c>
      <c r="J94" s="29" t="n">
        <f aca="false">ROUND(D94*Paramètres!$B$58*Paramètres!$B$59^2,0)</f>
        <v>92520</v>
      </c>
      <c r="K94" s="29" t="n">
        <f aca="false">ROUND(D94*Paramètres!$B$58*Paramètres!$B$59^3,0)</f>
        <v>277560</v>
      </c>
      <c r="L94" s="29" t="n">
        <f aca="false">ROUND(D94*Paramètres!$B$58*Paramètres!$B$59^4,0)</f>
        <v>832680</v>
      </c>
      <c r="M94" s="29" t="n">
        <f aca="false">ROUND(D94*Paramètres!$B$58*Paramètres!$B$59^5,0)</f>
        <v>2498040</v>
      </c>
    </row>
    <row r="95" customFormat="false" ht="15.75" hidden="false" customHeight="true" outlineLevel="0" collapsed="false">
      <c r="A95" s="71" t="n">
        <v>90</v>
      </c>
      <c r="B95" s="83" t="n">
        <f aca="false">(Paramètres!$B$5+(1-Paramètres!$B$5)*((A95-Paramètres!$B$7)/(Paramètres!$B$8-Paramètres!$B$7))^Paramètres!$B$6)</f>
        <v>0.886044472225366</v>
      </c>
      <c r="C95" s="29" t="n">
        <f aca="false">ROUND(Paramètres!$B$49*A95^Paramètres!$B$50,0)</f>
        <v>1663</v>
      </c>
      <c r="D95" s="29" t="n">
        <f aca="false">ROUND(Paramètres!$B$53*A95^Paramètres!$B$54,0)</f>
        <v>1304</v>
      </c>
      <c r="E95" s="29" t="n">
        <f aca="false">ROUND(C95*(Paramètres!$B$51+Paramètres!$B$52*A95),0)</f>
        <v>121399</v>
      </c>
      <c r="F95" s="29" t="n">
        <f aca="false">F94+E94</f>
        <v>3506604</v>
      </c>
      <c r="G95" s="33" t="n">
        <f aca="false">E95/C95</f>
        <v>73</v>
      </c>
      <c r="H95" s="29" t="n">
        <f aca="false">ROUND(D95*Paramètres!$B$58*Paramètres!$B$59^0,0)</f>
        <v>10432</v>
      </c>
      <c r="I95" s="29" t="n">
        <f aca="false">ROUND(D95*Paramètres!$B$58*Paramètres!$B$59^1,0)</f>
        <v>31296</v>
      </c>
      <c r="J95" s="29" t="n">
        <f aca="false">ROUND(D95*Paramètres!$B$58*Paramètres!$B$59^2,0)</f>
        <v>93888</v>
      </c>
      <c r="K95" s="29" t="n">
        <f aca="false">ROUND(D95*Paramètres!$B$58*Paramètres!$B$59^3,0)</f>
        <v>281664</v>
      </c>
      <c r="L95" s="29" t="n">
        <f aca="false">ROUND(D95*Paramètres!$B$58*Paramètres!$B$59^4,0)</f>
        <v>844992</v>
      </c>
      <c r="M95" s="29" t="n">
        <f aca="false">ROUND(D95*Paramètres!$B$58*Paramètres!$B$59^5,0)</f>
        <v>2534976</v>
      </c>
    </row>
    <row r="96" customFormat="false" ht="15.75" hidden="false" customHeight="true" outlineLevel="0" collapsed="false">
      <c r="A96" s="71" t="n">
        <v>91</v>
      </c>
      <c r="B96" s="83" t="n">
        <f aca="false">(Paramètres!$B$5+(1-Paramètres!$B$5)*((A96-Paramètres!$B$7)/(Paramètres!$B$8-Paramètres!$B$7))^Paramètres!$B$6)</f>
        <v>0.89732960994541</v>
      </c>
      <c r="C96" s="29" t="n">
        <f aca="false">ROUND(Paramètres!$B$49*A96^Paramètres!$B$50,0)</f>
        <v>1686</v>
      </c>
      <c r="D96" s="29" t="n">
        <f aca="false">ROUND(Paramètres!$B$53*A96^Paramètres!$B$54,0)</f>
        <v>1324</v>
      </c>
      <c r="E96" s="29" t="n">
        <f aca="false">ROUND(C96*(Paramètres!$B$51+Paramètres!$B$52*A96),0)</f>
        <v>124258</v>
      </c>
      <c r="F96" s="29" t="n">
        <f aca="false">F95+E95</f>
        <v>3628003</v>
      </c>
      <c r="G96" s="33" t="n">
        <f aca="false">E96/C96</f>
        <v>73.699881376038</v>
      </c>
      <c r="H96" s="29" t="n">
        <f aca="false">ROUND(D96*Paramètres!$B$58*Paramètres!$B$59^0,0)</f>
        <v>10592</v>
      </c>
      <c r="I96" s="29" t="n">
        <f aca="false">ROUND(D96*Paramètres!$B$58*Paramètres!$B$59^1,0)</f>
        <v>31776</v>
      </c>
      <c r="J96" s="29" t="n">
        <f aca="false">ROUND(D96*Paramètres!$B$58*Paramètres!$B$59^2,0)</f>
        <v>95328</v>
      </c>
      <c r="K96" s="29" t="n">
        <f aca="false">ROUND(D96*Paramètres!$B$58*Paramètres!$B$59^3,0)</f>
        <v>285984</v>
      </c>
      <c r="L96" s="29" t="n">
        <f aca="false">ROUND(D96*Paramètres!$B$58*Paramètres!$B$59^4,0)</f>
        <v>857952</v>
      </c>
      <c r="M96" s="29" t="n">
        <f aca="false">ROUND(D96*Paramètres!$B$58*Paramètres!$B$59^5,0)</f>
        <v>2573856</v>
      </c>
    </row>
    <row r="97" customFormat="false" ht="15.75" hidden="false" customHeight="true" outlineLevel="0" collapsed="false">
      <c r="A97" s="71" t="n">
        <v>92</v>
      </c>
      <c r="B97" s="83" t="n">
        <f aca="false">(Paramètres!$B$5+(1-Paramètres!$B$5)*((A97-Paramètres!$B$7)/(Paramètres!$B$8-Paramètres!$B$7))^Paramètres!$B$6)</f>
        <v>0.908639854099929</v>
      </c>
      <c r="C97" s="29" t="n">
        <f aca="false">ROUND(Paramètres!$B$49*A97^Paramètres!$B$50,0)</f>
        <v>1710</v>
      </c>
      <c r="D97" s="29" t="n">
        <f aca="false">ROUND(Paramètres!$B$53*A97^Paramètres!$B$54,0)</f>
        <v>1343</v>
      </c>
      <c r="E97" s="29" t="n">
        <f aca="false">ROUND(C97*(Paramètres!$B$51+Paramètres!$B$52*A97),0)</f>
        <v>127224</v>
      </c>
      <c r="F97" s="29" t="n">
        <f aca="false">F96+E96</f>
        <v>3752261</v>
      </c>
      <c r="G97" s="33" t="n">
        <f aca="false">E97/C97</f>
        <v>74.4</v>
      </c>
      <c r="H97" s="29" t="n">
        <f aca="false">ROUND(D97*Paramètres!$B$58*Paramètres!$B$59^0,0)</f>
        <v>10744</v>
      </c>
      <c r="I97" s="29" t="n">
        <f aca="false">ROUND(D97*Paramètres!$B$58*Paramètres!$B$59^1,0)</f>
        <v>32232</v>
      </c>
      <c r="J97" s="29" t="n">
        <f aca="false">ROUND(D97*Paramètres!$B$58*Paramètres!$B$59^2,0)</f>
        <v>96696</v>
      </c>
      <c r="K97" s="29" t="n">
        <f aca="false">ROUND(D97*Paramètres!$B$58*Paramètres!$B$59^3,0)</f>
        <v>290088</v>
      </c>
      <c r="L97" s="29" t="n">
        <f aca="false">ROUND(D97*Paramètres!$B$58*Paramètres!$B$59^4,0)</f>
        <v>870264</v>
      </c>
      <c r="M97" s="29" t="n">
        <f aca="false">ROUND(D97*Paramètres!$B$58*Paramètres!$B$59^5,0)</f>
        <v>2610792</v>
      </c>
    </row>
    <row r="98" customFormat="false" ht="15.75" hidden="false" customHeight="true" outlineLevel="0" collapsed="false">
      <c r="A98" s="71" t="n">
        <v>93</v>
      </c>
      <c r="B98" s="83" t="n">
        <f aca="false">(Paramètres!$B$5+(1-Paramètres!$B$5)*((A98-Paramètres!$B$7)/(Paramètres!$B$8-Paramètres!$B$7))^Paramètres!$B$6)</f>
        <v>0.919974983721339</v>
      </c>
      <c r="C98" s="29" t="n">
        <f aca="false">ROUND(Paramètres!$B$49*A98^Paramètres!$B$50,0)</f>
        <v>1733</v>
      </c>
      <c r="D98" s="29" t="n">
        <f aca="false">ROUND(Paramètres!$B$53*A98^Paramètres!$B$54,0)</f>
        <v>1363</v>
      </c>
      <c r="E98" s="29" t="n">
        <f aca="false">ROUND(C98*(Paramètres!$B$51+Paramètres!$B$52*A98),0)</f>
        <v>130148</v>
      </c>
      <c r="F98" s="29" t="n">
        <f aca="false">F97+E97</f>
        <v>3879485</v>
      </c>
      <c r="G98" s="33" t="n">
        <f aca="false">E98/C98</f>
        <v>75.0998268897865</v>
      </c>
      <c r="H98" s="29" t="n">
        <f aca="false">ROUND(D98*Paramètres!$B$58*Paramètres!$B$59^0,0)</f>
        <v>10904</v>
      </c>
      <c r="I98" s="29" t="n">
        <f aca="false">ROUND(D98*Paramètres!$B$58*Paramètres!$B$59^1,0)</f>
        <v>32712</v>
      </c>
      <c r="J98" s="29" t="n">
        <f aca="false">ROUND(D98*Paramètres!$B$58*Paramètres!$B$59^2,0)</f>
        <v>98136</v>
      </c>
      <c r="K98" s="29" t="n">
        <f aca="false">ROUND(D98*Paramètres!$B$58*Paramètres!$B$59^3,0)</f>
        <v>294408</v>
      </c>
      <c r="L98" s="29" t="n">
        <f aca="false">ROUND(D98*Paramètres!$B$58*Paramètres!$B$59^4,0)</f>
        <v>883224</v>
      </c>
      <c r="M98" s="29" t="n">
        <f aca="false">ROUND(D98*Paramètres!$B$58*Paramètres!$B$59^5,0)</f>
        <v>2649672</v>
      </c>
    </row>
    <row r="99" customFormat="false" ht="15.75" hidden="false" customHeight="true" outlineLevel="0" collapsed="false">
      <c r="A99" s="71" t="n">
        <v>94</v>
      </c>
      <c r="B99" s="83" t="n">
        <f aca="false">(Paramètres!$B$5+(1-Paramètres!$B$5)*((A99-Paramètres!$B$7)/(Paramètres!$B$8-Paramètres!$B$7))^Paramètres!$B$6)</f>
        <v>0.931334782170305</v>
      </c>
      <c r="C99" s="29" t="n">
        <f aca="false">ROUND(Paramètres!$B$49*A99^Paramètres!$B$50,0)</f>
        <v>1756</v>
      </c>
      <c r="D99" s="29" t="n">
        <f aca="false">ROUND(Paramètres!$B$53*A99^Paramètres!$B$54,0)</f>
        <v>1383</v>
      </c>
      <c r="E99" s="29" t="n">
        <f aca="false">ROUND(C99*(Paramètres!$B$51+Paramètres!$B$52*A99),0)</f>
        <v>133105</v>
      </c>
      <c r="F99" s="29" t="n">
        <f aca="false">F98+E98</f>
        <v>4009633</v>
      </c>
      <c r="G99" s="33" t="n">
        <f aca="false">E99/C99</f>
        <v>75.8001138952164</v>
      </c>
      <c r="H99" s="29" t="n">
        <f aca="false">ROUND(D99*Paramètres!$B$58*Paramètres!$B$59^0,0)</f>
        <v>11064</v>
      </c>
      <c r="I99" s="29" t="n">
        <f aca="false">ROUND(D99*Paramètres!$B$58*Paramètres!$B$59^1,0)</f>
        <v>33192</v>
      </c>
      <c r="J99" s="29" t="n">
        <f aca="false">ROUND(D99*Paramètres!$B$58*Paramètres!$B$59^2,0)</f>
        <v>99576</v>
      </c>
      <c r="K99" s="29" t="n">
        <f aca="false">ROUND(D99*Paramètres!$B$58*Paramètres!$B$59^3,0)</f>
        <v>298728</v>
      </c>
      <c r="L99" s="29" t="n">
        <f aca="false">ROUND(D99*Paramètres!$B$58*Paramètres!$B$59^4,0)</f>
        <v>896184</v>
      </c>
      <c r="M99" s="29" t="n">
        <f aca="false">ROUND(D99*Paramètres!$B$58*Paramètres!$B$59^5,0)</f>
        <v>2688552</v>
      </c>
    </row>
    <row r="100" customFormat="false" ht="15.75" hidden="false" customHeight="true" outlineLevel="0" collapsed="false">
      <c r="A100" s="71" t="n">
        <v>95</v>
      </c>
      <c r="B100" s="83" t="n">
        <f aca="false">(Paramètres!$B$5+(1-Paramètres!$B$5)*((A100-Paramètres!$B$7)/(Paramètres!$B$8-Paramètres!$B$7))^Paramètres!$B$6)</f>
        <v>0.942719037005277</v>
      </c>
      <c r="C100" s="29" t="n">
        <f aca="false">ROUND(Paramètres!$B$49*A100^Paramètres!$B$50,0)</f>
        <v>1780</v>
      </c>
      <c r="D100" s="29" t="n">
        <f aca="false">ROUND(Paramètres!$B$53*A100^Paramètres!$B$54,0)</f>
        <v>1403</v>
      </c>
      <c r="E100" s="29" t="n">
        <f aca="false">ROUND(C100*(Paramètres!$B$51+Paramètres!$B$52*A100),0)</f>
        <v>136170</v>
      </c>
      <c r="F100" s="29" t="n">
        <f aca="false">F99+E99</f>
        <v>4142738</v>
      </c>
      <c r="G100" s="33" t="n">
        <f aca="false">E100/C100</f>
        <v>76.5</v>
      </c>
      <c r="H100" s="29" t="n">
        <f aca="false">ROUND(D100*Paramètres!$B$58*Paramètres!$B$59^0,0)</f>
        <v>11224</v>
      </c>
      <c r="I100" s="29" t="n">
        <f aca="false">ROUND(D100*Paramètres!$B$58*Paramètres!$B$59^1,0)</f>
        <v>33672</v>
      </c>
      <c r="J100" s="29" t="n">
        <f aca="false">ROUND(D100*Paramètres!$B$58*Paramètres!$B$59^2,0)</f>
        <v>101016</v>
      </c>
      <c r="K100" s="29" t="n">
        <f aca="false">ROUND(D100*Paramètres!$B$58*Paramètres!$B$59^3,0)</f>
        <v>303048</v>
      </c>
      <c r="L100" s="29" t="n">
        <f aca="false">ROUND(D100*Paramètres!$B$58*Paramètres!$B$59^4,0)</f>
        <v>909144</v>
      </c>
      <c r="M100" s="29" t="n">
        <f aca="false">ROUND(D100*Paramètres!$B$58*Paramètres!$B$59^5,0)</f>
        <v>2727432</v>
      </c>
    </row>
    <row r="101" customFormat="false" ht="15.75" hidden="false" customHeight="true" outlineLevel="0" collapsed="false">
      <c r="A101" s="71" t="n">
        <v>96</v>
      </c>
      <c r="B101" s="83" t="n">
        <f aca="false">(Paramètres!$B$5+(1-Paramètres!$B$5)*((A101-Paramètres!$B$7)/(Paramètres!$B$8-Paramètres!$B$7))^Paramètres!$B$6)</f>
        <v>0.954127539857307</v>
      </c>
      <c r="C101" s="29" t="n">
        <f aca="false">ROUND(Paramètres!$B$49*A101^Paramètres!$B$50,0)</f>
        <v>1803</v>
      </c>
      <c r="D101" s="29" t="n">
        <f aca="false">ROUND(Paramètres!$B$53*A101^Paramètres!$B$54,0)</f>
        <v>1423</v>
      </c>
      <c r="E101" s="29" t="n">
        <f aca="false">ROUND(C101*(Paramètres!$B$51+Paramètres!$B$52*A101),0)</f>
        <v>139192</v>
      </c>
      <c r="F101" s="29" t="n">
        <f aca="false">F100+E100</f>
        <v>4278908</v>
      </c>
      <c r="G101" s="33" t="n">
        <f aca="false">E101/C101</f>
        <v>77.2002218524681</v>
      </c>
      <c r="H101" s="29" t="n">
        <f aca="false">ROUND(D101*Paramètres!$B$58*Paramètres!$B$59^0,0)</f>
        <v>11384</v>
      </c>
      <c r="I101" s="29" t="n">
        <f aca="false">ROUND(D101*Paramètres!$B$58*Paramètres!$B$59^1,0)</f>
        <v>34152</v>
      </c>
      <c r="J101" s="29" t="n">
        <f aca="false">ROUND(D101*Paramètres!$B$58*Paramètres!$B$59^2,0)</f>
        <v>102456</v>
      </c>
      <c r="K101" s="29" t="n">
        <f aca="false">ROUND(D101*Paramètres!$B$58*Paramètres!$B$59^3,0)</f>
        <v>307368</v>
      </c>
      <c r="L101" s="29" t="n">
        <f aca="false">ROUND(D101*Paramètres!$B$58*Paramètres!$B$59^4,0)</f>
        <v>922104</v>
      </c>
      <c r="M101" s="29" t="n">
        <f aca="false">ROUND(D101*Paramètres!$B$58*Paramètres!$B$59^5,0)</f>
        <v>2766312</v>
      </c>
    </row>
    <row r="102" customFormat="false" ht="15.75" hidden="false" customHeight="true" outlineLevel="0" collapsed="false">
      <c r="A102" s="71" t="n">
        <v>97</v>
      </c>
      <c r="B102" s="83" t="n">
        <f aca="false">(Paramètres!$B$5+(1-Paramètres!$B$5)*((A102-Paramètres!$B$7)/(Paramètres!$B$8-Paramètres!$B$7))^Paramètres!$B$6)</f>
        <v>0.965560086309877</v>
      </c>
      <c r="C102" s="29" t="n">
        <f aca="false">ROUND(Paramètres!$B$49*A102^Paramètres!$B$50,0)</f>
        <v>1826</v>
      </c>
      <c r="D102" s="29" t="n">
        <f aca="false">ROUND(Paramètres!$B$53*A102^Paramètres!$B$54,0)</f>
        <v>1443</v>
      </c>
      <c r="E102" s="29" t="n">
        <f aca="false">ROUND(C102*(Paramètres!$B$51+Paramètres!$B$52*A102),0)</f>
        <v>142245</v>
      </c>
      <c r="F102" s="29" t="n">
        <f aca="false">F101+E101</f>
        <v>4418100</v>
      </c>
      <c r="G102" s="33" t="n">
        <f aca="false">E102/C102</f>
        <v>77.8997809419496</v>
      </c>
      <c r="H102" s="29" t="n">
        <f aca="false">ROUND(D102*Paramètres!$B$58*Paramètres!$B$59^0,0)</f>
        <v>11544</v>
      </c>
      <c r="I102" s="29" t="n">
        <f aca="false">ROUND(D102*Paramètres!$B$58*Paramètres!$B$59^1,0)</f>
        <v>34632</v>
      </c>
      <c r="J102" s="29" t="n">
        <f aca="false">ROUND(D102*Paramètres!$B$58*Paramètres!$B$59^2,0)</f>
        <v>103896</v>
      </c>
      <c r="K102" s="29" t="n">
        <f aca="false">ROUND(D102*Paramètres!$B$58*Paramètres!$B$59^3,0)</f>
        <v>311688</v>
      </c>
      <c r="L102" s="29" t="n">
        <f aca="false">ROUND(D102*Paramètres!$B$58*Paramètres!$B$59^4,0)</f>
        <v>935064</v>
      </c>
      <c r="M102" s="29" t="n">
        <f aca="false">ROUND(D102*Paramètres!$B$58*Paramètres!$B$59^5,0)</f>
        <v>2805192</v>
      </c>
    </row>
    <row r="103" customFormat="false" ht="15.75" hidden="false" customHeight="true" outlineLevel="0" collapsed="false">
      <c r="A103" s="71" t="n">
        <v>98</v>
      </c>
      <c r="B103" s="83" t="n">
        <f aca="false">(Paramètres!$B$5+(1-Paramètres!$B$5)*((A103-Paramètres!$B$7)/(Paramètres!$B$8-Paramètres!$B$7))^Paramètres!$B$6)</f>
        <v>0.977016475783491</v>
      </c>
      <c r="C103" s="29" t="n">
        <f aca="false">ROUND(Paramètres!$B$49*A103^Paramètres!$B$50,0)</f>
        <v>1850</v>
      </c>
      <c r="D103" s="29" t="n">
        <f aca="false">ROUND(Paramètres!$B$53*A103^Paramètres!$B$54,0)</f>
        <v>1463</v>
      </c>
      <c r="E103" s="29" t="n">
        <f aca="false">ROUND(C103*(Paramètres!$B$51+Paramètres!$B$52*A103),0)</f>
        <v>145410</v>
      </c>
      <c r="F103" s="29" t="n">
        <f aca="false">F102+E102</f>
        <v>4560345</v>
      </c>
      <c r="G103" s="33" t="n">
        <f aca="false">E103/C103</f>
        <v>78.6</v>
      </c>
      <c r="H103" s="29" t="n">
        <f aca="false">ROUND(D103*Paramètres!$B$58*Paramètres!$B$59^0,0)</f>
        <v>11704</v>
      </c>
      <c r="I103" s="29" t="n">
        <f aca="false">ROUND(D103*Paramètres!$B$58*Paramètres!$B$59^1,0)</f>
        <v>35112</v>
      </c>
      <c r="J103" s="29" t="n">
        <f aca="false">ROUND(D103*Paramètres!$B$58*Paramètres!$B$59^2,0)</f>
        <v>105336</v>
      </c>
      <c r="K103" s="29" t="n">
        <f aca="false">ROUND(D103*Paramètres!$B$58*Paramètres!$B$59^3,0)</f>
        <v>316008</v>
      </c>
      <c r="L103" s="29" t="n">
        <f aca="false">ROUND(D103*Paramètres!$B$58*Paramètres!$B$59^4,0)</f>
        <v>948024</v>
      </c>
      <c r="M103" s="29" t="n">
        <f aca="false">ROUND(D103*Paramètres!$B$58*Paramètres!$B$59^5,0)</f>
        <v>2844072</v>
      </c>
    </row>
    <row r="104" customFormat="false" ht="15.75" hidden="false" customHeight="true" outlineLevel="0" collapsed="false">
      <c r="A104" s="71" t="n">
        <v>99</v>
      </c>
      <c r="B104" s="83" t="n">
        <f aca="false">(Paramètres!$B$5+(1-Paramètres!$B$5)*((A104-Paramètres!$B$7)/(Paramètres!$B$8-Paramètres!$B$7))^Paramètres!$B$6)</f>
        <v>0.988496511424796</v>
      </c>
      <c r="C104" s="29" t="n">
        <f aca="false">ROUND(Paramètres!$B$49*A104^Paramètres!$B$50,0)</f>
        <v>1874</v>
      </c>
      <c r="D104" s="29" t="n">
        <f aca="false">ROUND(Paramètres!$B$53*A104^Paramètres!$B$54,0)</f>
        <v>1483</v>
      </c>
      <c r="E104" s="29" t="n">
        <f aca="false">ROUND(C104*(Paramètres!$B$51+Paramètres!$B$52*A104),0)</f>
        <v>148608</v>
      </c>
      <c r="F104" s="29" t="n">
        <f aca="false">F103+E103</f>
        <v>4705755</v>
      </c>
      <c r="G104" s="33" t="n">
        <f aca="false">E104/C104</f>
        <v>79.2998932764141</v>
      </c>
      <c r="H104" s="29" t="n">
        <f aca="false">ROUND(D104*Paramètres!$B$58*Paramètres!$B$59^0,0)</f>
        <v>11864</v>
      </c>
      <c r="I104" s="29" t="n">
        <f aca="false">ROUND(D104*Paramètres!$B$58*Paramètres!$B$59^1,0)</f>
        <v>35592</v>
      </c>
      <c r="J104" s="29" t="n">
        <f aca="false">ROUND(D104*Paramètres!$B$58*Paramètres!$B$59^2,0)</f>
        <v>106776</v>
      </c>
      <c r="K104" s="29" t="n">
        <f aca="false">ROUND(D104*Paramètres!$B$58*Paramètres!$B$59^3,0)</f>
        <v>320328</v>
      </c>
      <c r="L104" s="29" t="n">
        <f aca="false">ROUND(D104*Paramètres!$B$58*Paramètres!$B$59^4,0)</f>
        <v>960984</v>
      </c>
      <c r="M104" s="29" t="n">
        <f aca="false">ROUND(D104*Paramètres!$B$58*Paramètres!$B$59^5,0)</f>
        <v>2882952</v>
      </c>
    </row>
    <row r="105" customFormat="false" ht="15.75" hidden="false" customHeight="true" outlineLevel="0" collapsed="false">
      <c r="A105" s="71" t="n">
        <v>100</v>
      </c>
      <c r="B105" s="83" t="n">
        <f aca="false">(Paramètres!$B$5+(1-Paramètres!$B$5)*((A105-Paramètres!$B$7)/(Paramètres!$B$8-Paramètres!$B$7))^Paramètres!$B$6)</f>
        <v>1</v>
      </c>
      <c r="C105" s="29" t="n">
        <f aca="false">ROUND(Paramètres!$B$49*A105^Paramètres!$B$50,0)</f>
        <v>1897</v>
      </c>
      <c r="D105" s="29" t="n">
        <f aca="false">ROUND(Paramètres!$B$53*A105^Paramètres!$B$54,0)</f>
        <v>1504</v>
      </c>
      <c r="E105" s="23" t="s">
        <v>573</v>
      </c>
      <c r="F105" s="29" t="n">
        <f aca="false">F104+E104</f>
        <v>4854363</v>
      </c>
      <c r="G105" s="23" t="s">
        <v>573</v>
      </c>
      <c r="H105" s="29" t="n">
        <f aca="false">ROUND(D105*Paramètres!$B$58*Paramètres!$B$59^0,0)</f>
        <v>12032</v>
      </c>
      <c r="I105" s="29" t="n">
        <f aca="false">ROUND(D105*Paramètres!$B$58*Paramètres!$B$59^1,0)</f>
        <v>36096</v>
      </c>
      <c r="J105" s="29" t="n">
        <f aca="false">ROUND(D105*Paramètres!$B$58*Paramètres!$B$59^2,0)</f>
        <v>108288</v>
      </c>
      <c r="K105" s="29" t="n">
        <f aca="false">ROUND(D105*Paramètres!$B$58*Paramètres!$B$59^3,0)</f>
        <v>324864</v>
      </c>
      <c r="L105" s="29" t="n">
        <f aca="false">ROUND(D105*Paramètres!$B$58*Paramètres!$B$59^4,0)</f>
        <v>974592</v>
      </c>
      <c r="M105" s="29" t="n">
        <f aca="false">ROUND(D105*Paramètres!$B$58*Paramètres!$B$59^5,0)</f>
        <v>2923776</v>
      </c>
    </row>
    <row r="106" customFormat="false" ht="15.75" hidden="false" customHeight="true" outlineLevel="0" collapsed="false">
      <c r="A106" s="71" t="n">
        <v>101</v>
      </c>
      <c r="B106" s="83" t="n">
        <f aca="false">(Paramètres!$B$5+(1-Paramètres!$B$5)*((A106-Paramètres!$B$7)/(Paramètres!$B$8-Paramètres!$B$7))^Paramètres!$B$6)</f>
        <v>1.01152675179239</v>
      </c>
      <c r="C106" s="29" t="n">
        <f aca="false">ROUND(Paramètres!$B$49*A106^Paramètres!$B$50,0)</f>
        <v>1921</v>
      </c>
      <c r="D106" s="29" t="n">
        <f aca="false">ROUND(Paramètres!$B$53*A106^Paramètres!$B$54,0)</f>
        <v>1524</v>
      </c>
      <c r="E106" s="23" t="s">
        <v>573</v>
      </c>
      <c r="F106" s="23" t="s">
        <v>573</v>
      </c>
      <c r="G106" s="23" t="s">
        <v>573</v>
      </c>
      <c r="H106" s="29" t="n">
        <f aca="false">ROUND(D106*Paramètres!$B$58*Paramètres!$B$59^0,0)</f>
        <v>12192</v>
      </c>
      <c r="I106" s="29" t="n">
        <f aca="false">ROUND(D106*Paramètres!$B$58*Paramètres!$B$59^1,0)</f>
        <v>36576</v>
      </c>
      <c r="J106" s="29" t="n">
        <f aca="false">ROUND(D106*Paramètres!$B$58*Paramètres!$B$59^2,0)</f>
        <v>109728</v>
      </c>
      <c r="K106" s="29" t="n">
        <f aca="false">ROUND(D106*Paramètres!$B$58*Paramètres!$B$59^3,0)</f>
        <v>329184</v>
      </c>
      <c r="L106" s="29" t="n">
        <f aca="false">ROUND(D106*Paramètres!$B$58*Paramètres!$B$59^4,0)</f>
        <v>987552</v>
      </c>
      <c r="M106" s="29" t="n">
        <f aca="false">ROUND(D106*Paramètres!$B$58*Paramètres!$B$59^5,0)</f>
        <v>2962656</v>
      </c>
    </row>
    <row r="107" customFormat="false" ht="15.75" hidden="false" customHeight="true" outlineLevel="0" collapsed="false">
      <c r="A107" s="71" t="n">
        <v>102</v>
      </c>
      <c r="B107" s="83" t="n">
        <f aca="false">(Paramètres!$B$5+(1-Paramètres!$B$5)*((A107-Paramètres!$B$7)/(Paramètres!$B$8-Paramètres!$B$7))^Paramètres!$B$6)</f>
        <v>1.02307658050375</v>
      </c>
      <c r="C107" s="29" t="n">
        <f aca="false">ROUND(Paramètres!$B$49*A107^Paramètres!$B$50,0)</f>
        <v>1945</v>
      </c>
      <c r="D107" s="29" t="n">
        <f aca="false">ROUND(Paramètres!$B$53*A107^Paramètres!$B$54,0)</f>
        <v>1544</v>
      </c>
      <c r="E107" s="23" t="s">
        <v>573</v>
      </c>
      <c r="F107" s="23" t="s">
        <v>573</v>
      </c>
      <c r="G107" s="23" t="s">
        <v>573</v>
      </c>
      <c r="H107" s="29" t="n">
        <f aca="false">ROUND(D107*Paramètres!$B$58*Paramètres!$B$59^0,0)</f>
        <v>12352</v>
      </c>
      <c r="I107" s="29" t="n">
        <f aca="false">ROUND(D107*Paramètres!$B$58*Paramètres!$B$59^1,0)</f>
        <v>37056</v>
      </c>
      <c r="J107" s="29" t="n">
        <f aca="false">ROUND(D107*Paramètres!$B$58*Paramètres!$B$59^2,0)</f>
        <v>111168</v>
      </c>
      <c r="K107" s="29" t="n">
        <f aca="false">ROUND(D107*Paramètres!$B$58*Paramètres!$B$59^3,0)</f>
        <v>333504</v>
      </c>
      <c r="L107" s="29" t="n">
        <f aca="false">ROUND(D107*Paramètres!$B$58*Paramètres!$B$59^4,0)</f>
        <v>1000512</v>
      </c>
      <c r="M107" s="29" t="n">
        <f aca="false">ROUND(D107*Paramètres!$B$58*Paramètres!$B$59^5,0)</f>
        <v>3001536</v>
      </c>
    </row>
    <row r="108" customFormat="false" ht="15.75" hidden="false" customHeight="true" outlineLevel="0" collapsed="false">
      <c r="A108" s="71" t="n">
        <v>103</v>
      </c>
      <c r="B108" s="83" t="n">
        <f aca="false">(Paramètres!$B$5+(1-Paramètres!$B$5)*((A108-Paramètres!$B$7)/(Paramètres!$B$8-Paramètres!$B$7))^Paramètres!$B$6)</f>
        <v>1.0346493031595</v>
      </c>
      <c r="C108" s="29" t="n">
        <f aca="false">ROUND(Paramètres!$B$49*A108^Paramètres!$B$50,0)</f>
        <v>1969</v>
      </c>
      <c r="D108" s="29" t="n">
        <f aca="false">ROUND(Paramètres!$B$53*A108^Paramètres!$B$54,0)</f>
        <v>1565</v>
      </c>
      <c r="E108" s="23" t="s">
        <v>573</v>
      </c>
      <c r="F108" s="23" t="s">
        <v>573</v>
      </c>
      <c r="G108" s="23" t="s">
        <v>573</v>
      </c>
      <c r="H108" s="29" t="n">
        <f aca="false">ROUND(D108*Paramètres!$B$58*Paramètres!$B$59^0,0)</f>
        <v>12520</v>
      </c>
      <c r="I108" s="29" t="n">
        <f aca="false">ROUND(D108*Paramètres!$B$58*Paramètres!$B$59^1,0)</f>
        <v>37560</v>
      </c>
      <c r="J108" s="29" t="n">
        <f aca="false">ROUND(D108*Paramètres!$B$58*Paramètres!$B$59^2,0)</f>
        <v>112680</v>
      </c>
      <c r="K108" s="29" t="n">
        <f aca="false">ROUND(D108*Paramètres!$B$58*Paramètres!$B$59^3,0)</f>
        <v>338040</v>
      </c>
      <c r="L108" s="29" t="n">
        <f aca="false">ROUND(D108*Paramètres!$B$58*Paramètres!$B$59^4,0)</f>
        <v>1014120</v>
      </c>
      <c r="M108" s="29" t="n">
        <f aca="false">ROUND(D108*Paramètres!$B$58*Paramètres!$B$59^5,0)</f>
        <v>3042360</v>
      </c>
    </row>
    <row r="109" customFormat="false" ht="15.75" hidden="false" customHeight="true" outlineLevel="0" collapsed="false">
      <c r="A109" s="71" t="n">
        <v>104</v>
      </c>
      <c r="B109" s="83" t="n">
        <f aca="false">(Paramètres!$B$5+(1-Paramètres!$B$5)*((A109-Paramètres!$B$7)/(Paramètres!$B$8-Paramètres!$B$7))^Paramètres!$B$6)</f>
        <v>1.04624474001734</v>
      </c>
      <c r="C109" s="29" t="n">
        <f aca="false">ROUND(Paramètres!$B$49*A109^Paramètres!$B$50,0)</f>
        <v>1993</v>
      </c>
      <c r="D109" s="29" t="n">
        <f aca="false">ROUND(Paramètres!$B$53*A109^Paramètres!$B$54,0)</f>
        <v>1585</v>
      </c>
      <c r="E109" s="23" t="s">
        <v>573</v>
      </c>
      <c r="F109" s="23" t="s">
        <v>573</v>
      </c>
      <c r="G109" s="23" t="s">
        <v>573</v>
      </c>
      <c r="H109" s="29" t="n">
        <f aca="false">ROUND(D109*Paramètres!$B$58*Paramètres!$B$59^0,0)</f>
        <v>12680</v>
      </c>
      <c r="I109" s="29" t="n">
        <f aca="false">ROUND(D109*Paramètres!$B$58*Paramètres!$B$59^1,0)</f>
        <v>38040</v>
      </c>
      <c r="J109" s="29" t="n">
        <f aca="false">ROUND(D109*Paramètres!$B$58*Paramètres!$B$59^2,0)</f>
        <v>114120</v>
      </c>
      <c r="K109" s="29" t="n">
        <f aca="false">ROUND(D109*Paramètres!$B$58*Paramètres!$B$59^3,0)</f>
        <v>342360</v>
      </c>
      <c r="L109" s="29" t="n">
        <f aca="false">ROUND(D109*Paramètres!$B$58*Paramètres!$B$59^4,0)</f>
        <v>1027080</v>
      </c>
      <c r="M109" s="29" t="n">
        <f aca="false">ROUND(D109*Paramètres!$B$58*Paramètres!$B$59^5,0)</f>
        <v>3081240</v>
      </c>
    </row>
    <row r="110" customFormat="false" ht="15.75" hidden="false" customHeight="true" outlineLevel="0" collapsed="false">
      <c r="A110" s="71" t="n">
        <v>105</v>
      </c>
      <c r="B110" s="83" t="n">
        <f aca="false">(Paramètres!$B$5+(1-Paramètres!$B$5)*((A110-Paramètres!$B$7)/(Paramètres!$B$8-Paramètres!$B$7))^Paramètres!$B$6)</f>
        <v>1.0578627144793</v>
      </c>
      <c r="C110" s="29" t="n">
        <f aca="false">ROUND(Paramètres!$B$49*A110^Paramètres!$B$50,0)</f>
        <v>2017</v>
      </c>
      <c r="D110" s="29" t="n">
        <f aca="false">ROUND(Paramètres!$B$53*A110^Paramètres!$B$54,0)</f>
        <v>1606</v>
      </c>
      <c r="E110" s="23" t="s">
        <v>573</v>
      </c>
      <c r="F110" s="23" t="s">
        <v>573</v>
      </c>
      <c r="G110" s="23" t="s">
        <v>573</v>
      </c>
      <c r="H110" s="29" t="n">
        <f aca="false">ROUND(D110*Paramètres!$B$58*Paramètres!$B$59^0,0)</f>
        <v>12848</v>
      </c>
      <c r="I110" s="29" t="n">
        <f aca="false">ROUND(D110*Paramètres!$B$58*Paramètres!$B$59^1,0)</f>
        <v>38544</v>
      </c>
      <c r="J110" s="29" t="n">
        <f aca="false">ROUND(D110*Paramètres!$B$58*Paramètres!$B$59^2,0)</f>
        <v>115632</v>
      </c>
      <c r="K110" s="29" t="n">
        <f aca="false">ROUND(D110*Paramètres!$B$58*Paramètres!$B$59^3,0)</f>
        <v>346896</v>
      </c>
      <c r="L110" s="29" t="n">
        <f aca="false">ROUND(D110*Paramètres!$B$58*Paramètres!$B$59^4,0)</f>
        <v>1040688</v>
      </c>
      <c r="M110" s="29" t="n">
        <f aca="false">ROUND(D110*Paramètres!$B$58*Paramètres!$B$59^5,0)</f>
        <v>3122064</v>
      </c>
    </row>
    <row r="111" customFormat="false" ht="15.75" hidden="false" customHeight="true" outlineLevel="0" collapsed="false">
      <c r="A111" s="71" t="n">
        <v>106</v>
      </c>
      <c r="B111" s="83" t="n">
        <f aca="false">(Paramètres!$B$5+(1-Paramètres!$B$5)*((A111-Paramètres!$B$7)/(Paramètres!$B$8-Paramètres!$B$7))^Paramètres!$B$6)</f>
        <v>1.06950305300702</v>
      </c>
      <c r="C111" s="29" t="n">
        <f aca="false">ROUND(Paramètres!$B$49*A111^Paramètres!$B$50,0)</f>
        <v>2041</v>
      </c>
      <c r="D111" s="29" t="n">
        <f aca="false">ROUND(Paramètres!$B$53*A111^Paramètres!$B$54,0)</f>
        <v>1627</v>
      </c>
      <c r="E111" s="23" t="s">
        <v>573</v>
      </c>
      <c r="F111" s="23" t="s">
        <v>573</v>
      </c>
      <c r="G111" s="23" t="s">
        <v>573</v>
      </c>
      <c r="H111" s="29" t="n">
        <f aca="false">ROUND(D111*Paramètres!$B$58*Paramètres!$B$59^0,0)</f>
        <v>13016</v>
      </c>
      <c r="I111" s="29" t="n">
        <f aca="false">ROUND(D111*Paramètres!$B$58*Paramètres!$B$59^1,0)</f>
        <v>39048</v>
      </c>
      <c r="J111" s="29" t="n">
        <f aca="false">ROUND(D111*Paramètres!$B$58*Paramètres!$B$59^2,0)</f>
        <v>117144</v>
      </c>
      <c r="K111" s="29" t="n">
        <f aca="false">ROUND(D111*Paramètres!$B$58*Paramètres!$B$59^3,0)</f>
        <v>351432</v>
      </c>
      <c r="L111" s="29" t="n">
        <f aca="false">ROUND(D111*Paramètres!$B$58*Paramètres!$B$59^4,0)</f>
        <v>1054296</v>
      </c>
      <c r="M111" s="29" t="n">
        <f aca="false">ROUND(D111*Paramètres!$B$58*Paramètres!$B$59^5,0)</f>
        <v>3162888</v>
      </c>
    </row>
    <row r="112" customFormat="false" ht="15.75" hidden="false" customHeight="true" outlineLevel="0" collapsed="false">
      <c r="A112" s="71" t="n">
        <v>107</v>
      </c>
      <c r="B112" s="83" t="n">
        <f aca="false">(Paramètres!$B$5+(1-Paramètres!$B$5)*((A112-Paramètres!$B$7)/(Paramètres!$B$8-Paramètres!$B$7))^Paramètres!$B$6)</f>
        <v>1.08116558504004</v>
      </c>
      <c r="C112" s="29" t="n">
        <f aca="false">ROUND(Paramètres!$B$49*A112^Paramètres!$B$50,0)</f>
        <v>2065</v>
      </c>
      <c r="D112" s="29" t="n">
        <f aca="false">ROUND(Paramètres!$B$53*A112^Paramètres!$B$54,0)</f>
        <v>1647</v>
      </c>
      <c r="E112" s="23" t="s">
        <v>573</v>
      </c>
      <c r="F112" s="23" t="s">
        <v>573</v>
      </c>
      <c r="G112" s="23" t="s">
        <v>573</v>
      </c>
      <c r="H112" s="29" t="n">
        <f aca="false">ROUND(D112*Paramètres!$B$58*Paramètres!$B$59^0,0)</f>
        <v>13176</v>
      </c>
      <c r="I112" s="29" t="n">
        <f aca="false">ROUND(D112*Paramètres!$B$58*Paramètres!$B$59^1,0)</f>
        <v>39528</v>
      </c>
      <c r="J112" s="29" t="n">
        <f aca="false">ROUND(D112*Paramètres!$B$58*Paramètres!$B$59^2,0)</f>
        <v>118584</v>
      </c>
      <c r="K112" s="29" t="n">
        <f aca="false">ROUND(D112*Paramètres!$B$58*Paramètres!$B$59^3,0)</f>
        <v>355752</v>
      </c>
      <c r="L112" s="29" t="n">
        <f aca="false">ROUND(D112*Paramètres!$B$58*Paramètres!$B$59^4,0)</f>
        <v>1067256</v>
      </c>
      <c r="M112" s="29" t="n">
        <f aca="false">ROUND(D112*Paramètres!$B$58*Paramètres!$B$59^5,0)</f>
        <v>3201768</v>
      </c>
    </row>
    <row r="113" customFormat="false" ht="15.75" hidden="false" customHeight="true" outlineLevel="0" collapsed="false">
      <c r="A113" s="71" t="n">
        <v>108</v>
      </c>
      <c r="B113" s="83" t="n">
        <f aca="false">(Paramètres!$B$5+(1-Paramètres!$B$5)*((A113-Paramètres!$B$7)/(Paramètres!$B$8-Paramètres!$B$7))^Paramètres!$B$6)</f>
        <v>1.0928501429171</v>
      </c>
      <c r="C113" s="29" t="n">
        <f aca="false">ROUND(Paramètres!$B$49*A113^Paramètres!$B$50,0)</f>
        <v>2089</v>
      </c>
      <c r="D113" s="29" t="n">
        <f aca="false">ROUND(Paramètres!$B$53*A113^Paramètres!$B$54,0)</f>
        <v>1668</v>
      </c>
      <c r="E113" s="23" t="s">
        <v>573</v>
      </c>
      <c r="F113" s="23" t="s">
        <v>573</v>
      </c>
      <c r="G113" s="23" t="s">
        <v>573</v>
      </c>
      <c r="H113" s="29" t="n">
        <f aca="false">ROUND(D113*Paramètres!$B$58*Paramètres!$B$59^0,0)</f>
        <v>13344</v>
      </c>
      <c r="I113" s="29" t="n">
        <f aca="false">ROUND(D113*Paramètres!$B$58*Paramètres!$B$59^1,0)</f>
        <v>40032</v>
      </c>
      <c r="J113" s="29" t="n">
        <f aca="false">ROUND(D113*Paramètres!$B$58*Paramètres!$B$59^2,0)</f>
        <v>120096</v>
      </c>
      <c r="K113" s="29" t="n">
        <f aca="false">ROUND(D113*Paramètres!$B$58*Paramètres!$B$59^3,0)</f>
        <v>360288</v>
      </c>
      <c r="L113" s="29" t="n">
        <f aca="false">ROUND(D113*Paramètres!$B$58*Paramètres!$B$59^4,0)</f>
        <v>1080864</v>
      </c>
      <c r="M113" s="29" t="n">
        <f aca="false">ROUND(D113*Paramètres!$B$58*Paramètres!$B$59^5,0)</f>
        <v>3242592</v>
      </c>
    </row>
    <row r="114" customFormat="false" ht="15.75" hidden="false" customHeight="true" outlineLevel="0" collapsed="false">
      <c r="A114" s="71" t="n">
        <v>109</v>
      </c>
      <c r="B114" s="83" t="n">
        <f aca="false">(Paramètres!$B$5+(1-Paramètres!$B$5)*((A114-Paramètres!$B$7)/(Paramètres!$B$8-Paramètres!$B$7))^Paramètres!$B$6)</f>
        <v>1.10455656180015</v>
      </c>
      <c r="C114" s="29" t="n">
        <f aca="false">ROUND(Paramètres!$B$49*A114^Paramètres!$B$50,0)</f>
        <v>2113</v>
      </c>
      <c r="D114" s="29" t="n">
        <f aca="false">ROUND(Paramètres!$B$53*A114^Paramètres!$B$54,0)</f>
        <v>1689</v>
      </c>
      <c r="E114" s="23" t="s">
        <v>573</v>
      </c>
      <c r="F114" s="23" t="s">
        <v>573</v>
      </c>
      <c r="G114" s="23" t="s">
        <v>573</v>
      </c>
      <c r="H114" s="29" t="n">
        <f aca="false">ROUND(D114*Paramètres!$B$58*Paramètres!$B$59^0,0)</f>
        <v>13512</v>
      </c>
      <c r="I114" s="29" t="n">
        <f aca="false">ROUND(D114*Paramètres!$B$58*Paramètres!$B$59^1,0)</f>
        <v>40536</v>
      </c>
      <c r="J114" s="29" t="n">
        <f aca="false">ROUND(D114*Paramètres!$B$58*Paramètres!$B$59^2,0)</f>
        <v>121608</v>
      </c>
      <c r="K114" s="29" t="n">
        <f aca="false">ROUND(D114*Paramètres!$B$58*Paramètres!$B$59^3,0)</f>
        <v>364824</v>
      </c>
      <c r="L114" s="29" t="n">
        <f aca="false">ROUND(D114*Paramètres!$B$58*Paramètres!$B$59^4,0)</f>
        <v>1094472</v>
      </c>
      <c r="M114" s="29" t="n">
        <f aca="false">ROUND(D114*Paramètres!$B$58*Paramètres!$B$59^5,0)</f>
        <v>3283416</v>
      </c>
    </row>
    <row r="115" customFormat="false" ht="15.75" hidden="false" customHeight="true" outlineLevel="0" collapsed="false">
      <c r="A115" s="71" t="n">
        <v>110</v>
      </c>
      <c r="B115" s="83" t="n">
        <f aca="false">(Paramètres!$B$5+(1-Paramètres!$B$5)*((A115-Paramètres!$B$7)/(Paramètres!$B$8-Paramètres!$B$7))^Paramètres!$B$6)</f>
        <v>1.11628467960114</v>
      </c>
      <c r="C115" s="29" t="n">
        <f aca="false">ROUND(Paramètres!$B$49*A115^Paramètres!$B$50,0)</f>
        <v>2137</v>
      </c>
      <c r="D115" s="29" t="n">
        <f aca="false">ROUND(Paramètres!$B$53*A115^Paramètres!$B$54,0)</f>
        <v>1710</v>
      </c>
      <c r="E115" s="23" t="s">
        <v>573</v>
      </c>
      <c r="F115" s="23" t="s">
        <v>573</v>
      </c>
      <c r="G115" s="23" t="s">
        <v>573</v>
      </c>
      <c r="H115" s="29" t="n">
        <f aca="false">ROUND(D115*Paramètres!$B$58*Paramètres!$B$59^0,0)</f>
        <v>13680</v>
      </c>
      <c r="I115" s="29" t="n">
        <f aca="false">ROUND(D115*Paramètres!$B$58*Paramètres!$B$59^1,0)</f>
        <v>41040</v>
      </c>
      <c r="J115" s="29" t="n">
        <f aca="false">ROUND(D115*Paramètres!$B$58*Paramètres!$B$59^2,0)</f>
        <v>123120</v>
      </c>
      <c r="K115" s="29" t="n">
        <f aca="false">ROUND(D115*Paramètres!$B$58*Paramètres!$B$59^3,0)</f>
        <v>369360</v>
      </c>
      <c r="L115" s="29" t="n">
        <f aca="false">ROUND(D115*Paramètres!$B$58*Paramètres!$B$59^4,0)</f>
        <v>1108080</v>
      </c>
      <c r="M115" s="29" t="n">
        <f aca="false">ROUND(D115*Paramètres!$B$58*Paramètres!$B$59^5,0)</f>
        <v>3324240</v>
      </c>
    </row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8"/>
  </cols>
  <sheetData>
    <row r="1" customFormat="false" ht="17.25" hidden="false" customHeight="true" outlineLevel="0" collapsed="false">
      <c r="A1" s="84" t="s">
        <v>574</v>
      </c>
    </row>
    <row r="2" customFormat="false" ht="15" hidden="false" customHeight="true" outlineLevel="0" collapsed="false">
      <c r="A2" s="70" t="s">
        <v>575</v>
      </c>
    </row>
    <row r="4" customFormat="false" ht="15" hidden="false" customHeight="true" outlineLevel="0" collapsed="false">
      <c r="A4" s="85" t="s">
        <v>576</v>
      </c>
      <c r="B4" s="85"/>
      <c r="C4" s="85"/>
      <c r="D4" s="85"/>
      <c r="E4" s="85"/>
      <c r="F4" s="85"/>
      <c r="G4" s="85"/>
      <c r="H4" s="85"/>
      <c r="I4" s="85"/>
    </row>
    <row r="5" customFormat="false" ht="30" hidden="false" customHeight="true" outlineLevel="0" collapsed="false">
      <c r="A5" s="86" t="s">
        <v>577</v>
      </c>
      <c r="B5" s="86" t="s">
        <v>578</v>
      </c>
      <c r="C5" s="86" t="s">
        <v>579</v>
      </c>
    </row>
    <row r="6" customFormat="false" ht="45.75" hidden="false" customHeight="true" outlineLevel="0" collapsed="false">
      <c r="A6" s="87" t="s">
        <v>580</v>
      </c>
      <c r="B6" s="88" t="n">
        <v>60</v>
      </c>
      <c r="C6" s="7" t="s">
        <v>581</v>
      </c>
    </row>
    <row r="7" customFormat="false" ht="57" hidden="false" customHeight="true" outlineLevel="0" collapsed="false">
      <c r="A7" s="87" t="s">
        <v>582</v>
      </c>
      <c r="B7" s="88" t="n">
        <v>6</v>
      </c>
      <c r="C7" s="7" t="s">
        <v>583</v>
      </c>
    </row>
    <row r="8" customFormat="false" ht="45.75" hidden="false" customHeight="true" outlineLevel="0" collapsed="false">
      <c r="A8" s="87" t="s">
        <v>584</v>
      </c>
      <c r="B8" s="88" t="n">
        <v>4</v>
      </c>
      <c r="C8" s="7" t="s">
        <v>585</v>
      </c>
    </row>
    <row r="9" customFormat="false" ht="15" hidden="false" customHeight="true" outlineLevel="0" collapsed="false">
      <c r="A9" s="87" t="s">
        <v>586</v>
      </c>
      <c r="B9" s="88" t="n">
        <v>10</v>
      </c>
      <c r="C9" s="7"/>
    </row>
    <row r="10" customFormat="false" ht="57" hidden="false" customHeight="true" outlineLevel="0" collapsed="false">
      <c r="A10" s="87" t="s">
        <v>587</v>
      </c>
      <c r="B10" s="89" t="n">
        <v>0.6</v>
      </c>
      <c r="C10" s="7" t="s">
        <v>588</v>
      </c>
    </row>
    <row r="11" customFormat="false" ht="57" hidden="false" customHeight="true" outlineLevel="0" collapsed="false">
      <c r="A11" s="87" t="s">
        <v>589</v>
      </c>
      <c r="B11" s="90" t="n">
        <v>0.2</v>
      </c>
      <c r="C11" s="7" t="s">
        <v>590</v>
      </c>
    </row>
    <row r="13" customFormat="false" ht="15" hidden="false" customHeight="true" outlineLevel="0" collapsed="false">
      <c r="A13" s="85" t="s">
        <v>591</v>
      </c>
      <c r="B13" s="85"/>
      <c r="C13" s="85"/>
      <c r="D13" s="85"/>
      <c r="E13" s="85"/>
      <c r="F13" s="85"/>
      <c r="G13" s="85"/>
      <c r="H13" s="85"/>
      <c r="I13" s="85"/>
    </row>
    <row r="14" customFormat="false" ht="30" hidden="false" customHeight="true" outlineLevel="0" collapsed="false">
      <c r="A14" s="86" t="s">
        <v>592</v>
      </c>
      <c r="B14" s="86" t="s">
        <v>593</v>
      </c>
      <c r="C14" s="86" t="s">
        <v>594</v>
      </c>
      <c r="D14" s="86" t="s">
        <v>595</v>
      </c>
      <c r="E14" s="86" t="s">
        <v>596</v>
      </c>
      <c r="F14" s="86" t="s">
        <v>579</v>
      </c>
    </row>
    <row r="15" customFormat="false" ht="45.75" hidden="false" customHeight="true" outlineLevel="0" collapsed="false">
      <c r="A15" s="87" t="s">
        <v>597</v>
      </c>
      <c r="B15" s="88" t="n">
        <v>10</v>
      </c>
      <c r="C15" s="91" t="n">
        <v>1</v>
      </c>
      <c r="D15" s="92" t="n">
        <f aca="false">INDEX(Zones!$Y$6:$Y$35,MATCH(B15,Zones!$A$6:$A$35,0))</f>
        <v>50400.9813275181</v>
      </c>
      <c r="E15" s="93" t="n">
        <f aca="false">ROUND(C15*D15,-2)</f>
        <v>50400</v>
      </c>
      <c r="F15" s="7" t="s">
        <v>598</v>
      </c>
    </row>
    <row r="16" customFormat="false" ht="45.75" hidden="false" customHeight="true" outlineLevel="0" collapsed="false">
      <c r="A16" s="87" t="s">
        <v>599</v>
      </c>
      <c r="B16" s="88" t="n">
        <v>30</v>
      </c>
      <c r="C16" s="91" t="n">
        <v>1.5</v>
      </c>
      <c r="D16" s="92" t="n">
        <f aca="false">INDEX(Zones!$Y$6:$Y$35,MATCH(B16,Zones!$A$6:$A$35,0))</f>
        <v>154943.685073811</v>
      </c>
      <c r="E16" s="93" t="n">
        <f aca="false">ROUND(C16*D16,-2)</f>
        <v>232400</v>
      </c>
      <c r="F16" s="7" t="s">
        <v>600</v>
      </c>
    </row>
    <row r="18" customFormat="false" ht="15" hidden="false" customHeight="true" outlineLevel="0" collapsed="false">
      <c r="A18" s="85" t="s">
        <v>601</v>
      </c>
      <c r="B18" s="85"/>
      <c r="C18" s="85"/>
      <c r="D18" s="85"/>
      <c r="E18" s="85"/>
      <c r="F18" s="85"/>
      <c r="G18" s="85"/>
      <c r="H18" s="85"/>
      <c r="I18" s="85"/>
    </row>
    <row r="19" customFormat="false" ht="30" hidden="false" customHeight="true" outlineLevel="0" collapsed="false">
      <c r="A19" s="86" t="s">
        <v>602</v>
      </c>
      <c r="B19" s="86" t="s">
        <v>603</v>
      </c>
      <c r="C19" s="86" t="s">
        <v>604</v>
      </c>
      <c r="D19" s="86" t="s">
        <v>605</v>
      </c>
      <c r="E19" s="86" t="s">
        <v>606</v>
      </c>
      <c r="F19" s="86" t="s">
        <v>607</v>
      </c>
      <c r="G19" s="86" t="s">
        <v>608</v>
      </c>
      <c r="H19" s="86" t="s">
        <v>609</v>
      </c>
      <c r="I19" s="86" t="s">
        <v>610</v>
      </c>
    </row>
    <row r="20" customFormat="false" ht="15" hidden="false" customHeight="true" outlineLevel="0" collapsed="false">
      <c r="A20" s="94" t="s">
        <v>611</v>
      </c>
      <c r="B20" s="88" t="n">
        <v>1</v>
      </c>
      <c r="C20" s="94" t="s">
        <v>612</v>
      </c>
      <c r="D20" s="88" t="n">
        <v>1</v>
      </c>
      <c r="E20" s="95" t="n">
        <f aca="false">INDEX($B$63:$B$67,B20)</f>
        <v>10</v>
      </c>
      <c r="F20" s="92" t="n">
        <f aca="false">INDEX(Récompenses!$D$6:$D$115,E20)</f>
        <v>67</v>
      </c>
      <c r="G20" s="93" t="n">
        <f aca="false">MAX(1,ROUND(F20*$B$10,0))</f>
        <v>40</v>
      </c>
      <c r="H20" s="93" t="n">
        <f aca="false">G20*$B$9</f>
        <v>400</v>
      </c>
      <c r="I20" s="96" t="n">
        <f aca="false">ROUND(H20/INDEX(Zones!$Y$6:$Y$35,MATCH(MAX(5,D20),Zones!$A$6:$A$35,0))*60,1)</f>
        <v>1</v>
      </c>
    </row>
    <row r="21" customFormat="false" ht="15" hidden="false" customHeight="true" outlineLevel="0" collapsed="false">
      <c r="A21" s="94" t="s">
        <v>613</v>
      </c>
      <c r="B21" s="88" t="n">
        <v>1</v>
      </c>
      <c r="C21" s="94" t="s">
        <v>614</v>
      </c>
      <c r="D21" s="88" t="n">
        <v>1</v>
      </c>
      <c r="E21" s="95" t="n">
        <f aca="false">INDEX($B$63:$B$67,B21)</f>
        <v>10</v>
      </c>
      <c r="F21" s="92" t="n">
        <f aca="false">INDEX(Récompenses!$D$6:$D$115,E21)</f>
        <v>67</v>
      </c>
      <c r="G21" s="93" t="n">
        <f aca="false">MAX(1,ROUND(F21*$B$10,0))</f>
        <v>40</v>
      </c>
      <c r="H21" s="93" t="n">
        <f aca="false">G21*$B$9</f>
        <v>400</v>
      </c>
      <c r="I21" s="96" t="n">
        <f aca="false">ROUND(H21/INDEX(Zones!$Y$6:$Y$35,MATCH(MAX(5,D21),Zones!$A$6:$A$35,0))*60,1)</f>
        <v>1</v>
      </c>
    </row>
    <row r="22" customFormat="false" ht="15" hidden="false" customHeight="true" outlineLevel="0" collapsed="false">
      <c r="A22" s="94" t="s">
        <v>615</v>
      </c>
      <c r="B22" s="88" t="n">
        <v>1</v>
      </c>
      <c r="C22" s="94" t="s">
        <v>616</v>
      </c>
      <c r="D22" s="88" t="n">
        <v>1</v>
      </c>
      <c r="E22" s="95" t="n">
        <f aca="false">INDEX($B$63:$B$67,B22)</f>
        <v>10</v>
      </c>
      <c r="F22" s="92" t="n">
        <f aca="false">INDEX(Récompenses!$D$6:$D$115,E22)</f>
        <v>67</v>
      </c>
      <c r="G22" s="93" t="n">
        <f aca="false">MAX(1,ROUND(F22*$B$10,0))</f>
        <v>40</v>
      </c>
      <c r="H22" s="93" t="n">
        <f aca="false">G22*$B$9</f>
        <v>400</v>
      </c>
      <c r="I22" s="96" t="n">
        <f aca="false">ROUND(H22/INDEX(Zones!$Y$6:$Y$35,MATCH(MAX(5,D22),Zones!$A$6:$A$35,0))*60,1)</f>
        <v>1</v>
      </c>
    </row>
    <row r="23" customFormat="false" ht="15" hidden="false" customHeight="true" outlineLevel="0" collapsed="false">
      <c r="A23" s="94" t="s">
        <v>617</v>
      </c>
      <c r="B23" s="88" t="n">
        <v>1</v>
      </c>
      <c r="C23" s="94" t="s">
        <v>618</v>
      </c>
      <c r="D23" s="88" t="n">
        <v>1</v>
      </c>
      <c r="E23" s="95" t="n">
        <f aca="false">INDEX($B$63:$B$67,B23)</f>
        <v>10</v>
      </c>
      <c r="F23" s="92" t="n">
        <f aca="false">INDEX(Récompenses!$D$6:$D$115,E23)</f>
        <v>67</v>
      </c>
      <c r="G23" s="93" t="n">
        <f aca="false">MAX(1,ROUND(F23*$B$10,0))</f>
        <v>40</v>
      </c>
      <c r="H23" s="93" t="n">
        <f aca="false">G23*$B$9</f>
        <v>400</v>
      </c>
      <c r="I23" s="96" t="n">
        <f aca="false">ROUND(H23/INDEX(Zones!$Y$6:$Y$35,MATCH(MAX(5,D23),Zones!$A$6:$A$35,0))*60,1)</f>
        <v>1</v>
      </c>
    </row>
    <row r="24" customFormat="false" ht="15" hidden="false" customHeight="true" outlineLevel="0" collapsed="false">
      <c r="A24" s="94" t="s">
        <v>619</v>
      </c>
      <c r="B24" s="88" t="n">
        <v>1</v>
      </c>
      <c r="C24" s="94" t="s">
        <v>618</v>
      </c>
      <c r="D24" s="88" t="n">
        <v>1</v>
      </c>
      <c r="E24" s="95" t="n">
        <f aca="false">INDEX($B$63:$B$67,B24)</f>
        <v>10</v>
      </c>
      <c r="F24" s="92" t="n">
        <f aca="false">INDEX(Récompenses!$D$6:$D$115,E24)</f>
        <v>67</v>
      </c>
      <c r="G24" s="93" t="n">
        <f aca="false">MAX(1,ROUND(F24*$B$10,0))</f>
        <v>40</v>
      </c>
      <c r="H24" s="93" t="n">
        <f aca="false">G24*$B$9</f>
        <v>400</v>
      </c>
      <c r="I24" s="96" t="n">
        <f aca="false">ROUND(H24/INDEX(Zones!$Y$6:$Y$35,MATCH(MAX(5,D24),Zones!$A$6:$A$35,0))*60,1)</f>
        <v>1</v>
      </c>
    </row>
    <row r="25" customFormat="false" ht="15" hidden="false" customHeight="true" outlineLevel="0" collapsed="false">
      <c r="A25" s="94" t="s">
        <v>620</v>
      </c>
      <c r="B25" s="88" t="n">
        <v>1</v>
      </c>
      <c r="C25" s="94" t="s">
        <v>618</v>
      </c>
      <c r="D25" s="88" t="n">
        <v>1</v>
      </c>
      <c r="E25" s="95" t="n">
        <f aca="false">INDEX($B$63:$B$67,B25)</f>
        <v>10</v>
      </c>
      <c r="F25" s="92" t="n">
        <f aca="false">INDEX(Récompenses!$D$6:$D$115,E25)</f>
        <v>67</v>
      </c>
      <c r="G25" s="93" t="n">
        <f aca="false">MAX(1,ROUND(F25*$B$10,0))</f>
        <v>40</v>
      </c>
      <c r="H25" s="93" t="n">
        <f aca="false">G25*$B$9</f>
        <v>400</v>
      </c>
      <c r="I25" s="96" t="n">
        <f aca="false">ROUND(H25/INDEX(Zones!$Y$6:$Y$35,MATCH(MAX(5,D25),Zones!$A$6:$A$35,0))*60,1)</f>
        <v>1</v>
      </c>
    </row>
    <row r="26" customFormat="false" ht="15" hidden="false" customHeight="true" outlineLevel="0" collapsed="false">
      <c r="A26" s="94" t="s">
        <v>621</v>
      </c>
      <c r="B26" s="88" t="n">
        <v>2</v>
      </c>
      <c r="C26" s="94" t="s">
        <v>622</v>
      </c>
      <c r="D26" s="88" t="n">
        <v>15</v>
      </c>
      <c r="E26" s="95" t="n">
        <f aca="false">INDEX($B$63:$B$67,B26)</f>
        <v>25</v>
      </c>
      <c r="F26" s="92" t="n">
        <f aca="false">INDEX(Récompenses!$D$6:$D$115,E26)</f>
        <v>231</v>
      </c>
      <c r="G26" s="93" t="n">
        <f aca="false">MAX(1,ROUND(F26*$B$10,0))</f>
        <v>139</v>
      </c>
      <c r="H26" s="93" t="n">
        <f aca="false">G26*$B$9</f>
        <v>1390</v>
      </c>
      <c r="I26" s="96" t="n">
        <f aca="false">ROUND(H26/INDEX(Zones!$Y$6:$Y$35,MATCH(MAX(5,D26),Zones!$A$6:$A$35,0))*60,1)</f>
        <v>1.1</v>
      </c>
    </row>
    <row r="27" customFormat="false" ht="15" hidden="false" customHeight="true" outlineLevel="0" collapsed="false">
      <c r="A27" s="94" t="s">
        <v>623</v>
      </c>
      <c r="B27" s="88" t="n">
        <v>2</v>
      </c>
      <c r="C27" s="94" t="s">
        <v>616</v>
      </c>
      <c r="D27" s="88" t="n">
        <v>15</v>
      </c>
      <c r="E27" s="95" t="n">
        <f aca="false">INDEX($B$63:$B$67,B27)</f>
        <v>25</v>
      </c>
      <c r="F27" s="92" t="n">
        <f aca="false">INDEX(Récompenses!$D$6:$D$115,E27)</f>
        <v>231</v>
      </c>
      <c r="G27" s="93" t="n">
        <f aca="false">MAX(1,ROUND(F27*$B$10,0))</f>
        <v>139</v>
      </c>
      <c r="H27" s="93" t="n">
        <f aca="false">G27*$B$9</f>
        <v>1390</v>
      </c>
      <c r="I27" s="96" t="n">
        <f aca="false">ROUND(H27/INDEX(Zones!$Y$6:$Y$35,MATCH(MAX(5,D27),Zones!$A$6:$A$35,0))*60,1)</f>
        <v>1.1</v>
      </c>
    </row>
    <row r="28" customFormat="false" ht="15" hidden="false" customHeight="true" outlineLevel="0" collapsed="false">
      <c r="A28" s="94" t="s">
        <v>624</v>
      </c>
      <c r="B28" s="88" t="n">
        <v>2</v>
      </c>
      <c r="C28" s="94" t="s">
        <v>612</v>
      </c>
      <c r="D28" s="88" t="n">
        <v>15</v>
      </c>
      <c r="E28" s="95" t="n">
        <f aca="false">INDEX($B$63:$B$67,B28)</f>
        <v>25</v>
      </c>
      <c r="F28" s="92" t="n">
        <f aca="false">INDEX(Récompenses!$D$6:$D$115,E28)</f>
        <v>231</v>
      </c>
      <c r="G28" s="93" t="n">
        <f aca="false">MAX(1,ROUND(F28*$B$10,0))</f>
        <v>139</v>
      </c>
      <c r="H28" s="93" t="n">
        <f aca="false">G28*$B$9</f>
        <v>1390</v>
      </c>
      <c r="I28" s="96" t="n">
        <f aca="false">ROUND(H28/INDEX(Zones!$Y$6:$Y$35,MATCH(MAX(5,D28),Zones!$A$6:$A$35,0))*60,1)</f>
        <v>1.1</v>
      </c>
    </row>
    <row r="29" customFormat="false" ht="15" hidden="false" customHeight="true" outlineLevel="0" collapsed="false">
      <c r="A29" s="94" t="s">
        <v>625</v>
      </c>
      <c r="B29" s="88" t="n">
        <v>2</v>
      </c>
      <c r="C29" s="94" t="s">
        <v>612</v>
      </c>
      <c r="D29" s="88" t="n">
        <v>15</v>
      </c>
      <c r="E29" s="95" t="n">
        <f aca="false">INDEX($B$63:$B$67,B29)</f>
        <v>25</v>
      </c>
      <c r="F29" s="92" t="n">
        <f aca="false">INDEX(Récompenses!$D$6:$D$115,E29)</f>
        <v>231</v>
      </c>
      <c r="G29" s="93" t="n">
        <f aca="false">MAX(1,ROUND(F29*$B$10,0))</f>
        <v>139</v>
      </c>
      <c r="H29" s="93" t="n">
        <f aca="false">G29*$B$9</f>
        <v>1390</v>
      </c>
      <c r="I29" s="96" t="n">
        <f aca="false">ROUND(H29/INDEX(Zones!$Y$6:$Y$35,MATCH(MAX(5,D29),Zones!$A$6:$A$35,0))*60,1)</f>
        <v>1.1</v>
      </c>
    </row>
    <row r="30" customFormat="false" ht="15" hidden="false" customHeight="true" outlineLevel="0" collapsed="false">
      <c r="A30" s="94" t="s">
        <v>626</v>
      </c>
      <c r="B30" s="88" t="n">
        <v>2</v>
      </c>
      <c r="C30" s="94" t="s">
        <v>622</v>
      </c>
      <c r="D30" s="88" t="n">
        <v>15</v>
      </c>
      <c r="E30" s="95" t="n">
        <f aca="false">INDEX($B$63:$B$67,B30)</f>
        <v>25</v>
      </c>
      <c r="F30" s="92" t="n">
        <f aca="false">INDEX(Récompenses!$D$6:$D$115,E30)</f>
        <v>231</v>
      </c>
      <c r="G30" s="93" t="n">
        <f aca="false">MAX(1,ROUND(F30*$B$10,0))</f>
        <v>139</v>
      </c>
      <c r="H30" s="93" t="n">
        <f aca="false">G30*$B$9</f>
        <v>1390</v>
      </c>
      <c r="I30" s="96" t="n">
        <f aca="false">ROUND(H30/INDEX(Zones!$Y$6:$Y$35,MATCH(MAX(5,D30),Zones!$A$6:$A$35,0))*60,1)</f>
        <v>1.1</v>
      </c>
    </row>
    <row r="31" customFormat="false" ht="15" hidden="false" customHeight="true" outlineLevel="0" collapsed="false">
      <c r="A31" s="94" t="s">
        <v>627</v>
      </c>
      <c r="B31" s="88" t="n">
        <v>2</v>
      </c>
      <c r="C31" s="94" t="s">
        <v>622</v>
      </c>
      <c r="D31" s="88" t="n">
        <v>15</v>
      </c>
      <c r="E31" s="95" t="n">
        <f aca="false">INDEX($B$63:$B$67,B31)</f>
        <v>25</v>
      </c>
      <c r="F31" s="92" t="n">
        <f aca="false">INDEX(Récompenses!$D$6:$D$115,E31)</f>
        <v>231</v>
      </c>
      <c r="G31" s="93" t="n">
        <f aca="false">MAX(1,ROUND(F31*$B$10,0))</f>
        <v>139</v>
      </c>
      <c r="H31" s="93" t="n">
        <f aca="false">G31*$B$9</f>
        <v>1390</v>
      </c>
      <c r="I31" s="96" t="n">
        <f aca="false">ROUND(H31/INDEX(Zones!$Y$6:$Y$35,MATCH(MAX(5,D31),Zones!$A$6:$A$35,0))*60,1)</f>
        <v>1.1</v>
      </c>
    </row>
    <row r="32" customFormat="false" ht="15" hidden="false" customHeight="true" outlineLevel="0" collapsed="false">
      <c r="A32" s="94" t="s">
        <v>628</v>
      </c>
      <c r="B32" s="88" t="n">
        <v>3</v>
      </c>
      <c r="C32" s="94" t="s">
        <v>622</v>
      </c>
      <c r="D32" s="88" t="n">
        <v>30</v>
      </c>
      <c r="E32" s="95" t="n">
        <f aca="false">INDEX($B$63:$B$67,B32)</f>
        <v>42</v>
      </c>
      <c r="F32" s="92" t="n">
        <f aca="false">INDEX(Récompenses!$D$6:$D$115,E32)</f>
        <v>466</v>
      </c>
      <c r="G32" s="93" t="n">
        <f aca="false">MAX(1,ROUND(F32*$B$10,0))</f>
        <v>280</v>
      </c>
      <c r="H32" s="93" t="n">
        <f aca="false">G32*$B$9</f>
        <v>2800</v>
      </c>
      <c r="I32" s="96" t="n">
        <f aca="false">ROUND(H32/INDEX(Zones!$Y$6:$Y$35,MATCH(MAX(5,D32),Zones!$A$6:$A$35,0))*60,1)</f>
        <v>1.1</v>
      </c>
    </row>
    <row r="33" customFormat="false" ht="15" hidden="false" customHeight="true" outlineLevel="0" collapsed="false">
      <c r="A33" s="94" t="s">
        <v>629</v>
      </c>
      <c r="B33" s="88" t="n">
        <v>3</v>
      </c>
      <c r="C33" s="94" t="s">
        <v>614</v>
      </c>
      <c r="D33" s="88" t="n">
        <v>30</v>
      </c>
      <c r="E33" s="95" t="n">
        <f aca="false">INDEX($B$63:$B$67,B33)</f>
        <v>42</v>
      </c>
      <c r="F33" s="92" t="n">
        <f aca="false">INDEX(Récompenses!$D$6:$D$115,E33)</f>
        <v>466</v>
      </c>
      <c r="G33" s="93" t="n">
        <f aca="false">MAX(1,ROUND(F33*$B$10,0))</f>
        <v>280</v>
      </c>
      <c r="H33" s="93" t="n">
        <f aca="false">G33*$B$9</f>
        <v>2800</v>
      </c>
      <c r="I33" s="96" t="n">
        <f aca="false">ROUND(H33/INDEX(Zones!$Y$6:$Y$35,MATCH(MAX(5,D33),Zones!$A$6:$A$35,0))*60,1)</f>
        <v>1.1</v>
      </c>
    </row>
    <row r="34" customFormat="false" ht="15" hidden="false" customHeight="true" outlineLevel="0" collapsed="false">
      <c r="A34" s="94" t="s">
        <v>630</v>
      </c>
      <c r="B34" s="88" t="n">
        <v>3</v>
      </c>
      <c r="C34" s="94" t="s">
        <v>616</v>
      </c>
      <c r="D34" s="88" t="n">
        <v>30</v>
      </c>
      <c r="E34" s="95" t="n">
        <f aca="false">INDEX($B$63:$B$67,B34)</f>
        <v>42</v>
      </c>
      <c r="F34" s="92" t="n">
        <f aca="false">INDEX(Récompenses!$D$6:$D$115,E34)</f>
        <v>466</v>
      </c>
      <c r="G34" s="93" t="n">
        <f aca="false">MAX(1,ROUND(F34*$B$10,0))</f>
        <v>280</v>
      </c>
      <c r="H34" s="93" t="n">
        <f aca="false">G34*$B$9</f>
        <v>2800</v>
      </c>
      <c r="I34" s="96" t="n">
        <f aca="false">ROUND(H34/INDEX(Zones!$Y$6:$Y$35,MATCH(MAX(5,D34),Zones!$A$6:$A$35,0))*60,1)</f>
        <v>1.1</v>
      </c>
    </row>
    <row r="35" customFormat="false" ht="15" hidden="false" customHeight="true" outlineLevel="0" collapsed="false">
      <c r="A35" s="94" t="s">
        <v>631</v>
      </c>
      <c r="B35" s="88" t="n">
        <v>3</v>
      </c>
      <c r="C35" s="94" t="s">
        <v>612</v>
      </c>
      <c r="D35" s="88" t="n">
        <v>30</v>
      </c>
      <c r="E35" s="95" t="n">
        <f aca="false">INDEX($B$63:$B$67,B35)</f>
        <v>42</v>
      </c>
      <c r="F35" s="92" t="n">
        <f aca="false">INDEX(Récompenses!$D$6:$D$115,E35)</f>
        <v>466</v>
      </c>
      <c r="G35" s="93" t="n">
        <f aca="false">MAX(1,ROUND(F35*$B$10,0))</f>
        <v>280</v>
      </c>
      <c r="H35" s="93" t="n">
        <f aca="false">G35*$B$9</f>
        <v>2800</v>
      </c>
      <c r="I35" s="96" t="n">
        <f aca="false">ROUND(H35/INDEX(Zones!$Y$6:$Y$35,MATCH(MAX(5,D35),Zones!$A$6:$A$35,0))*60,1)</f>
        <v>1.1</v>
      </c>
    </row>
    <row r="36" customFormat="false" ht="15" hidden="false" customHeight="true" outlineLevel="0" collapsed="false">
      <c r="A36" s="94" t="s">
        <v>632</v>
      </c>
      <c r="B36" s="88" t="n">
        <v>3</v>
      </c>
      <c r="C36" s="94" t="s">
        <v>612</v>
      </c>
      <c r="D36" s="88" t="n">
        <v>30</v>
      </c>
      <c r="E36" s="95" t="n">
        <f aca="false">INDEX($B$63:$B$67,B36)</f>
        <v>42</v>
      </c>
      <c r="F36" s="92" t="n">
        <f aca="false">INDEX(Récompenses!$D$6:$D$115,E36)</f>
        <v>466</v>
      </c>
      <c r="G36" s="93" t="n">
        <f aca="false">MAX(1,ROUND(F36*$B$10,0))</f>
        <v>280</v>
      </c>
      <c r="H36" s="93" t="n">
        <f aca="false">G36*$B$9</f>
        <v>2800</v>
      </c>
      <c r="I36" s="96" t="n">
        <f aca="false">ROUND(H36/INDEX(Zones!$Y$6:$Y$35,MATCH(MAX(5,D36),Zones!$A$6:$A$35,0))*60,1)</f>
        <v>1.1</v>
      </c>
    </row>
    <row r="37" customFormat="false" ht="15" hidden="false" customHeight="true" outlineLevel="0" collapsed="false">
      <c r="A37" s="94" t="s">
        <v>633</v>
      </c>
      <c r="B37" s="88" t="n">
        <v>3</v>
      </c>
      <c r="C37" s="94" t="s">
        <v>622</v>
      </c>
      <c r="D37" s="88" t="n">
        <v>30</v>
      </c>
      <c r="E37" s="95" t="n">
        <f aca="false">INDEX($B$63:$B$67,B37)</f>
        <v>42</v>
      </c>
      <c r="F37" s="92" t="n">
        <f aca="false">INDEX(Récompenses!$D$6:$D$115,E37)</f>
        <v>466</v>
      </c>
      <c r="G37" s="93" t="n">
        <f aca="false">MAX(1,ROUND(F37*$B$10,0))</f>
        <v>280</v>
      </c>
      <c r="H37" s="93" t="n">
        <f aca="false">G37*$B$9</f>
        <v>2800</v>
      </c>
      <c r="I37" s="96" t="n">
        <f aca="false">ROUND(H37/INDEX(Zones!$Y$6:$Y$35,MATCH(MAX(5,D37),Zones!$A$6:$A$35,0))*60,1)</f>
        <v>1.1</v>
      </c>
    </row>
    <row r="38" customFormat="false" ht="15" hidden="false" customHeight="true" outlineLevel="0" collapsed="false">
      <c r="A38" s="94" t="s">
        <v>634</v>
      </c>
      <c r="B38" s="88" t="n">
        <v>3</v>
      </c>
      <c r="C38" s="94" t="s">
        <v>622</v>
      </c>
      <c r="D38" s="88" t="n">
        <v>30</v>
      </c>
      <c r="E38" s="95" t="n">
        <f aca="false">INDEX($B$63:$B$67,B38)</f>
        <v>42</v>
      </c>
      <c r="F38" s="92" t="n">
        <f aca="false">INDEX(Récompenses!$D$6:$D$115,E38)</f>
        <v>466</v>
      </c>
      <c r="G38" s="93" t="n">
        <f aca="false">MAX(1,ROUND(F38*$B$10,0))</f>
        <v>280</v>
      </c>
      <c r="H38" s="93" t="n">
        <f aca="false">G38*$B$9</f>
        <v>2800</v>
      </c>
      <c r="I38" s="96" t="n">
        <f aca="false">ROUND(H38/INDEX(Zones!$Y$6:$Y$35,MATCH(MAX(5,D38),Zones!$A$6:$A$35,0))*60,1)</f>
        <v>1.1</v>
      </c>
    </row>
    <row r="39" customFormat="false" ht="15" hidden="false" customHeight="true" outlineLevel="0" collapsed="false">
      <c r="A39" s="94" t="s">
        <v>635</v>
      </c>
      <c r="B39" s="88" t="n">
        <v>4</v>
      </c>
      <c r="C39" s="94" t="s">
        <v>622</v>
      </c>
      <c r="D39" s="88" t="n">
        <v>50</v>
      </c>
      <c r="E39" s="95" t="n">
        <f aca="false">INDEX($B$63:$B$67,B39)</f>
        <v>62</v>
      </c>
      <c r="F39" s="92" t="n">
        <f aca="false">INDEX(Récompenses!$D$6:$D$115,E39)</f>
        <v>789</v>
      </c>
      <c r="G39" s="93" t="n">
        <f aca="false">MAX(1,ROUND(F39*$B$10,0))</f>
        <v>473</v>
      </c>
      <c r="H39" s="93" t="n">
        <f aca="false">G39*$B$9</f>
        <v>4730</v>
      </c>
      <c r="I39" s="96" t="n">
        <f aca="false">ROUND(H39/INDEX(Zones!$Y$6:$Y$35,MATCH(MAX(5,D39),Zones!$A$6:$A$35,0))*60,1)</f>
        <v>1.3</v>
      </c>
    </row>
    <row r="40" customFormat="false" ht="15" hidden="false" customHeight="true" outlineLevel="0" collapsed="false">
      <c r="A40" s="94" t="s">
        <v>636</v>
      </c>
      <c r="B40" s="88" t="n">
        <v>4</v>
      </c>
      <c r="C40" s="94" t="s">
        <v>614</v>
      </c>
      <c r="D40" s="88" t="n">
        <v>50</v>
      </c>
      <c r="E40" s="95" t="n">
        <f aca="false">INDEX($B$63:$B$67,B40)</f>
        <v>62</v>
      </c>
      <c r="F40" s="92" t="n">
        <f aca="false">INDEX(Récompenses!$D$6:$D$115,E40)</f>
        <v>789</v>
      </c>
      <c r="G40" s="93" t="n">
        <f aca="false">MAX(1,ROUND(F40*$B$10,0))</f>
        <v>473</v>
      </c>
      <c r="H40" s="93" t="n">
        <f aca="false">G40*$B$9</f>
        <v>4730</v>
      </c>
      <c r="I40" s="96" t="n">
        <f aca="false">ROUND(H40/INDEX(Zones!$Y$6:$Y$35,MATCH(MAX(5,D40),Zones!$A$6:$A$35,0))*60,1)</f>
        <v>1.3</v>
      </c>
    </row>
    <row r="41" customFormat="false" ht="15" hidden="false" customHeight="true" outlineLevel="0" collapsed="false">
      <c r="A41" s="94" t="s">
        <v>637</v>
      </c>
      <c r="B41" s="88" t="n">
        <v>4</v>
      </c>
      <c r="C41" s="94" t="s">
        <v>616</v>
      </c>
      <c r="D41" s="88" t="n">
        <v>50</v>
      </c>
      <c r="E41" s="95" t="n">
        <f aca="false">INDEX($B$63:$B$67,B41)</f>
        <v>62</v>
      </c>
      <c r="F41" s="92" t="n">
        <f aca="false">INDEX(Récompenses!$D$6:$D$115,E41)</f>
        <v>789</v>
      </c>
      <c r="G41" s="93" t="n">
        <f aca="false">MAX(1,ROUND(F41*$B$10,0))</f>
        <v>473</v>
      </c>
      <c r="H41" s="93" t="n">
        <f aca="false">G41*$B$9</f>
        <v>4730</v>
      </c>
      <c r="I41" s="96" t="n">
        <f aca="false">ROUND(H41/INDEX(Zones!$Y$6:$Y$35,MATCH(MAX(5,D41),Zones!$A$6:$A$35,0))*60,1)</f>
        <v>1.3</v>
      </c>
    </row>
    <row r="42" customFormat="false" ht="15" hidden="false" customHeight="true" outlineLevel="0" collapsed="false">
      <c r="A42" s="94" t="s">
        <v>638</v>
      </c>
      <c r="B42" s="88" t="n">
        <v>4</v>
      </c>
      <c r="C42" s="94" t="s">
        <v>622</v>
      </c>
      <c r="D42" s="88" t="n">
        <v>50</v>
      </c>
      <c r="E42" s="95" t="n">
        <f aca="false">INDEX($B$63:$B$67,B42)</f>
        <v>62</v>
      </c>
      <c r="F42" s="92" t="n">
        <f aca="false">INDEX(Récompenses!$D$6:$D$115,E42)</f>
        <v>789</v>
      </c>
      <c r="G42" s="93" t="n">
        <f aca="false">MAX(1,ROUND(F42*$B$10,0))</f>
        <v>473</v>
      </c>
      <c r="H42" s="93" t="n">
        <f aca="false">G42*$B$9</f>
        <v>4730</v>
      </c>
      <c r="I42" s="96" t="n">
        <f aca="false">ROUND(H42/INDEX(Zones!$Y$6:$Y$35,MATCH(MAX(5,D42),Zones!$A$6:$A$35,0))*60,1)</f>
        <v>1.3</v>
      </c>
    </row>
    <row r="43" customFormat="false" ht="15" hidden="false" customHeight="true" outlineLevel="0" collapsed="false">
      <c r="A43" s="94" t="s">
        <v>639</v>
      </c>
      <c r="B43" s="88" t="n">
        <v>4</v>
      </c>
      <c r="C43" s="94" t="s">
        <v>622</v>
      </c>
      <c r="D43" s="88" t="n">
        <v>50</v>
      </c>
      <c r="E43" s="95" t="n">
        <f aca="false">INDEX($B$63:$B$67,B43)</f>
        <v>62</v>
      </c>
      <c r="F43" s="92" t="n">
        <f aca="false">INDEX(Récompenses!$D$6:$D$115,E43)</f>
        <v>789</v>
      </c>
      <c r="G43" s="93" t="n">
        <f aca="false">MAX(1,ROUND(F43*$B$10,0))</f>
        <v>473</v>
      </c>
      <c r="H43" s="93" t="n">
        <f aca="false">G43*$B$9</f>
        <v>4730</v>
      </c>
      <c r="I43" s="96" t="n">
        <f aca="false">ROUND(H43/INDEX(Zones!$Y$6:$Y$35,MATCH(MAX(5,D43),Zones!$A$6:$A$35,0))*60,1)</f>
        <v>1.3</v>
      </c>
    </row>
    <row r="44" customFormat="false" ht="15" hidden="false" customHeight="true" outlineLevel="0" collapsed="false">
      <c r="A44" s="94" t="s">
        <v>640</v>
      </c>
      <c r="B44" s="88" t="n">
        <v>4</v>
      </c>
      <c r="C44" s="94" t="s">
        <v>622</v>
      </c>
      <c r="D44" s="88" t="n">
        <v>50</v>
      </c>
      <c r="E44" s="95" t="n">
        <f aca="false">INDEX($B$63:$B$67,B44)</f>
        <v>62</v>
      </c>
      <c r="F44" s="92" t="n">
        <f aca="false">INDEX(Récompenses!$D$6:$D$115,E44)</f>
        <v>789</v>
      </c>
      <c r="G44" s="93" t="n">
        <f aca="false">MAX(1,ROUND(F44*$B$10,0))</f>
        <v>473</v>
      </c>
      <c r="H44" s="93" t="n">
        <f aca="false">G44*$B$9</f>
        <v>4730</v>
      </c>
      <c r="I44" s="96" t="n">
        <f aca="false">ROUND(H44/INDEX(Zones!$Y$6:$Y$35,MATCH(MAX(5,D44),Zones!$A$6:$A$35,0))*60,1)</f>
        <v>1.3</v>
      </c>
    </row>
    <row r="45" customFormat="false" ht="15" hidden="false" customHeight="true" outlineLevel="0" collapsed="false">
      <c r="A45" s="94" t="s">
        <v>641</v>
      </c>
      <c r="B45" s="88" t="n">
        <v>5</v>
      </c>
      <c r="C45" s="94" t="s">
        <v>622</v>
      </c>
      <c r="D45" s="88" t="n">
        <v>70</v>
      </c>
      <c r="E45" s="95" t="n">
        <f aca="false">INDEX($B$63:$B$67,B45)</f>
        <v>85</v>
      </c>
      <c r="F45" s="92" t="n">
        <f aca="false">INDEX(Récompenses!$D$6:$D$115,E45)</f>
        <v>1207</v>
      </c>
      <c r="G45" s="93" t="n">
        <f aca="false">MAX(1,ROUND(F45*$B$10,0))</f>
        <v>724</v>
      </c>
      <c r="H45" s="93" t="n">
        <f aca="false">G45*$B$9</f>
        <v>7240</v>
      </c>
      <c r="I45" s="96" t="n">
        <f aca="false">ROUND(H45/INDEX(Zones!$Y$6:$Y$35,MATCH(MAX(5,D45),Zones!$A$6:$A$35,0))*60,1)</f>
        <v>0.9</v>
      </c>
    </row>
    <row r="46" customFormat="false" ht="15" hidden="false" customHeight="true" outlineLevel="0" collapsed="false">
      <c r="A46" s="94" t="s">
        <v>642</v>
      </c>
      <c r="B46" s="88" t="n">
        <v>5</v>
      </c>
      <c r="C46" s="94" t="s">
        <v>614</v>
      </c>
      <c r="D46" s="88" t="n">
        <v>70</v>
      </c>
      <c r="E46" s="95" t="n">
        <f aca="false">INDEX($B$63:$B$67,B46)</f>
        <v>85</v>
      </c>
      <c r="F46" s="92" t="n">
        <f aca="false">INDEX(Récompenses!$D$6:$D$115,E46)</f>
        <v>1207</v>
      </c>
      <c r="G46" s="93" t="n">
        <f aca="false">MAX(1,ROUND(F46*$B$10,0))</f>
        <v>724</v>
      </c>
      <c r="H46" s="93" t="n">
        <f aca="false">G46*$B$9</f>
        <v>7240</v>
      </c>
      <c r="I46" s="96" t="n">
        <f aca="false">ROUND(H46/INDEX(Zones!$Y$6:$Y$35,MATCH(MAX(5,D46),Zones!$A$6:$A$35,0))*60,1)</f>
        <v>0.9</v>
      </c>
    </row>
    <row r="47" customFormat="false" ht="15" hidden="false" customHeight="true" outlineLevel="0" collapsed="false">
      <c r="A47" s="94" t="s">
        <v>643</v>
      </c>
      <c r="B47" s="88" t="n">
        <v>5</v>
      </c>
      <c r="C47" s="94" t="s">
        <v>616</v>
      </c>
      <c r="D47" s="88" t="n">
        <v>70</v>
      </c>
      <c r="E47" s="95" t="n">
        <f aca="false">INDEX($B$63:$B$67,B47)</f>
        <v>85</v>
      </c>
      <c r="F47" s="92" t="n">
        <f aca="false">INDEX(Récompenses!$D$6:$D$115,E47)</f>
        <v>1207</v>
      </c>
      <c r="G47" s="93" t="n">
        <f aca="false">MAX(1,ROUND(F47*$B$10,0))</f>
        <v>724</v>
      </c>
      <c r="H47" s="93" t="n">
        <f aca="false">G47*$B$9</f>
        <v>7240</v>
      </c>
      <c r="I47" s="96" t="n">
        <f aca="false">ROUND(H47/INDEX(Zones!$Y$6:$Y$35,MATCH(MAX(5,D47),Zones!$A$6:$A$35,0))*60,1)</f>
        <v>0.9</v>
      </c>
    </row>
    <row r="48" customFormat="false" ht="15" hidden="false" customHeight="true" outlineLevel="0" collapsed="false">
      <c r="A48" s="94" t="s">
        <v>644</v>
      </c>
      <c r="B48" s="88" t="n">
        <v>5</v>
      </c>
      <c r="C48" s="94" t="s">
        <v>622</v>
      </c>
      <c r="D48" s="88" t="n">
        <v>70</v>
      </c>
      <c r="E48" s="95" t="n">
        <f aca="false">INDEX($B$63:$B$67,B48)</f>
        <v>85</v>
      </c>
      <c r="F48" s="92" t="n">
        <f aca="false">INDEX(Récompenses!$D$6:$D$115,E48)</f>
        <v>1207</v>
      </c>
      <c r="G48" s="93" t="n">
        <f aca="false">MAX(1,ROUND(F48*$B$10,0))</f>
        <v>724</v>
      </c>
      <c r="H48" s="93" t="n">
        <f aca="false">G48*$B$9</f>
        <v>7240</v>
      </c>
      <c r="I48" s="96" t="n">
        <f aca="false">ROUND(H48/INDEX(Zones!$Y$6:$Y$35,MATCH(MAX(5,D48),Zones!$A$6:$A$35,0))*60,1)</f>
        <v>0.9</v>
      </c>
    </row>
    <row r="49" customFormat="false" ht="15" hidden="false" customHeight="true" outlineLevel="0" collapsed="false">
      <c r="A49" s="94" t="s">
        <v>645</v>
      </c>
      <c r="B49" s="88" t="n">
        <v>5</v>
      </c>
      <c r="C49" s="94" t="s">
        <v>614</v>
      </c>
      <c r="D49" s="88" t="n">
        <v>70</v>
      </c>
      <c r="E49" s="95" t="n">
        <f aca="false">INDEX($B$63:$B$67,B49)</f>
        <v>85</v>
      </c>
      <c r="F49" s="92" t="n">
        <f aca="false">INDEX(Récompenses!$D$6:$D$115,E49)</f>
        <v>1207</v>
      </c>
      <c r="G49" s="93" t="n">
        <f aca="false">MAX(1,ROUND(F49*$B$10,0))</f>
        <v>724</v>
      </c>
      <c r="H49" s="93" t="n">
        <f aca="false">G49*$B$9</f>
        <v>7240</v>
      </c>
      <c r="I49" s="96" t="n">
        <f aca="false">ROUND(H49/INDEX(Zones!$Y$6:$Y$35,MATCH(MAX(5,D49),Zones!$A$6:$A$35,0))*60,1)</f>
        <v>0.9</v>
      </c>
    </row>
    <row r="50" customFormat="false" ht="15" hidden="false" customHeight="true" outlineLevel="0" collapsed="false">
      <c r="A50" s="94" t="s">
        <v>646</v>
      </c>
      <c r="B50" s="88" t="n">
        <v>5</v>
      </c>
      <c r="C50" s="94" t="s">
        <v>622</v>
      </c>
      <c r="D50" s="88" t="n">
        <v>70</v>
      </c>
      <c r="E50" s="95" t="n">
        <f aca="false">INDEX($B$63:$B$67,B50)</f>
        <v>85</v>
      </c>
      <c r="F50" s="92" t="n">
        <f aca="false">INDEX(Récompenses!$D$6:$D$115,E50)</f>
        <v>1207</v>
      </c>
      <c r="G50" s="93" t="n">
        <f aca="false">MAX(1,ROUND(F50*$B$10,0))</f>
        <v>724</v>
      </c>
      <c r="H50" s="93" t="n">
        <f aca="false">G50*$B$9</f>
        <v>7240</v>
      </c>
      <c r="I50" s="96" t="n">
        <f aca="false">ROUND(H50/INDEX(Zones!$Y$6:$Y$35,MATCH(MAX(5,D50),Zones!$A$6:$A$35,0))*60,1)</f>
        <v>0.9</v>
      </c>
    </row>
    <row r="51" customFormat="false" ht="15" hidden="false" customHeight="true" outlineLevel="0" collapsed="false">
      <c r="A51" s="94" t="s">
        <v>647</v>
      </c>
      <c r="B51" s="88" t="n">
        <v>5</v>
      </c>
      <c r="C51" s="94" t="s">
        <v>648</v>
      </c>
      <c r="D51" s="88" t="n">
        <v>85</v>
      </c>
      <c r="E51" s="95" t="n">
        <f aca="false">INDEX($B$63:$B$67,B51)</f>
        <v>85</v>
      </c>
      <c r="F51" s="92" t="n">
        <f aca="false">INDEX(Récompenses!$D$6:$D$115,E51)</f>
        <v>1207</v>
      </c>
      <c r="G51" s="93" t="n">
        <f aca="false">MAX(1,ROUND(F51*$B$10,0))</f>
        <v>724</v>
      </c>
      <c r="H51" s="93" t="n">
        <f aca="false">G51*$B$9</f>
        <v>7240</v>
      </c>
      <c r="I51" s="96" t="n">
        <f aca="false">ROUND(H51/INDEX(Zones!$Y$6:$Y$35,MATCH(MAX(5,D51),Zones!$A$6:$A$35,0))*60,1)</f>
        <v>0.9</v>
      </c>
    </row>
    <row r="52" customFormat="false" ht="15" hidden="false" customHeight="true" outlineLevel="0" collapsed="false">
      <c r="A52" s="97" t="s">
        <v>649</v>
      </c>
    </row>
    <row r="54" customFormat="false" ht="15" hidden="false" customHeight="true" outlineLevel="0" collapsed="false">
      <c r="A54" s="85" t="s">
        <v>650</v>
      </c>
      <c r="B54" s="85"/>
      <c r="C54" s="85"/>
      <c r="D54" s="85"/>
      <c r="E54" s="85"/>
      <c r="F54" s="85"/>
      <c r="G54" s="85"/>
      <c r="H54" s="85"/>
      <c r="I54" s="85"/>
    </row>
    <row r="55" customFormat="false" ht="30" hidden="false" customHeight="true" outlineLevel="0" collapsed="false">
      <c r="A55" s="86" t="s">
        <v>603</v>
      </c>
      <c r="B55" s="86" t="s">
        <v>651</v>
      </c>
      <c r="C55" s="86" t="s">
        <v>411</v>
      </c>
      <c r="D55" s="86" t="s">
        <v>412</v>
      </c>
      <c r="E55" s="86" t="s">
        <v>413</v>
      </c>
      <c r="F55" s="86" t="s">
        <v>414</v>
      </c>
      <c r="G55" s="86" t="s">
        <v>652</v>
      </c>
      <c r="H55" s="86" t="s">
        <v>653</v>
      </c>
      <c r="I55" s="86" t="s">
        <v>654</v>
      </c>
    </row>
    <row r="56" customFormat="false" ht="15" hidden="false" customHeight="true" outlineLevel="0" collapsed="false">
      <c r="A56" s="95" t="n">
        <v>1</v>
      </c>
      <c r="B56" s="95" t="n">
        <f aca="false">INDEX($B$63:$B$67,A56)</f>
        <v>10</v>
      </c>
      <c r="C56" s="92" t="n">
        <f aca="false">INDEX(Récompenses!$H$6:$H$115,B56)</f>
        <v>536</v>
      </c>
      <c r="D56" s="92" t="n">
        <f aca="false">INDEX(Récompenses!$I$6:$I$115,B56)</f>
        <v>1608</v>
      </c>
      <c r="E56" s="92" t="n">
        <f aca="false">INDEX(Récompenses!$J$6:$J$115,B56)</f>
        <v>4824</v>
      </c>
      <c r="F56" s="92" t="n">
        <f aca="false">INDEX(Récompenses!$K$6:$K$115,B56)</f>
        <v>14472</v>
      </c>
      <c r="G56" s="87" t="s">
        <v>655</v>
      </c>
      <c r="H56" s="93" t="n">
        <f aca="false">ROUND(F56*$B$11,0)</f>
        <v>2894</v>
      </c>
      <c r="I56" s="96" t="n">
        <f aca="false">ROUND(F56/INDEX(Zones!$Y$6:$Y$35,MATCH(MAX(5,INDEX($D$63:$D$67,A56)),Zones!$A$6:$A$35,0))*60,1)</f>
        <v>34.4</v>
      </c>
    </row>
    <row r="57" customFormat="false" ht="15" hidden="false" customHeight="true" outlineLevel="0" collapsed="false">
      <c r="A57" s="95" t="n">
        <v>2</v>
      </c>
      <c r="B57" s="95" t="n">
        <f aca="false">INDEX($B$63:$B$67,A57)</f>
        <v>25</v>
      </c>
      <c r="C57" s="92" t="n">
        <f aca="false">INDEX(Récompenses!$H$6:$H$115,B57)</f>
        <v>1848</v>
      </c>
      <c r="D57" s="92" t="n">
        <f aca="false">INDEX(Récompenses!$I$6:$I$115,B57)</f>
        <v>5544</v>
      </c>
      <c r="E57" s="92" t="n">
        <f aca="false">INDEX(Récompenses!$J$6:$J$115,B57)</f>
        <v>16632</v>
      </c>
      <c r="F57" s="92" t="n">
        <f aca="false">INDEX(Récompenses!$K$6:$K$115,B57)</f>
        <v>49896</v>
      </c>
      <c r="G57" s="87" t="s">
        <v>655</v>
      </c>
      <c r="H57" s="93" t="n">
        <f aca="false">ROUND(F57*$B$11,0)</f>
        <v>9979</v>
      </c>
      <c r="I57" s="96" t="n">
        <f aca="false">ROUND(F57/INDEX(Zones!$Y$6:$Y$35,MATCH(MAX(5,INDEX($D$63:$D$67,A57)),Zones!$A$6:$A$35,0))*60,1)</f>
        <v>41.2</v>
      </c>
    </row>
    <row r="58" customFormat="false" ht="15" hidden="false" customHeight="true" outlineLevel="0" collapsed="false">
      <c r="A58" s="95" t="n">
        <v>3</v>
      </c>
      <c r="B58" s="95" t="n">
        <f aca="false">INDEX($B$63:$B$67,A58)</f>
        <v>42</v>
      </c>
      <c r="C58" s="92" t="n">
        <f aca="false">INDEX(Récompenses!$H$6:$H$115,B58)</f>
        <v>3728</v>
      </c>
      <c r="D58" s="92" t="n">
        <f aca="false">INDEX(Récompenses!$I$6:$I$115,B58)</f>
        <v>11184</v>
      </c>
      <c r="E58" s="92" t="n">
        <f aca="false">INDEX(Récompenses!$J$6:$J$115,B58)</f>
        <v>33552</v>
      </c>
      <c r="F58" s="92" t="n">
        <f aca="false">INDEX(Récompenses!$K$6:$K$115,B58)</f>
        <v>100656</v>
      </c>
      <c r="G58" s="87" t="s">
        <v>655</v>
      </c>
      <c r="H58" s="93" t="n">
        <f aca="false">ROUND(F58*$B$11,0)</f>
        <v>20131</v>
      </c>
      <c r="I58" s="96" t="n">
        <f aca="false">ROUND(F58/INDEX(Zones!$Y$6:$Y$35,MATCH(MAX(5,INDEX($D$63:$D$67,A58)),Zones!$A$6:$A$35,0))*60,1)</f>
        <v>39</v>
      </c>
    </row>
    <row r="59" customFormat="false" ht="15" hidden="false" customHeight="true" outlineLevel="0" collapsed="false">
      <c r="A59" s="95" t="n">
        <v>4</v>
      </c>
      <c r="B59" s="95" t="n">
        <f aca="false">INDEX($B$63:$B$67,A59)</f>
        <v>62</v>
      </c>
      <c r="C59" s="92" t="n">
        <f aca="false">INDEX(Récompenses!$H$6:$H$115,B59)</f>
        <v>6312</v>
      </c>
      <c r="D59" s="92" t="n">
        <f aca="false">INDEX(Récompenses!$I$6:$I$115,B59)</f>
        <v>18936</v>
      </c>
      <c r="E59" s="92" t="n">
        <f aca="false">INDEX(Récompenses!$J$6:$J$115,B59)</f>
        <v>56808</v>
      </c>
      <c r="F59" s="92" t="n">
        <f aca="false">INDEX(Récompenses!$K$6:$K$115,B59)</f>
        <v>170424</v>
      </c>
      <c r="G59" s="87" t="s">
        <v>655</v>
      </c>
      <c r="H59" s="93" t="n">
        <f aca="false">ROUND(F59*$B$11,0)</f>
        <v>34085</v>
      </c>
      <c r="I59" s="96" t="n">
        <f aca="false">ROUND(F59/INDEX(Zones!$Y$6:$Y$35,MATCH(MAX(5,INDEX($D$63:$D$67,A59)),Zones!$A$6:$A$35,0))*60,1)</f>
        <v>45.6</v>
      </c>
    </row>
    <row r="60" customFormat="false" ht="15" hidden="false" customHeight="true" outlineLevel="0" collapsed="false">
      <c r="A60" s="95" t="n">
        <v>5</v>
      </c>
      <c r="B60" s="95" t="n">
        <f aca="false">INDEX($B$63:$B$67,A60)</f>
        <v>85</v>
      </c>
      <c r="C60" s="92" t="n">
        <f aca="false">INDEX(Récompenses!$H$6:$H$115,B60)</f>
        <v>9656</v>
      </c>
      <c r="D60" s="92" t="n">
        <f aca="false">INDEX(Récompenses!$I$6:$I$115,B60)</f>
        <v>28968</v>
      </c>
      <c r="E60" s="92" t="n">
        <f aca="false">INDEX(Récompenses!$J$6:$J$115,B60)</f>
        <v>86904</v>
      </c>
      <c r="F60" s="92" t="n">
        <f aca="false">INDEX(Récompenses!$K$6:$K$115,B60)</f>
        <v>260712</v>
      </c>
      <c r="G60" s="87" t="s">
        <v>655</v>
      </c>
      <c r="H60" s="93" t="n">
        <f aca="false">ROUND(F60*$B$11,0)</f>
        <v>52142</v>
      </c>
      <c r="I60" s="96" t="n">
        <f aca="false">ROUND(F60/INDEX(Zones!$Y$6:$Y$35,MATCH(MAX(5,INDEX($D$63:$D$67,A60)),Zones!$A$6:$A$35,0))*60,1)</f>
        <v>32.8</v>
      </c>
    </row>
    <row r="61" customFormat="false" ht="15" hidden="false" customHeight="true" outlineLevel="0" collapsed="false">
      <c r="A61" s="85" t="s">
        <v>656</v>
      </c>
      <c r="B61" s="85"/>
      <c r="C61" s="85"/>
      <c r="D61" s="85"/>
      <c r="E61" s="85"/>
      <c r="F61" s="85"/>
      <c r="G61" s="85"/>
      <c r="H61" s="85"/>
      <c r="I61" s="85"/>
    </row>
    <row r="62" customFormat="false" ht="30" hidden="false" customHeight="true" outlineLevel="0" collapsed="false">
      <c r="A62" s="86" t="s">
        <v>603</v>
      </c>
      <c r="B62" s="86" t="s">
        <v>606</v>
      </c>
      <c r="C62" s="86" t="s">
        <v>657</v>
      </c>
      <c r="D62" s="86" t="s">
        <v>658</v>
      </c>
    </row>
    <row r="63" customFormat="false" ht="15" hidden="false" customHeight="true" outlineLevel="0" collapsed="false">
      <c r="A63" s="95" t="n">
        <v>1</v>
      </c>
      <c r="B63" s="88" t="n">
        <v>10</v>
      </c>
      <c r="C63" s="87" t="s">
        <v>659</v>
      </c>
      <c r="D63" s="98" t="n">
        <v>1</v>
      </c>
    </row>
    <row r="64" customFormat="false" ht="15" hidden="false" customHeight="true" outlineLevel="0" collapsed="false">
      <c r="A64" s="95" t="n">
        <v>2</v>
      </c>
      <c r="B64" s="88" t="n">
        <v>25</v>
      </c>
      <c r="C64" s="87" t="s">
        <v>660</v>
      </c>
      <c r="D64" s="98" t="n">
        <v>15</v>
      </c>
    </row>
    <row r="65" customFormat="false" ht="15" hidden="false" customHeight="true" outlineLevel="0" collapsed="false">
      <c r="A65" s="95" t="n">
        <v>3</v>
      </c>
      <c r="B65" s="88" t="n">
        <v>42</v>
      </c>
      <c r="C65" s="87" t="s">
        <v>661</v>
      </c>
      <c r="D65" s="98" t="n">
        <v>30</v>
      </c>
    </row>
    <row r="66" customFormat="false" ht="15" hidden="false" customHeight="true" outlineLevel="0" collapsed="false">
      <c r="A66" s="95" t="n">
        <v>4</v>
      </c>
      <c r="B66" s="88" t="n">
        <v>62</v>
      </c>
      <c r="C66" s="87" t="s">
        <v>662</v>
      </c>
      <c r="D66" s="98" t="n">
        <v>50</v>
      </c>
    </row>
    <row r="67" customFormat="false" ht="15" hidden="false" customHeight="true" outlineLevel="0" collapsed="false">
      <c r="A67" s="95" t="n">
        <v>5</v>
      </c>
      <c r="B67" s="88" t="n">
        <v>85</v>
      </c>
      <c r="C67" s="87" t="s">
        <v>663</v>
      </c>
      <c r="D67" s="98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12" min="5" style="1" width="11"/>
  </cols>
  <sheetData>
    <row r="1" customFormat="false" ht="19.5" hidden="false" customHeight="true" outlineLevel="0" collapsed="false">
      <c r="A1" s="99" t="s">
        <v>664</v>
      </c>
    </row>
    <row r="2" customFormat="false" ht="15" hidden="false" customHeight="true" outlineLevel="0" collapsed="false">
      <c r="A2" s="70" t="s">
        <v>665</v>
      </c>
    </row>
    <row r="3" customFormat="false" ht="15" hidden="false" customHeight="true" outlineLevel="0" collapsed="false">
      <c r="A3" s="70" t="s">
        <v>666</v>
      </c>
    </row>
    <row r="5" customFormat="false" ht="19.5" hidden="false" customHeight="true" outlineLevel="0" collapsed="false">
      <c r="A5" s="100" t="s">
        <v>667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</row>
    <row r="6" customFormat="false" ht="30" hidden="false" customHeight="true" outlineLevel="0" collapsed="false">
      <c r="A6" s="12" t="s">
        <v>93</v>
      </c>
      <c r="B6" s="12" t="s">
        <v>121</v>
      </c>
      <c r="C6" s="12" t="s">
        <v>668</v>
      </c>
      <c r="D6" s="12" t="s">
        <v>669</v>
      </c>
      <c r="E6" s="12" t="s">
        <v>410</v>
      </c>
      <c r="F6" s="12" t="s">
        <v>670</v>
      </c>
      <c r="G6" s="12" t="s">
        <v>671</v>
      </c>
      <c r="H6" s="12"/>
      <c r="I6" s="12"/>
      <c r="J6" s="12"/>
      <c r="K6" s="12"/>
      <c r="L6" s="12"/>
    </row>
    <row r="7" customFormat="false" ht="15" hidden="false" customHeight="true" outlineLevel="0" collapsed="false">
      <c r="A7" s="102" t="s">
        <v>165</v>
      </c>
      <c r="B7" s="103" t="n">
        <v>0.03</v>
      </c>
      <c r="C7" s="104" t="n">
        <v>1</v>
      </c>
      <c r="D7" s="105" t="n">
        <v>0</v>
      </c>
      <c r="E7" s="106" t="n">
        <f aca="false">B7*(C7+D7)</f>
        <v>0.03</v>
      </c>
      <c r="F7" s="107" t="s">
        <v>8</v>
      </c>
      <c r="G7" s="108" t="s">
        <v>672</v>
      </c>
      <c r="H7" s="108"/>
      <c r="I7" s="108"/>
      <c r="J7" s="108"/>
      <c r="K7" s="108"/>
      <c r="L7" s="108"/>
    </row>
    <row r="8" customFormat="false" ht="15" hidden="false" customHeight="true" outlineLevel="0" collapsed="false">
      <c r="A8" s="102" t="s">
        <v>138</v>
      </c>
      <c r="B8" s="103" t="n">
        <v>0.05</v>
      </c>
      <c r="C8" s="104" t="n">
        <v>1</v>
      </c>
      <c r="D8" s="105" t="n">
        <v>0</v>
      </c>
      <c r="E8" s="106" t="n">
        <f aca="false">B8*(C8+D8)</f>
        <v>0.05</v>
      </c>
      <c r="F8" s="107" t="s">
        <v>8</v>
      </c>
      <c r="G8" s="108" t="s">
        <v>673</v>
      </c>
      <c r="H8" s="108"/>
      <c r="I8" s="108"/>
      <c r="J8" s="108"/>
      <c r="K8" s="108"/>
      <c r="L8" s="108"/>
    </row>
    <row r="9" customFormat="false" ht="15" hidden="false" customHeight="true" outlineLevel="0" collapsed="false">
      <c r="A9" s="102" t="s">
        <v>148</v>
      </c>
      <c r="B9" s="103" t="n">
        <v>0.08</v>
      </c>
      <c r="C9" s="104" t="n">
        <v>1</v>
      </c>
      <c r="D9" s="105" t="n">
        <v>0</v>
      </c>
      <c r="E9" s="106" t="n">
        <f aca="false">B9*(C9+D9)</f>
        <v>0.08</v>
      </c>
      <c r="F9" s="107" t="s">
        <v>8</v>
      </c>
      <c r="G9" s="108" t="s">
        <v>674</v>
      </c>
      <c r="H9" s="108"/>
      <c r="I9" s="108"/>
      <c r="J9" s="108"/>
      <c r="K9" s="108"/>
      <c r="L9" s="108"/>
    </row>
    <row r="10" customFormat="false" ht="23.25" hidden="false" customHeight="true" outlineLevel="0" collapsed="false">
      <c r="A10" s="102" t="s">
        <v>152</v>
      </c>
      <c r="B10" s="103" t="n">
        <v>1</v>
      </c>
      <c r="C10" s="104" t="n">
        <v>1</v>
      </c>
      <c r="D10" s="105" t="n">
        <v>0.4</v>
      </c>
      <c r="E10" s="106" t="n">
        <f aca="false">B10*(C10+D10)</f>
        <v>1.4</v>
      </c>
      <c r="F10" s="107" t="s">
        <v>152</v>
      </c>
      <c r="G10" s="108" t="s">
        <v>675</v>
      </c>
      <c r="H10" s="108"/>
      <c r="I10" s="108"/>
      <c r="J10" s="108"/>
      <c r="K10" s="108"/>
      <c r="L10" s="108"/>
    </row>
    <row r="11" customFormat="false" ht="15" hidden="false" customHeight="true" outlineLevel="0" collapsed="false">
      <c r="A11" s="102" t="s">
        <v>156</v>
      </c>
      <c r="B11" s="103" t="n">
        <v>1</v>
      </c>
      <c r="C11" s="104" t="n">
        <v>2</v>
      </c>
      <c r="D11" s="105" t="n">
        <v>0.5</v>
      </c>
      <c r="E11" s="106" t="n">
        <f aca="false">B11*(C11+D11)</f>
        <v>2.5</v>
      </c>
      <c r="F11" s="107" t="s">
        <v>156</v>
      </c>
      <c r="G11" s="108" t="s">
        <v>676</v>
      </c>
      <c r="H11" s="108"/>
      <c r="I11" s="108"/>
      <c r="J11" s="108"/>
      <c r="K11" s="108"/>
      <c r="L11" s="108"/>
    </row>
    <row r="13" customFormat="false" ht="19.5" hidden="false" customHeight="true" outlineLevel="0" collapsed="false">
      <c r="A13" s="100" t="s">
        <v>677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</row>
    <row r="14" customFormat="false" ht="30" hidden="false" customHeight="true" outlineLevel="0" collapsed="false">
      <c r="A14" s="12" t="s">
        <v>678</v>
      </c>
      <c r="B14" s="12" t="s">
        <v>89</v>
      </c>
      <c r="C14" s="12" t="s">
        <v>90</v>
      </c>
      <c r="D14" s="12" t="s">
        <v>14</v>
      </c>
      <c r="E14" s="13" t="s">
        <v>411</v>
      </c>
      <c r="F14" s="14" t="s">
        <v>412</v>
      </c>
      <c r="G14" s="15" t="s">
        <v>413</v>
      </c>
      <c r="H14" s="16" t="s">
        <v>414</v>
      </c>
      <c r="I14" s="17" t="s">
        <v>415</v>
      </c>
      <c r="J14" s="18" t="s">
        <v>416</v>
      </c>
      <c r="K14" s="19" t="s">
        <v>417</v>
      </c>
      <c r="L14" s="12" t="s">
        <v>679</v>
      </c>
    </row>
    <row r="15" customFormat="false" ht="15" hidden="false" customHeight="true" outlineLevel="0" collapsed="false">
      <c r="A15" s="107" t="n">
        <v>1</v>
      </c>
      <c r="B15" s="108" t="str">
        <f aca="false">Éléments!B5</f>
        <v>Forêt</v>
      </c>
      <c r="C15" s="107" t="str">
        <f aca="false">Éléments!A5</f>
        <v>Neutre</v>
      </c>
      <c r="D15" s="107" t="str">
        <f aca="false">Éléments!C5&amp;"–"&amp;Éléments!D5</f>
        <v>1–10</v>
      </c>
      <c r="E15" s="109" t="n">
        <v>0.8</v>
      </c>
      <c r="F15" s="109" t="n">
        <v>0.2</v>
      </c>
      <c r="G15" s="109" t="n">
        <v>0</v>
      </c>
      <c r="H15" s="109" t="n">
        <v>0</v>
      </c>
      <c r="I15" s="109" t="n">
        <v>0</v>
      </c>
      <c r="J15" s="109" t="n">
        <v>0</v>
      </c>
      <c r="K15" s="109" t="n">
        <v>0</v>
      </c>
      <c r="L15" s="110" t="n">
        <f aca="false">SUM(E15:K15)</f>
        <v>1</v>
      </c>
    </row>
    <row r="16" customFormat="false" ht="15" hidden="false" customHeight="true" outlineLevel="0" collapsed="false">
      <c r="A16" s="107" t="n">
        <v>2</v>
      </c>
      <c r="B16" s="108" t="str">
        <f aca="false">Éléments!B6</f>
        <v>Montagne</v>
      </c>
      <c r="C16" s="107" t="str">
        <f aca="false">Éléments!A6</f>
        <v>Terre</v>
      </c>
      <c r="D16" s="107" t="str">
        <f aca="false">Éléments!C6&amp;"–"&amp;Éléments!D6</f>
        <v>11–20</v>
      </c>
      <c r="E16" s="109" t="n">
        <v>0.65</v>
      </c>
      <c r="F16" s="109" t="n">
        <v>0.28</v>
      </c>
      <c r="G16" s="109" t="n">
        <v>0.07</v>
      </c>
      <c r="H16" s="109" t="n">
        <v>0</v>
      </c>
      <c r="I16" s="109" t="n">
        <v>0</v>
      </c>
      <c r="J16" s="109" t="n">
        <v>0</v>
      </c>
      <c r="K16" s="109" t="n">
        <v>0</v>
      </c>
      <c r="L16" s="110" t="n">
        <f aca="false">SUM(E16:K16)</f>
        <v>1</v>
      </c>
    </row>
    <row r="17" customFormat="false" ht="15" hidden="false" customHeight="true" outlineLevel="0" collapsed="false">
      <c r="A17" s="107" t="n">
        <v>3</v>
      </c>
      <c r="B17" s="108" t="str">
        <f aca="false">Éléments!B7</f>
        <v>Volcan</v>
      </c>
      <c r="C17" s="107" t="str">
        <f aca="false">Éléments!A7</f>
        <v>Feu</v>
      </c>
      <c r="D17" s="107" t="str">
        <f aca="false">Éléments!C7&amp;"–"&amp;Éléments!D7</f>
        <v>21–30</v>
      </c>
      <c r="E17" s="109" t="n">
        <v>0.52</v>
      </c>
      <c r="F17" s="109" t="n">
        <v>0.32</v>
      </c>
      <c r="G17" s="109" t="n">
        <v>0.13</v>
      </c>
      <c r="H17" s="109" t="n">
        <v>0.03</v>
      </c>
      <c r="I17" s="109" t="n">
        <v>0</v>
      </c>
      <c r="J17" s="109" t="n">
        <v>0</v>
      </c>
      <c r="K17" s="109" t="n">
        <v>0</v>
      </c>
      <c r="L17" s="110" t="n">
        <f aca="false">SUM(E17:K17)</f>
        <v>1</v>
      </c>
    </row>
    <row r="18" customFormat="false" ht="15" hidden="false" customHeight="true" outlineLevel="0" collapsed="false">
      <c r="A18" s="107" t="n">
        <v>4</v>
      </c>
      <c r="B18" s="108" t="str">
        <f aca="false">Éléments!B8</f>
        <v>Désert</v>
      </c>
      <c r="C18" s="107" t="str">
        <f aca="false">Éléments!A8</f>
        <v>Vent</v>
      </c>
      <c r="D18" s="107" t="str">
        <f aca="false">Éléments!C8&amp;"–"&amp;Éléments!D8</f>
        <v>31–40</v>
      </c>
      <c r="E18" s="109" t="n">
        <v>0.42</v>
      </c>
      <c r="F18" s="109" t="n">
        <v>0.33</v>
      </c>
      <c r="G18" s="109" t="n">
        <v>0.18</v>
      </c>
      <c r="H18" s="109" t="n">
        <v>0.06</v>
      </c>
      <c r="I18" s="109" t="n">
        <v>0.01</v>
      </c>
      <c r="J18" s="109" t="n">
        <v>0</v>
      </c>
      <c r="K18" s="109" t="n">
        <v>0</v>
      </c>
      <c r="L18" s="110" t="n">
        <f aca="false">SUM(E18:K18)</f>
        <v>1</v>
      </c>
    </row>
    <row r="19" customFormat="false" ht="15" hidden="false" customHeight="true" outlineLevel="0" collapsed="false">
      <c r="A19" s="107" t="n">
        <v>5</v>
      </c>
      <c r="B19" s="108" t="str">
        <f aca="false">Éléments!B9</f>
        <v>Marais</v>
      </c>
      <c r="C19" s="107" t="str">
        <f aca="false">Éléments!A9</f>
        <v>Acide</v>
      </c>
      <c r="D19" s="107" t="str">
        <f aca="false">Éléments!C9&amp;"–"&amp;Éléments!D9</f>
        <v>41–50</v>
      </c>
      <c r="E19" s="109" t="n">
        <v>0.34</v>
      </c>
      <c r="F19" s="109" t="n">
        <v>0.32</v>
      </c>
      <c r="G19" s="109" t="n">
        <v>0.22</v>
      </c>
      <c r="H19" s="109" t="n">
        <v>0.094</v>
      </c>
      <c r="I19" s="109" t="n">
        <v>0.025</v>
      </c>
      <c r="J19" s="109" t="n">
        <v>0</v>
      </c>
      <c r="K19" s="109" t="n">
        <v>0.001</v>
      </c>
      <c r="L19" s="110" t="n">
        <f aca="false">SUM(E19:K19)</f>
        <v>1</v>
      </c>
    </row>
    <row r="20" customFormat="false" ht="15" hidden="false" customHeight="true" outlineLevel="0" collapsed="false">
      <c r="A20" s="107" t="n">
        <v>6</v>
      </c>
      <c r="B20" s="108" t="str">
        <f aca="false">Éléments!B10</f>
        <v>Océan / Île</v>
      </c>
      <c r="C20" s="107" t="str">
        <f aca="false">Éléments!A10</f>
        <v>Eau</v>
      </c>
      <c r="D20" s="107" t="str">
        <f aca="false">Éléments!C10&amp;"–"&amp;Éléments!D10</f>
        <v>51–60</v>
      </c>
      <c r="E20" s="109" t="n">
        <v>0.27</v>
      </c>
      <c r="F20" s="109" t="n">
        <v>0.3</v>
      </c>
      <c r="G20" s="109" t="n">
        <v>0.25</v>
      </c>
      <c r="H20" s="109" t="n">
        <v>0.128</v>
      </c>
      <c r="I20" s="109" t="n">
        <v>0.045</v>
      </c>
      <c r="J20" s="109" t="n">
        <v>0.005</v>
      </c>
      <c r="K20" s="109" t="n">
        <v>0.002</v>
      </c>
      <c r="L20" s="110" t="n">
        <f aca="false">SUM(E20:K20)</f>
        <v>1</v>
      </c>
    </row>
    <row r="21" customFormat="false" ht="15" hidden="false" customHeight="true" outlineLevel="0" collapsed="false">
      <c r="A21" s="107" t="n">
        <v>7</v>
      </c>
      <c r="B21" s="108" t="str">
        <f aca="false">Éléments!B11</f>
        <v>Iceberg</v>
      </c>
      <c r="C21" s="107" t="str">
        <f aca="false">Éléments!A11</f>
        <v>Glace</v>
      </c>
      <c r="D21" s="107" t="str">
        <f aca="false">Éléments!C11&amp;"–"&amp;Éléments!D11</f>
        <v>61–70</v>
      </c>
      <c r="E21" s="109" t="n">
        <v>0.21</v>
      </c>
      <c r="F21" s="109" t="n">
        <v>0.28</v>
      </c>
      <c r="G21" s="109" t="n">
        <v>0.27</v>
      </c>
      <c r="H21" s="109" t="n">
        <v>0.16</v>
      </c>
      <c r="I21" s="109" t="n">
        <v>0.065</v>
      </c>
      <c r="J21" s="109" t="n">
        <v>0.012</v>
      </c>
      <c r="K21" s="109" t="n">
        <v>0.003</v>
      </c>
      <c r="L21" s="110" t="n">
        <f aca="false">SUM(E21:K21)</f>
        <v>1</v>
      </c>
    </row>
    <row r="22" customFormat="false" ht="15" hidden="false" customHeight="true" outlineLevel="0" collapsed="false">
      <c r="A22" s="107" t="n">
        <v>8</v>
      </c>
      <c r="B22" s="108" t="str">
        <f aca="false">Éléments!B12</f>
        <v>Haute montagne</v>
      </c>
      <c r="C22" s="107" t="str">
        <f aca="false">Éléments!A12</f>
        <v>Électricité</v>
      </c>
      <c r="D22" s="107" t="str">
        <f aca="false">Éléments!C12&amp;"–"&amp;Éléments!D12</f>
        <v>71–80</v>
      </c>
      <c r="E22" s="109" t="n">
        <v>0.16</v>
      </c>
      <c r="F22" s="109" t="n">
        <v>0.25</v>
      </c>
      <c r="G22" s="109" t="n">
        <v>0.28</v>
      </c>
      <c r="H22" s="109" t="n">
        <v>0.19</v>
      </c>
      <c r="I22" s="109" t="n">
        <v>0.092</v>
      </c>
      <c r="J22" s="109" t="n">
        <v>0.024</v>
      </c>
      <c r="K22" s="109" t="n">
        <v>0.004</v>
      </c>
      <c r="L22" s="110" t="n">
        <f aca="false">SUM(E22:K22)</f>
        <v>1</v>
      </c>
    </row>
    <row r="23" customFormat="false" ht="15" hidden="false" customHeight="true" outlineLevel="0" collapsed="false">
      <c r="A23" s="107" t="n">
        <v>9</v>
      </c>
      <c r="B23" s="108" t="str">
        <f aca="false">Éléments!B13</f>
        <v>Palais céleste</v>
      </c>
      <c r="C23" s="107" t="str">
        <f aca="false">Éléments!A13</f>
        <v>Lumière</v>
      </c>
      <c r="D23" s="107" t="str">
        <f aca="false">Éléments!C13&amp;"–"&amp;Éléments!D13</f>
        <v>81–90</v>
      </c>
      <c r="E23" s="109" t="n">
        <v>0.12</v>
      </c>
      <c r="F23" s="109" t="n">
        <v>0.22</v>
      </c>
      <c r="G23" s="109" t="n">
        <v>0.28</v>
      </c>
      <c r="H23" s="109" t="n">
        <v>0.22</v>
      </c>
      <c r="I23" s="109" t="n">
        <v>0.116</v>
      </c>
      <c r="J23" s="109" t="n">
        <v>0.039</v>
      </c>
      <c r="K23" s="109" t="n">
        <v>0.005</v>
      </c>
      <c r="L23" s="110" t="n">
        <f aca="false">SUM(E23:K23)</f>
        <v>1</v>
      </c>
    </row>
    <row r="24" customFormat="false" ht="15" hidden="false" customHeight="true" outlineLevel="0" collapsed="false">
      <c r="A24" s="107" t="n">
        <v>10</v>
      </c>
      <c r="B24" s="108" t="str">
        <f aca="false">Éléments!B14</f>
        <v>Palais démoniaque</v>
      </c>
      <c r="C24" s="107" t="str">
        <f aca="false">Éléments!A14</f>
        <v>Ombre</v>
      </c>
      <c r="D24" s="107" t="str">
        <f aca="false">Éléments!C14&amp;"–"&amp;Éléments!D14</f>
        <v>91–100</v>
      </c>
      <c r="E24" s="109" t="n">
        <v>0.09</v>
      </c>
      <c r="F24" s="109" t="n">
        <v>0.19</v>
      </c>
      <c r="G24" s="109" t="n">
        <v>0.27</v>
      </c>
      <c r="H24" s="109" t="n">
        <v>0.24</v>
      </c>
      <c r="I24" s="109" t="n">
        <v>0.145</v>
      </c>
      <c r="J24" s="109" t="n">
        <v>0.058</v>
      </c>
      <c r="K24" s="109" t="n">
        <v>0.007</v>
      </c>
      <c r="L24" s="110" t="n">
        <f aca="false">SUM(E24:K24)</f>
        <v>1</v>
      </c>
    </row>
    <row r="25" customFormat="false" ht="15" hidden="false" customHeight="true" outlineLevel="0" collapsed="false">
      <c r="A25" s="111" t="s">
        <v>680</v>
      </c>
    </row>
    <row r="26" customFormat="false" ht="19.5" hidden="false" customHeight="true" outlineLevel="0" collapsed="false">
      <c r="A26" s="100" t="s">
        <v>681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customFormat="false" ht="30" hidden="false" customHeight="true" outlineLevel="0" collapsed="false">
      <c r="A27" s="12" t="s">
        <v>678</v>
      </c>
      <c r="B27" s="12" t="s">
        <v>89</v>
      </c>
      <c r="C27" s="12" t="s">
        <v>90</v>
      </c>
      <c r="D27" s="12" t="s">
        <v>14</v>
      </c>
      <c r="E27" s="13" t="s">
        <v>411</v>
      </c>
      <c r="F27" s="14" t="s">
        <v>412</v>
      </c>
      <c r="G27" s="15" t="s">
        <v>413</v>
      </c>
      <c r="H27" s="16" t="s">
        <v>414</v>
      </c>
      <c r="I27" s="17" t="s">
        <v>415</v>
      </c>
      <c r="J27" s="18" t="s">
        <v>416</v>
      </c>
      <c r="K27" s="19" t="s">
        <v>417</v>
      </c>
      <c r="L27" s="12" t="s">
        <v>679</v>
      </c>
    </row>
    <row r="28" customFormat="false" ht="15" hidden="false" customHeight="true" outlineLevel="0" collapsed="false">
      <c r="A28" s="107" t="n">
        <v>1</v>
      </c>
      <c r="B28" s="108" t="str">
        <f aca="false">Éléments!B5</f>
        <v>Forêt</v>
      </c>
      <c r="C28" s="107" t="str">
        <f aca="false">Éléments!A5</f>
        <v>Neutre</v>
      </c>
      <c r="D28" s="107" t="str">
        <f aca="false">Éléments!C5&amp;"–"&amp;Éléments!D5</f>
        <v>1–10</v>
      </c>
      <c r="E28" s="109" t="n">
        <v>0.4</v>
      </c>
      <c r="F28" s="109" t="n">
        <v>0.4</v>
      </c>
      <c r="G28" s="109" t="n">
        <v>0.15</v>
      </c>
      <c r="H28" s="109" t="n">
        <v>0.04</v>
      </c>
      <c r="I28" s="109" t="n">
        <v>0</v>
      </c>
      <c r="J28" s="109" t="n">
        <v>0</v>
      </c>
      <c r="K28" s="109" t="n">
        <v>0.01</v>
      </c>
      <c r="L28" s="110" t="n">
        <f aca="false">SUM(E28:K28)</f>
        <v>1</v>
      </c>
    </row>
    <row r="29" customFormat="false" ht="15" hidden="false" customHeight="true" outlineLevel="0" collapsed="false">
      <c r="A29" s="107" t="n">
        <v>2</v>
      </c>
      <c r="B29" s="108" t="str">
        <f aca="false">Éléments!B6</f>
        <v>Montagne</v>
      </c>
      <c r="C29" s="107" t="str">
        <f aca="false">Éléments!A6</f>
        <v>Terre</v>
      </c>
      <c r="D29" s="107" t="str">
        <f aca="false">Éléments!C6&amp;"–"&amp;Éléments!D6</f>
        <v>11–20</v>
      </c>
      <c r="E29" s="109" t="n">
        <v>0.28</v>
      </c>
      <c r="F29" s="109" t="n">
        <v>0.38</v>
      </c>
      <c r="G29" s="109" t="n">
        <v>0.24</v>
      </c>
      <c r="H29" s="109" t="n">
        <v>0.08</v>
      </c>
      <c r="I29" s="109" t="n">
        <v>0</v>
      </c>
      <c r="J29" s="109" t="n">
        <v>0</v>
      </c>
      <c r="K29" s="109" t="n">
        <v>0.02</v>
      </c>
      <c r="L29" s="110" t="n">
        <f aca="false">SUM(E29:K29)</f>
        <v>1</v>
      </c>
    </row>
    <row r="30" customFormat="false" ht="15" hidden="false" customHeight="true" outlineLevel="0" collapsed="false">
      <c r="A30" s="107" t="n">
        <v>3</v>
      </c>
      <c r="B30" s="108" t="str">
        <f aca="false">Éléments!B7</f>
        <v>Volcan</v>
      </c>
      <c r="C30" s="107" t="str">
        <f aca="false">Éléments!A7</f>
        <v>Feu</v>
      </c>
      <c r="D30" s="107" t="str">
        <f aca="false">Éléments!C7&amp;"–"&amp;Éléments!D7</f>
        <v>21–30</v>
      </c>
      <c r="E30" s="109" t="n">
        <v>0.18</v>
      </c>
      <c r="F30" s="109" t="n">
        <v>0.32</v>
      </c>
      <c r="G30" s="109" t="n">
        <v>0.3</v>
      </c>
      <c r="H30" s="109" t="n">
        <v>0.14</v>
      </c>
      <c r="I30" s="109" t="n">
        <v>0.03</v>
      </c>
      <c r="J30" s="109" t="n">
        <v>0</v>
      </c>
      <c r="K30" s="109" t="n">
        <v>0.03</v>
      </c>
      <c r="L30" s="110" t="n">
        <f aca="false">SUM(E30:K30)</f>
        <v>1</v>
      </c>
    </row>
    <row r="31" customFormat="false" ht="15" hidden="false" customHeight="true" outlineLevel="0" collapsed="false">
      <c r="A31" s="107" t="n">
        <v>4</v>
      </c>
      <c r="B31" s="108" t="str">
        <f aca="false">Éléments!B8</f>
        <v>Désert</v>
      </c>
      <c r="C31" s="107" t="str">
        <f aca="false">Éléments!A8</f>
        <v>Vent</v>
      </c>
      <c r="D31" s="107" t="str">
        <f aca="false">Éléments!C8&amp;"–"&amp;Éléments!D8</f>
        <v>31–40</v>
      </c>
      <c r="E31" s="109" t="n">
        <v>0.12</v>
      </c>
      <c r="F31" s="109" t="n">
        <v>0.26</v>
      </c>
      <c r="G31" s="109" t="n">
        <v>0.32</v>
      </c>
      <c r="H31" s="109" t="n">
        <v>0.19</v>
      </c>
      <c r="I31" s="109" t="n">
        <v>0.06</v>
      </c>
      <c r="J31" s="109" t="n">
        <v>0.01</v>
      </c>
      <c r="K31" s="109" t="n">
        <v>0.04</v>
      </c>
      <c r="L31" s="110" t="n">
        <f aca="false">SUM(E31:K31)</f>
        <v>1</v>
      </c>
    </row>
    <row r="32" customFormat="false" ht="15" hidden="false" customHeight="true" outlineLevel="0" collapsed="false">
      <c r="A32" s="107" t="n">
        <v>5</v>
      </c>
      <c r="B32" s="108" t="str">
        <f aca="false">Éléments!B9</f>
        <v>Marais</v>
      </c>
      <c r="C32" s="107" t="str">
        <f aca="false">Éléments!A9</f>
        <v>Acide</v>
      </c>
      <c r="D32" s="107" t="str">
        <f aca="false">Éléments!C9&amp;"–"&amp;Éléments!D9</f>
        <v>41–50</v>
      </c>
      <c r="E32" s="109" t="n">
        <v>0.08</v>
      </c>
      <c r="F32" s="109" t="n">
        <v>0.21</v>
      </c>
      <c r="G32" s="109" t="n">
        <v>0.31</v>
      </c>
      <c r="H32" s="109" t="n">
        <v>0.23</v>
      </c>
      <c r="I32" s="109" t="n">
        <v>0.1</v>
      </c>
      <c r="J32" s="109" t="n">
        <v>0.025</v>
      </c>
      <c r="K32" s="109" t="n">
        <v>0.045</v>
      </c>
      <c r="L32" s="110" t="n">
        <f aca="false">SUM(E32:K32)</f>
        <v>1</v>
      </c>
    </row>
    <row r="33" customFormat="false" ht="15" hidden="false" customHeight="true" outlineLevel="0" collapsed="false">
      <c r="A33" s="107" t="n">
        <v>6</v>
      </c>
      <c r="B33" s="108" t="str">
        <f aca="false">Éléments!B10</f>
        <v>Océan / Île</v>
      </c>
      <c r="C33" s="107" t="str">
        <f aca="false">Éléments!A10</f>
        <v>Eau</v>
      </c>
      <c r="D33" s="107" t="str">
        <f aca="false">Éléments!C10&amp;"–"&amp;Éléments!D10</f>
        <v>51–60</v>
      </c>
      <c r="E33" s="109" t="n">
        <v>0.05</v>
      </c>
      <c r="F33" s="109" t="n">
        <v>0.17</v>
      </c>
      <c r="G33" s="109" t="n">
        <v>0.29</v>
      </c>
      <c r="H33" s="109" t="n">
        <v>0.26</v>
      </c>
      <c r="I33" s="109" t="n">
        <v>0.14</v>
      </c>
      <c r="J33" s="109" t="n">
        <v>0.04</v>
      </c>
      <c r="K33" s="109" t="n">
        <v>0.05</v>
      </c>
      <c r="L33" s="110" t="n">
        <f aca="false">SUM(E33:K33)</f>
        <v>1</v>
      </c>
    </row>
    <row r="34" customFormat="false" ht="15" hidden="false" customHeight="true" outlineLevel="0" collapsed="false">
      <c r="A34" s="107" t="n">
        <v>7</v>
      </c>
      <c r="B34" s="108" t="str">
        <f aca="false">Éléments!B11</f>
        <v>Iceberg</v>
      </c>
      <c r="C34" s="107" t="str">
        <f aca="false">Éléments!A11</f>
        <v>Glace</v>
      </c>
      <c r="D34" s="107" t="str">
        <f aca="false">Éléments!C11&amp;"–"&amp;Éléments!D11</f>
        <v>61–70</v>
      </c>
      <c r="E34" s="109" t="n">
        <v>0.03</v>
      </c>
      <c r="F34" s="109" t="n">
        <v>0.13</v>
      </c>
      <c r="G34" s="109" t="n">
        <v>0.27</v>
      </c>
      <c r="H34" s="109" t="n">
        <v>0.28</v>
      </c>
      <c r="I34" s="109" t="n">
        <v>0.175</v>
      </c>
      <c r="J34" s="109" t="n">
        <v>0.06</v>
      </c>
      <c r="K34" s="109" t="n">
        <v>0.055</v>
      </c>
      <c r="L34" s="110" t="n">
        <f aca="false">SUM(E34:K34)</f>
        <v>1</v>
      </c>
    </row>
    <row r="35" customFormat="false" ht="15" hidden="false" customHeight="true" outlineLevel="0" collapsed="false">
      <c r="A35" s="107" t="n">
        <v>8</v>
      </c>
      <c r="B35" s="108" t="str">
        <f aca="false">Éléments!B12</f>
        <v>Haute montagne</v>
      </c>
      <c r="C35" s="107" t="str">
        <f aca="false">Éléments!A12</f>
        <v>Électricité</v>
      </c>
      <c r="D35" s="107" t="str">
        <f aca="false">Éléments!C12&amp;"–"&amp;Éléments!D12</f>
        <v>71–80</v>
      </c>
      <c r="E35" s="109" t="n">
        <v>0.02</v>
      </c>
      <c r="F35" s="109" t="n">
        <v>0.1</v>
      </c>
      <c r="G35" s="109" t="n">
        <v>0.24</v>
      </c>
      <c r="H35" s="109" t="n">
        <v>0.29</v>
      </c>
      <c r="I35" s="109" t="n">
        <v>0.21</v>
      </c>
      <c r="J35" s="109" t="n">
        <v>0.08</v>
      </c>
      <c r="K35" s="109" t="n">
        <v>0.06</v>
      </c>
      <c r="L35" s="110" t="n">
        <f aca="false">SUM(E35:K35)</f>
        <v>1</v>
      </c>
    </row>
    <row r="36" customFormat="false" ht="15" hidden="false" customHeight="true" outlineLevel="0" collapsed="false">
      <c r="A36" s="107" t="n">
        <v>9</v>
      </c>
      <c r="B36" s="108" t="str">
        <f aca="false">Éléments!B13</f>
        <v>Palais céleste</v>
      </c>
      <c r="C36" s="107" t="str">
        <f aca="false">Éléments!A13</f>
        <v>Lumière</v>
      </c>
      <c r="D36" s="107" t="str">
        <f aca="false">Éléments!C13&amp;"–"&amp;Éléments!D13</f>
        <v>81–90</v>
      </c>
      <c r="E36" s="109" t="n">
        <v>0.01</v>
      </c>
      <c r="F36" s="109" t="n">
        <v>0.08</v>
      </c>
      <c r="G36" s="109" t="n">
        <v>0.21</v>
      </c>
      <c r="H36" s="109" t="n">
        <v>0.3</v>
      </c>
      <c r="I36" s="109" t="n">
        <v>0.24</v>
      </c>
      <c r="J36" s="109" t="n">
        <v>0.095</v>
      </c>
      <c r="K36" s="109" t="n">
        <v>0.065</v>
      </c>
      <c r="L36" s="110" t="n">
        <f aca="false">SUM(E36:K36)</f>
        <v>1</v>
      </c>
    </row>
    <row r="37" customFormat="false" ht="15" hidden="false" customHeight="true" outlineLevel="0" collapsed="false">
      <c r="A37" s="107" t="n">
        <v>10</v>
      </c>
      <c r="B37" s="108" t="str">
        <f aca="false">Éléments!B14</f>
        <v>Palais démoniaque</v>
      </c>
      <c r="C37" s="107" t="str">
        <f aca="false">Éléments!A14</f>
        <v>Ombre</v>
      </c>
      <c r="D37" s="107" t="str">
        <f aca="false">Éléments!C14&amp;"–"&amp;Éléments!D14</f>
        <v>91–100</v>
      </c>
      <c r="E37" s="109" t="n">
        <v>0</v>
      </c>
      <c r="F37" s="109" t="n">
        <v>0.06</v>
      </c>
      <c r="G37" s="109" t="n">
        <v>0.18</v>
      </c>
      <c r="H37" s="109" t="n">
        <v>0.3</v>
      </c>
      <c r="I37" s="109" t="n">
        <v>0.27</v>
      </c>
      <c r="J37" s="109" t="n">
        <v>0.12</v>
      </c>
      <c r="K37" s="109" t="n">
        <v>0.07</v>
      </c>
      <c r="L37" s="110" t="n">
        <f aca="false">SUM(E37:K37)</f>
        <v>1</v>
      </c>
    </row>
    <row r="38" customFormat="false" ht="15" hidden="false" customHeight="true" outlineLevel="0" collapsed="false">
      <c r="A38" s="111" t="s">
        <v>682</v>
      </c>
    </row>
    <row r="39" customFormat="false" ht="19.5" hidden="false" customHeight="true" outlineLevel="0" collapsed="false">
      <c r="A39" s="100" t="s">
        <v>683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</row>
    <row r="40" customFormat="false" ht="30" hidden="false" customHeight="true" outlineLevel="0" collapsed="false">
      <c r="A40" s="12" t="s">
        <v>678</v>
      </c>
      <c r="B40" s="12" t="s">
        <v>89</v>
      </c>
      <c r="C40" s="12" t="s">
        <v>90</v>
      </c>
      <c r="D40" s="12" t="s">
        <v>14</v>
      </c>
      <c r="E40" s="13" t="s">
        <v>411</v>
      </c>
      <c r="F40" s="14" t="s">
        <v>412</v>
      </c>
      <c r="G40" s="15" t="s">
        <v>413</v>
      </c>
      <c r="H40" s="16" t="s">
        <v>414</v>
      </c>
      <c r="I40" s="17" t="s">
        <v>415</v>
      </c>
      <c r="J40" s="18" t="s">
        <v>416</v>
      </c>
      <c r="K40" s="19" t="s">
        <v>417</v>
      </c>
      <c r="L40" s="12" t="s">
        <v>679</v>
      </c>
    </row>
    <row r="41" customFormat="false" ht="15" hidden="false" customHeight="true" outlineLevel="0" collapsed="false">
      <c r="A41" s="107" t="n">
        <v>1</v>
      </c>
      <c r="B41" s="108" t="str">
        <f aca="false">Éléments!B5</f>
        <v>Forêt</v>
      </c>
      <c r="C41" s="107" t="str">
        <f aca="false">Éléments!A5</f>
        <v>Neutre</v>
      </c>
      <c r="D41" s="107" t="str">
        <f aca="false">Éléments!C5&amp;"–"&amp;Éléments!D5</f>
        <v>1–10</v>
      </c>
      <c r="E41" s="109" t="n">
        <v>0.3</v>
      </c>
      <c r="F41" s="109" t="n">
        <v>0.4</v>
      </c>
      <c r="G41" s="109" t="n">
        <v>0.22</v>
      </c>
      <c r="H41" s="109" t="n">
        <v>0.06</v>
      </c>
      <c r="I41" s="109" t="n">
        <v>0</v>
      </c>
      <c r="J41" s="109" t="n">
        <v>0</v>
      </c>
      <c r="K41" s="109" t="n">
        <v>0.02</v>
      </c>
      <c r="L41" s="110" t="n">
        <f aca="false">SUM(E41:K41)</f>
        <v>1</v>
      </c>
    </row>
    <row r="42" customFormat="false" ht="15" hidden="false" customHeight="true" outlineLevel="0" collapsed="false">
      <c r="A42" s="107" t="n">
        <v>2</v>
      </c>
      <c r="B42" s="108" t="str">
        <f aca="false">Éléments!B6</f>
        <v>Montagne</v>
      </c>
      <c r="C42" s="107" t="str">
        <f aca="false">Éléments!A6</f>
        <v>Terre</v>
      </c>
      <c r="D42" s="107" t="str">
        <f aca="false">Éléments!C6&amp;"–"&amp;Éléments!D6</f>
        <v>11–20</v>
      </c>
      <c r="E42" s="109" t="n">
        <v>0.2</v>
      </c>
      <c r="F42" s="109" t="n">
        <v>0.36</v>
      </c>
      <c r="G42" s="109" t="n">
        <v>0.28</v>
      </c>
      <c r="H42" s="109" t="n">
        <v>0.12</v>
      </c>
      <c r="I42" s="109" t="n">
        <v>0.01</v>
      </c>
      <c r="J42" s="109" t="n">
        <v>0</v>
      </c>
      <c r="K42" s="109" t="n">
        <v>0.03</v>
      </c>
      <c r="L42" s="110" t="n">
        <f aca="false">SUM(E42:K42)</f>
        <v>1</v>
      </c>
    </row>
    <row r="43" customFormat="false" ht="15" hidden="false" customHeight="true" outlineLevel="0" collapsed="false">
      <c r="A43" s="107" t="n">
        <v>3</v>
      </c>
      <c r="B43" s="108" t="str">
        <f aca="false">Éléments!B7</f>
        <v>Volcan</v>
      </c>
      <c r="C43" s="107" t="str">
        <f aca="false">Éléments!A7</f>
        <v>Feu</v>
      </c>
      <c r="D43" s="107" t="str">
        <f aca="false">Éléments!C7&amp;"–"&amp;Éléments!D7</f>
        <v>21–30</v>
      </c>
      <c r="E43" s="109" t="n">
        <v>0.12</v>
      </c>
      <c r="F43" s="109" t="n">
        <v>0.3</v>
      </c>
      <c r="G43" s="109" t="n">
        <v>0.31</v>
      </c>
      <c r="H43" s="109" t="n">
        <v>0.18</v>
      </c>
      <c r="I43" s="109" t="n">
        <v>0.04</v>
      </c>
      <c r="J43" s="109" t="n">
        <v>0.005</v>
      </c>
      <c r="K43" s="109" t="n">
        <v>0.045</v>
      </c>
      <c r="L43" s="110" t="n">
        <f aca="false">SUM(E43:K43)</f>
        <v>1</v>
      </c>
    </row>
    <row r="44" customFormat="false" ht="15" hidden="false" customHeight="true" outlineLevel="0" collapsed="false">
      <c r="A44" s="107" t="n">
        <v>4</v>
      </c>
      <c r="B44" s="108" t="str">
        <f aca="false">Éléments!B8</f>
        <v>Désert</v>
      </c>
      <c r="C44" s="107" t="str">
        <f aca="false">Éléments!A8</f>
        <v>Vent</v>
      </c>
      <c r="D44" s="107" t="str">
        <f aca="false">Éléments!C8&amp;"–"&amp;Éléments!D8</f>
        <v>31–40</v>
      </c>
      <c r="E44" s="109" t="n">
        <v>0.07</v>
      </c>
      <c r="F44" s="109" t="n">
        <v>0.24</v>
      </c>
      <c r="G44" s="109" t="n">
        <v>0.31</v>
      </c>
      <c r="H44" s="109" t="n">
        <v>0.23</v>
      </c>
      <c r="I44" s="109" t="n">
        <v>0.08</v>
      </c>
      <c r="J44" s="109" t="n">
        <v>0.015</v>
      </c>
      <c r="K44" s="109" t="n">
        <v>0.055</v>
      </c>
      <c r="L44" s="110" t="n">
        <f aca="false">SUM(E44:K44)</f>
        <v>1</v>
      </c>
    </row>
    <row r="45" customFormat="false" ht="15" hidden="false" customHeight="true" outlineLevel="0" collapsed="false">
      <c r="A45" s="107" t="n">
        <v>5</v>
      </c>
      <c r="B45" s="108" t="str">
        <f aca="false">Éléments!B9</f>
        <v>Marais</v>
      </c>
      <c r="C45" s="107" t="str">
        <f aca="false">Éléments!A9</f>
        <v>Acide</v>
      </c>
      <c r="D45" s="107" t="str">
        <f aca="false">Éléments!C9&amp;"–"&amp;Éléments!D9</f>
        <v>41–50</v>
      </c>
      <c r="E45" s="109" t="n">
        <v>0.04</v>
      </c>
      <c r="F45" s="109" t="n">
        <v>0.18</v>
      </c>
      <c r="G45" s="109" t="n">
        <v>0.29</v>
      </c>
      <c r="H45" s="109" t="n">
        <v>0.27</v>
      </c>
      <c r="I45" s="109" t="n">
        <v>0.13</v>
      </c>
      <c r="J45" s="109" t="n">
        <v>0.03</v>
      </c>
      <c r="K45" s="109" t="n">
        <v>0.06</v>
      </c>
      <c r="L45" s="110" t="n">
        <f aca="false">SUM(E45:K45)</f>
        <v>1</v>
      </c>
    </row>
    <row r="46" customFormat="false" ht="15" hidden="false" customHeight="true" outlineLevel="0" collapsed="false">
      <c r="A46" s="107" t="n">
        <v>6</v>
      </c>
      <c r="B46" s="108" t="str">
        <f aca="false">Éléments!B10</f>
        <v>Océan / Île</v>
      </c>
      <c r="C46" s="107" t="str">
        <f aca="false">Éléments!A10</f>
        <v>Eau</v>
      </c>
      <c r="D46" s="107" t="str">
        <f aca="false">Éléments!C10&amp;"–"&amp;Éléments!D10</f>
        <v>51–60</v>
      </c>
      <c r="E46" s="109" t="n">
        <v>0.02</v>
      </c>
      <c r="F46" s="109" t="n">
        <v>0.13</v>
      </c>
      <c r="G46" s="109" t="n">
        <v>0.26</v>
      </c>
      <c r="H46" s="109" t="n">
        <v>0.3</v>
      </c>
      <c r="I46" s="109" t="n">
        <v>0.17</v>
      </c>
      <c r="J46" s="109" t="n">
        <v>0.05</v>
      </c>
      <c r="K46" s="109" t="n">
        <v>0.07</v>
      </c>
      <c r="L46" s="110" t="n">
        <f aca="false">SUM(E46:K46)</f>
        <v>1</v>
      </c>
    </row>
    <row r="47" customFormat="false" ht="15" hidden="false" customHeight="true" outlineLevel="0" collapsed="false">
      <c r="A47" s="107" t="n">
        <v>7</v>
      </c>
      <c r="B47" s="108" t="str">
        <f aca="false">Éléments!B11</f>
        <v>Iceberg</v>
      </c>
      <c r="C47" s="107" t="str">
        <f aca="false">Éléments!A11</f>
        <v>Glace</v>
      </c>
      <c r="D47" s="107" t="str">
        <f aca="false">Éléments!C11&amp;"–"&amp;Éléments!D11</f>
        <v>61–70</v>
      </c>
      <c r="E47" s="109" t="n">
        <v>0.01</v>
      </c>
      <c r="F47" s="109" t="n">
        <v>0.09</v>
      </c>
      <c r="G47" s="109" t="n">
        <v>0.22</v>
      </c>
      <c r="H47" s="109" t="n">
        <v>0.32</v>
      </c>
      <c r="I47" s="109" t="n">
        <v>0.21</v>
      </c>
      <c r="J47" s="109" t="n">
        <v>0.07</v>
      </c>
      <c r="K47" s="109" t="n">
        <v>0.08</v>
      </c>
      <c r="L47" s="110" t="n">
        <f aca="false">SUM(E47:K47)</f>
        <v>1</v>
      </c>
    </row>
    <row r="48" customFormat="false" ht="15" hidden="false" customHeight="true" outlineLevel="0" collapsed="false">
      <c r="A48" s="107" t="n">
        <v>8</v>
      </c>
      <c r="B48" s="108" t="str">
        <f aca="false">Éléments!B12</f>
        <v>Haute montagne</v>
      </c>
      <c r="C48" s="107" t="str">
        <f aca="false">Éléments!A12</f>
        <v>Électricité</v>
      </c>
      <c r="D48" s="107" t="str">
        <f aca="false">Éléments!C12&amp;"–"&amp;Éléments!D12</f>
        <v>71–80</v>
      </c>
      <c r="E48" s="109" t="n">
        <v>0</v>
      </c>
      <c r="F48" s="109" t="n">
        <v>0.07</v>
      </c>
      <c r="G48" s="109" t="n">
        <v>0.18</v>
      </c>
      <c r="H48" s="109" t="n">
        <v>0.33</v>
      </c>
      <c r="I48" s="109" t="n">
        <v>0.245</v>
      </c>
      <c r="J48" s="109" t="n">
        <v>0.09</v>
      </c>
      <c r="K48" s="109" t="n">
        <v>0.085</v>
      </c>
      <c r="L48" s="110" t="n">
        <f aca="false">SUM(E48:K48)</f>
        <v>1</v>
      </c>
    </row>
    <row r="49" customFormat="false" ht="15" hidden="false" customHeight="true" outlineLevel="0" collapsed="false">
      <c r="A49" s="107" t="n">
        <v>9</v>
      </c>
      <c r="B49" s="108" t="str">
        <f aca="false">Éléments!B13</f>
        <v>Palais céleste</v>
      </c>
      <c r="C49" s="107" t="str">
        <f aca="false">Éléments!A13</f>
        <v>Lumière</v>
      </c>
      <c r="D49" s="107" t="str">
        <f aca="false">Éléments!C13&amp;"–"&amp;Éléments!D13</f>
        <v>81–90</v>
      </c>
      <c r="E49" s="109" t="n">
        <v>0</v>
      </c>
      <c r="F49" s="109" t="n">
        <v>0.05</v>
      </c>
      <c r="G49" s="109" t="n">
        <v>0.15</v>
      </c>
      <c r="H49" s="109" t="n">
        <v>0.32</v>
      </c>
      <c r="I49" s="109" t="n">
        <v>0.28</v>
      </c>
      <c r="J49" s="109" t="n">
        <v>0.11</v>
      </c>
      <c r="K49" s="109" t="n">
        <v>0.09</v>
      </c>
      <c r="L49" s="110" t="n">
        <f aca="false">SUM(E49:K49)</f>
        <v>1</v>
      </c>
    </row>
    <row r="50" customFormat="false" ht="15" hidden="false" customHeight="true" outlineLevel="0" collapsed="false">
      <c r="A50" s="107" t="n">
        <v>10</v>
      </c>
      <c r="B50" s="108" t="str">
        <f aca="false">Éléments!B14</f>
        <v>Palais démoniaque</v>
      </c>
      <c r="C50" s="107" t="str">
        <f aca="false">Éléments!A14</f>
        <v>Ombre</v>
      </c>
      <c r="D50" s="107" t="str">
        <f aca="false">Éléments!C14&amp;"–"&amp;Éléments!D14</f>
        <v>91–100</v>
      </c>
      <c r="E50" s="109" t="n">
        <v>0</v>
      </c>
      <c r="F50" s="109" t="n">
        <v>0.03</v>
      </c>
      <c r="G50" s="109" t="n">
        <v>0.12</v>
      </c>
      <c r="H50" s="109" t="n">
        <v>0.31</v>
      </c>
      <c r="I50" s="109" t="n">
        <v>0.31</v>
      </c>
      <c r="J50" s="109" t="n">
        <v>0.13</v>
      </c>
      <c r="K50" s="109" t="n">
        <v>0.1</v>
      </c>
      <c r="L50" s="110" t="n">
        <f aca="false">SUM(E50:K50)</f>
        <v>1</v>
      </c>
    </row>
    <row r="51" customFormat="false" ht="15" hidden="false" customHeight="true" outlineLevel="0" collapsed="false">
      <c r="A51" s="111" t="s">
        <v>684</v>
      </c>
    </row>
    <row r="52" customFormat="false" ht="19.5" hidden="false" customHeight="true" outlineLevel="0" collapsed="false">
      <c r="A52" s="100" t="s">
        <v>685</v>
      </c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</row>
    <row r="53" customFormat="false" ht="30" hidden="false" customHeight="true" outlineLevel="0" collapsed="false">
      <c r="A53" s="12" t="s">
        <v>678</v>
      </c>
      <c r="B53" s="12" t="s">
        <v>89</v>
      </c>
      <c r="C53" s="12" t="s">
        <v>90</v>
      </c>
      <c r="D53" s="12" t="s">
        <v>160</v>
      </c>
      <c r="E53" s="12"/>
      <c r="F53" s="12" t="s">
        <v>195</v>
      </c>
      <c r="G53" s="12"/>
      <c r="H53" s="12" t="s">
        <v>177</v>
      </c>
      <c r="I53" s="12"/>
      <c r="J53" s="12" t="s">
        <v>686</v>
      </c>
      <c r="K53" s="12"/>
      <c r="L53" s="12"/>
    </row>
    <row r="54" customFormat="false" ht="23.25" hidden="false" customHeight="true" outlineLevel="0" collapsed="false">
      <c r="A54" s="107" t="n">
        <v>1</v>
      </c>
      <c r="B54" s="108" t="str">
        <f aca="false">Éléments!B5</f>
        <v>Forêt</v>
      </c>
      <c r="C54" s="107" t="str">
        <f aca="false">Éléments!A5</f>
        <v>Neutre</v>
      </c>
      <c r="D54" s="108" t="s">
        <v>687</v>
      </c>
      <c r="E54" s="108"/>
      <c r="F54" s="108" t="s">
        <v>688</v>
      </c>
      <c r="G54" s="108"/>
      <c r="H54" s="108" t="s">
        <v>689</v>
      </c>
      <c r="I54" s="108"/>
      <c r="J54" s="108" t="s">
        <v>690</v>
      </c>
      <c r="K54" s="108"/>
      <c r="L54" s="108"/>
    </row>
    <row r="55" customFormat="false" ht="23.25" hidden="false" customHeight="true" outlineLevel="0" collapsed="false">
      <c r="A55" s="107" t="n">
        <v>2</v>
      </c>
      <c r="B55" s="108" t="str">
        <f aca="false">Éléments!B6</f>
        <v>Montagne</v>
      </c>
      <c r="C55" s="107" t="str">
        <f aca="false">Éléments!A6</f>
        <v>Terre</v>
      </c>
      <c r="D55" s="108" t="s">
        <v>691</v>
      </c>
      <c r="E55" s="108"/>
      <c r="F55" s="108" t="s">
        <v>692</v>
      </c>
      <c r="G55" s="108"/>
      <c r="H55" s="108" t="s">
        <v>693</v>
      </c>
      <c r="I55" s="108"/>
      <c r="J55" s="108" t="s">
        <v>694</v>
      </c>
      <c r="K55" s="108"/>
      <c r="L55" s="108"/>
    </row>
    <row r="56" customFormat="false" ht="23.25" hidden="false" customHeight="true" outlineLevel="0" collapsed="false">
      <c r="A56" s="107" t="n">
        <v>3</v>
      </c>
      <c r="B56" s="108" t="str">
        <f aca="false">Éléments!B7</f>
        <v>Volcan</v>
      </c>
      <c r="C56" s="107" t="str">
        <f aca="false">Éléments!A7</f>
        <v>Feu</v>
      </c>
      <c r="D56" s="108" t="s">
        <v>695</v>
      </c>
      <c r="E56" s="108"/>
      <c r="F56" s="108" t="s">
        <v>696</v>
      </c>
      <c r="G56" s="108"/>
      <c r="H56" s="108" t="s">
        <v>697</v>
      </c>
      <c r="I56" s="108"/>
      <c r="J56" s="108" t="s">
        <v>698</v>
      </c>
      <c r="K56" s="108"/>
      <c r="L56" s="108"/>
    </row>
    <row r="57" customFormat="false" ht="23.25" hidden="false" customHeight="true" outlineLevel="0" collapsed="false">
      <c r="A57" s="107" t="n">
        <v>4</v>
      </c>
      <c r="B57" s="108" t="str">
        <f aca="false">Éléments!B8</f>
        <v>Désert</v>
      </c>
      <c r="C57" s="107" t="str">
        <f aca="false">Éléments!A8</f>
        <v>Vent</v>
      </c>
      <c r="D57" s="108" t="s">
        <v>699</v>
      </c>
      <c r="E57" s="108"/>
      <c r="F57" s="108" t="s">
        <v>700</v>
      </c>
      <c r="G57" s="108"/>
      <c r="H57" s="108" t="s">
        <v>701</v>
      </c>
      <c r="I57" s="108"/>
      <c r="J57" s="108" t="s">
        <v>702</v>
      </c>
      <c r="K57" s="108"/>
      <c r="L57" s="108"/>
    </row>
    <row r="58" customFormat="false" ht="23.25" hidden="false" customHeight="true" outlineLevel="0" collapsed="false">
      <c r="A58" s="107" t="n">
        <v>5</v>
      </c>
      <c r="B58" s="108" t="str">
        <f aca="false">Éléments!B9</f>
        <v>Marais</v>
      </c>
      <c r="C58" s="107" t="str">
        <f aca="false">Éléments!A9</f>
        <v>Acide</v>
      </c>
      <c r="D58" s="108" t="s">
        <v>703</v>
      </c>
      <c r="E58" s="108"/>
      <c r="F58" s="108" t="s">
        <v>704</v>
      </c>
      <c r="G58" s="108"/>
      <c r="H58" s="108" t="s">
        <v>705</v>
      </c>
      <c r="I58" s="108"/>
      <c r="J58" s="108" t="s">
        <v>706</v>
      </c>
      <c r="K58" s="108"/>
      <c r="L58" s="108"/>
    </row>
    <row r="59" customFormat="false" ht="23.25" hidden="false" customHeight="true" outlineLevel="0" collapsed="false">
      <c r="A59" s="107" t="n">
        <v>6</v>
      </c>
      <c r="B59" s="108" t="str">
        <f aca="false">Éléments!B10</f>
        <v>Océan / Île</v>
      </c>
      <c r="C59" s="107" t="str">
        <f aca="false">Éléments!A10</f>
        <v>Eau</v>
      </c>
      <c r="D59" s="108" t="s">
        <v>707</v>
      </c>
      <c r="E59" s="108"/>
      <c r="F59" s="108" t="s">
        <v>708</v>
      </c>
      <c r="G59" s="108"/>
      <c r="H59" s="108" t="s">
        <v>709</v>
      </c>
      <c r="I59" s="108"/>
      <c r="J59" s="108" t="s">
        <v>710</v>
      </c>
      <c r="K59" s="108"/>
      <c r="L59" s="108"/>
    </row>
    <row r="60" customFormat="false" ht="15" hidden="false" customHeight="true" outlineLevel="0" collapsed="false">
      <c r="A60" s="107" t="n">
        <v>7</v>
      </c>
      <c r="B60" s="108" t="str">
        <f aca="false">Éléments!B11</f>
        <v>Iceberg</v>
      </c>
      <c r="C60" s="107" t="str">
        <f aca="false">Éléments!A11</f>
        <v>Glace</v>
      </c>
      <c r="D60" s="108" t="s">
        <v>711</v>
      </c>
      <c r="E60" s="108"/>
      <c r="F60" s="108" t="s">
        <v>712</v>
      </c>
      <c r="G60" s="108"/>
      <c r="H60" s="108" t="s">
        <v>713</v>
      </c>
      <c r="I60" s="108"/>
      <c r="J60" s="108" t="s">
        <v>714</v>
      </c>
      <c r="K60" s="108"/>
      <c r="L60" s="108"/>
    </row>
    <row r="61" customFormat="false" ht="23.25" hidden="false" customHeight="true" outlineLevel="0" collapsed="false">
      <c r="A61" s="107" t="n">
        <v>8</v>
      </c>
      <c r="B61" s="108" t="str">
        <f aca="false">Éléments!B12</f>
        <v>Haute montagne</v>
      </c>
      <c r="C61" s="107" t="str">
        <f aca="false">Éléments!A12</f>
        <v>Électricité</v>
      </c>
      <c r="D61" s="108" t="s">
        <v>715</v>
      </c>
      <c r="E61" s="108"/>
      <c r="F61" s="108" t="s">
        <v>716</v>
      </c>
      <c r="G61" s="108"/>
      <c r="H61" s="108" t="s">
        <v>717</v>
      </c>
      <c r="I61" s="108"/>
      <c r="J61" s="108" t="s">
        <v>718</v>
      </c>
      <c r="K61" s="108"/>
      <c r="L61" s="108"/>
    </row>
    <row r="62" customFormat="false" ht="23.25" hidden="false" customHeight="true" outlineLevel="0" collapsed="false">
      <c r="A62" s="107" t="n">
        <v>9</v>
      </c>
      <c r="B62" s="108" t="str">
        <f aca="false">Éléments!B13</f>
        <v>Palais céleste</v>
      </c>
      <c r="C62" s="107" t="str">
        <f aca="false">Éléments!A13</f>
        <v>Lumière</v>
      </c>
      <c r="D62" s="108" t="s">
        <v>719</v>
      </c>
      <c r="E62" s="108"/>
      <c r="F62" s="108" t="s">
        <v>720</v>
      </c>
      <c r="G62" s="108"/>
      <c r="H62" s="108" t="s">
        <v>721</v>
      </c>
      <c r="I62" s="108"/>
      <c r="J62" s="108" t="s">
        <v>722</v>
      </c>
      <c r="K62" s="108"/>
      <c r="L62" s="108"/>
    </row>
    <row r="63" customFormat="false" ht="23.25" hidden="false" customHeight="true" outlineLevel="0" collapsed="false">
      <c r="A63" s="107" t="n">
        <v>10</v>
      </c>
      <c r="B63" s="108" t="str">
        <f aca="false">Éléments!B14</f>
        <v>Palais démoniaque</v>
      </c>
      <c r="C63" s="107" t="str">
        <f aca="false">Éléments!A14</f>
        <v>Ombre</v>
      </c>
      <c r="D63" s="108" t="s">
        <v>723</v>
      </c>
      <c r="E63" s="108"/>
      <c r="F63" s="108" t="s">
        <v>724</v>
      </c>
      <c r="G63" s="108"/>
      <c r="H63" s="108" t="s">
        <v>725</v>
      </c>
      <c r="I63" s="108"/>
      <c r="J63" s="108" t="s">
        <v>726</v>
      </c>
      <c r="K63" s="108"/>
      <c r="L63" s="108"/>
    </row>
    <row r="64" customFormat="false" ht="15" hidden="false" customHeight="true" outlineLevel="0" collapsed="false">
      <c r="A64" s="111" t="s">
        <v>727</v>
      </c>
    </row>
    <row r="66" customFormat="false" ht="19.5" hidden="false" customHeight="true" outlineLevel="0" collapsed="false">
      <c r="A66" s="100" t="s">
        <v>728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</row>
    <row r="67" customFormat="false" ht="30" hidden="false" customHeight="true" outlineLevel="0" collapsed="false">
      <c r="A67" s="12" t="s">
        <v>678</v>
      </c>
      <c r="B67" s="12" t="s">
        <v>89</v>
      </c>
      <c r="C67" s="12" t="s">
        <v>14</v>
      </c>
      <c r="D67" s="12" t="s">
        <v>729</v>
      </c>
      <c r="E67" s="13" t="s">
        <v>411</v>
      </c>
      <c r="F67" s="14" t="s">
        <v>412</v>
      </c>
      <c r="G67" s="15" t="s">
        <v>413</v>
      </c>
      <c r="H67" s="16" t="s">
        <v>414</v>
      </c>
      <c r="I67" s="17" t="s">
        <v>415</v>
      </c>
      <c r="J67" s="18" t="s">
        <v>416</v>
      </c>
      <c r="K67" s="19" t="s">
        <v>417</v>
      </c>
      <c r="L67" s="12" t="s">
        <v>730</v>
      </c>
    </row>
    <row r="68" customFormat="false" ht="15" hidden="false" customHeight="true" outlineLevel="0" collapsed="false">
      <c r="A68" s="107" t="n">
        <v>1</v>
      </c>
      <c r="B68" s="108" t="str">
        <f aca="false">Éléments!B5</f>
        <v>Forêt</v>
      </c>
      <c r="C68" s="107" t="str">
        <f aca="false">Éléments!C5&amp;"–"&amp;Éléments!D5</f>
        <v>1–10</v>
      </c>
      <c r="D68" s="112" t="n">
        <f aca="false">SUMIFS(Étages!$W$6:$W$105,Étages!$C$6:$C$105,B68)</f>
        <v>10.145</v>
      </c>
      <c r="E68" s="113" t="n">
        <f aca="false">SUMIFS(Étages!$X$6:$X$105,Étages!$C$6:$C$105,$B68)</f>
        <v>5.746</v>
      </c>
      <c r="F68" s="113" t="n">
        <f aca="false">SUMIFS(Étages!$Y$6:$Y$105,Étages!$C$6:$C$105,$B68)</f>
        <v>3.089</v>
      </c>
      <c r="G68" s="113" t="n">
        <f aca="false">SUMIFS(Étages!$Z$6:$Z$105,Étages!$C$6:$C$105,$B68)</f>
        <v>0.97</v>
      </c>
      <c r="H68" s="113" t="n">
        <f aca="false">SUMIFS(Étages!$AA$6:$AA$105,Étages!$C$6:$C$105,$B68)</f>
        <v>0.262</v>
      </c>
      <c r="I68" s="113" t="n">
        <f aca="false">SUMIFS(Étages!$AB$6:$AB$105,Étages!$C$6:$C$105,$B68)</f>
        <v>0</v>
      </c>
      <c r="J68" s="113" t="n">
        <f aca="false">SUMIFS(Étages!$AC$6:$AC$105,Étages!$C$6:$C$105,$B68)</f>
        <v>0</v>
      </c>
      <c r="K68" s="113" t="n">
        <f aca="false">SUMIFS(Étages!$AD$6:$AD$105,Étages!$C$6:$C$105,$B68)</f>
        <v>0.078</v>
      </c>
      <c r="L68" s="112" t="n">
        <f aca="false">D68/10</f>
        <v>1.0145</v>
      </c>
    </row>
    <row r="69" customFormat="false" ht="15" hidden="false" customHeight="true" outlineLevel="0" collapsed="false">
      <c r="A69" s="107" t="n">
        <v>2</v>
      </c>
      <c r="B69" s="108" t="str">
        <f aca="false">Éléments!B6</f>
        <v>Montagne</v>
      </c>
      <c r="C69" s="107" t="str">
        <f aca="false">Éléments!C6&amp;"–"&amp;Éléments!D6</f>
        <v>11–20</v>
      </c>
      <c r="D69" s="112" t="n">
        <f aca="false">SUMIFS(Étages!$W$6:$W$105,Étages!$C$6:$C$105,B69)</f>
        <v>10.635</v>
      </c>
      <c r="E69" s="113" t="n">
        <f aca="false">SUMIFS(Étages!$X$6:$X$105,Étages!$C$6:$C$105,$B69)</f>
        <v>4.75175</v>
      </c>
      <c r="F69" s="113" t="n">
        <f aca="false">SUMIFS(Étages!$Y$6:$Y$105,Étages!$C$6:$C$105,$B69)</f>
        <v>3.4578</v>
      </c>
      <c r="G69" s="113" t="n">
        <f aca="false">SUMIFS(Étages!$Z$6:$Z$105,Étages!$C$6:$C$105,$B69)</f>
        <v>1.74545</v>
      </c>
      <c r="H69" s="113" t="n">
        <f aca="false">SUMIFS(Étages!$AA$6:$AA$105,Étages!$C$6:$C$105,$B69)</f>
        <v>0.524</v>
      </c>
      <c r="I69" s="113" t="n">
        <f aca="false">SUMIFS(Étages!$AB$6:$AB$105,Étages!$C$6:$C$105,$B69)</f>
        <v>0.025</v>
      </c>
      <c r="J69" s="113" t="n">
        <f aca="false">SUMIFS(Étages!$AC$6:$AC$105,Étages!$C$6:$C$105,$B69)</f>
        <v>0</v>
      </c>
      <c r="K69" s="113" t="n">
        <f aca="false">SUMIFS(Étages!$AD$6:$AD$105,Étages!$C$6:$C$105,$B69)</f>
        <v>0.131</v>
      </c>
      <c r="L69" s="112" t="n">
        <f aca="false">D69/10</f>
        <v>1.0635</v>
      </c>
    </row>
    <row r="70" customFormat="false" ht="15" hidden="false" customHeight="true" outlineLevel="0" collapsed="false">
      <c r="A70" s="107" t="n">
        <v>3</v>
      </c>
      <c r="B70" s="108" t="str">
        <f aca="false">Éléments!B7</f>
        <v>Volcan</v>
      </c>
      <c r="C70" s="107" t="str">
        <f aca="false">Éléments!C7&amp;"–"&amp;Éléments!D7</f>
        <v>21–30</v>
      </c>
      <c r="D70" s="112" t="n">
        <f aca="false">SUMIFS(Étages!$W$6:$W$105,Étages!$C$6:$C$105,B70)</f>
        <v>10.3266666666667</v>
      </c>
      <c r="E70" s="113" t="n">
        <f aca="false">SUMIFS(Étages!$X$6:$X$105,Étages!$C$6:$C$105,$B70)</f>
        <v>3.41786666666667</v>
      </c>
      <c r="F70" s="113" t="n">
        <f aca="false">SUMIFS(Étages!$Y$6:$Y$105,Étages!$C$6:$C$105,$B70)</f>
        <v>3.25453333333333</v>
      </c>
      <c r="G70" s="113" t="n">
        <f aca="false">SUMIFS(Étages!$Z$6:$Z$105,Étages!$C$6:$C$105,$B70)</f>
        <v>2.26846666666667</v>
      </c>
      <c r="H70" s="113" t="n">
        <f aca="false">SUMIFS(Étages!$AA$6:$AA$105,Étages!$C$6:$C$105,$B70)</f>
        <v>0.9928</v>
      </c>
      <c r="I70" s="113" t="n">
        <f aca="false">SUMIFS(Étages!$AB$6:$AB$105,Étages!$C$6:$C$105,$B70)</f>
        <v>0.184</v>
      </c>
      <c r="J70" s="113" t="n">
        <f aca="false">SUMIFS(Étages!$AC$6:$AC$105,Étages!$C$6:$C$105,$B70)</f>
        <v>0.0125</v>
      </c>
      <c r="K70" s="113" t="n">
        <f aca="false">SUMIFS(Étages!$AD$6:$AD$105,Étages!$C$6:$C$105,$B70)</f>
        <v>0.1965</v>
      </c>
      <c r="L70" s="112" t="n">
        <f aca="false">D70/10</f>
        <v>1.03266666666667</v>
      </c>
    </row>
    <row r="71" customFormat="false" ht="15" hidden="false" customHeight="true" outlineLevel="0" collapsed="false">
      <c r="A71" s="107" t="n">
        <v>4</v>
      </c>
      <c r="B71" s="108" t="str">
        <f aca="false">Éléments!B8</f>
        <v>Désert</v>
      </c>
      <c r="C71" s="107" t="str">
        <f aca="false">Éléments!C8&amp;"–"&amp;Éléments!D8</f>
        <v>31–40</v>
      </c>
      <c r="D71" s="112" t="n">
        <f aca="false">SUMIFS(Étages!$W$6:$W$105,Étages!$C$6:$C$105,B71)</f>
        <v>10.26</v>
      </c>
      <c r="E71" s="113" t="n">
        <f aca="false">SUMIFS(Étages!$X$6:$X$105,Étages!$C$6:$C$105,$B71)</f>
        <v>2.5942</v>
      </c>
      <c r="F71" s="113" t="n">
        <f aca="false">SUMIFS(Étages!$Y$6:$Y$105,Étages!$C$6:$C$105,$B71)</f>
        <v>2.9648</v>
      </c>
      <c r="G71" s="113" t="n">
        <f aca="false">SUMIFS(Étages!$Z$6:$Z$105,Étages!$C$6:$C$105,$B71)</f>
        <v>2.5638</v>
      </c>
      <c r="H71" s="113" t="n">
        <f aca="false">SUMIFS(Étages!$AA$6:$AA$105,Étages!$C$6:$C$105,$B71)</f>
        <v>1.4046</v>
      </c>
      <c r="I71" s="113" t="n">
        <f aca="false">SUMIFS(Étages!$AB$6:$AB$105,Étages!$C$6:$C$105,$B71)</f>
        <v>0.4176</v>
      </c>
      <c r="J71" s="113" t="n">
        <f aca="false">SUMIFS(Étages!$AC$6:$AC$105,Étages!$C$6:$C$105,$B71)</f>
        <v>0.0655</v>
      </c>
      <c r="K71" s="113" t="n">
        <f aca="false">SUMIFS(Étages!$AD$6:$AD$105,Étages!$C$6:$C$105,$B71)</f>
        <v>0.2495</v>
      </c>
      <c r="L71" s="112" t="n">
        <f aca="false">D71/10</f>
        <v>1.026</v>
      </c>
    </row>
    <row r="72" customFormat="false" ht="15" hidden="false" customHeight="true" outlineLevel="0" collapsed="false">
      <c r="A72" s="107" t="n">
        <v>5</v>
      </c>
      <c r="B72" s="108" t="str">
        <f aca="false">Éléments!B9</f>
        <v>Marais</v>
      </c>
      <c r="C72" s="107" t="str">
        <f aca="false">Éléments!C9&amp;"–"&amp;Éléments!D9</f>
        <v>41–50</v>
      </c>
      <c r="D72" s="112" t="n">
        <f aca="false">SUMIFS(Étages!$W$6:$W$105,Étages!$C$6:$C$105,B72)</f>
        <v>10.4266666666667</v>
      </c>
      <c r="E72" s="113" t="n">
        <f aca="false">SUMIFS(Étages!$X$6:$X$105,Étages!$C$6:$C$105,$B72)</f>
        <v>2.06706666666667</v>
      </c>
      <c r="F72" s="113" t="n">
        <f aca="false">SUMIFS(Étages!$Y$6:$Y$105,Étages!$C$6:$C$105,$B72)</f>
        <v>2.67853333333333</v>
      </c>
      <c r="G72" s="113" t="n">
        <f aca="false">SUMIFS(Étages!$Z$6:$Z$105,Étages!$C$6:$C$105,$B72)</f>
        <v>2.72086666666667</v>
      </c>
      <c r="H72" s="113" t="n">
        <f aca="false">SUMIFS(Étages!$AA$6:$AA$105,Étages!$C$6:$C$105,$B72)</f>
        <v>1.80090666666667</v>
      </c>
      <c r="I72" s="113" t="n">
        <f aca="false">SUMIFS(Étages!$AB$6:$AB$105,Étages!$C$6:$C$105,$B72)</f>
        <v>0.733166666666667</v>
      </c>
      <c r="J72" s="113" t="n">
        <f aca="false">SUMIFS(Étages!$AC$6:$AC$105,Étages!$C$6:$C$105,$B72)</f>
        <v>0.145</v>
      </c>
      <c r="K72" s="113" t="n">
        <f aca="false">SUMIFS(Étages!$AD$6:$AD$105,Étages!$C$6:$C$105,$B72)</f>
        <v>0.281126666666667</v>
      </c>
      <c r="L72" s="112" t="n">
        <f aca="false">D72/10</f>
        <v>1.04266666666667</v>
      </c>
    </row>
    <row r="73" customFormat="false" ht="15" hidden="false" customHeight="true" outlineLevel="0" collapsed="false">
      <c r="A73" s="107" t="n">
        <v>6</v>
      </c>
      <c r="B73" s="108" t="str">
        <f aca="false">Éléments!B10</f>
        <v>Océan / Île</v>
      </c>
      <c r="C73" s="107" t="str">
        <f aca="false">Éléments!C10&amp;"–"&amp;Éléments!D10</f>
        <v>51–60</v>
      </c>
      <c r="D73" s="112" t="n">
        <f aca="false">SUMIFS(Étages!$W$6:$W$105,Étages!$C$6:$C$105,B73)</f>
        <v>10.35</v>
      </c>
      <c r="E73" s="113" t="n">
        <f aca="false">SUMIFS(Étages!$X$6:$X$105,Étages!$C$6:$C$105,$B73)</f>
        <v>1.5535</v>
      </c>
      <c r="F73" s="113" t="n">
        <f aca="false">SUMIFS(Étages!$Y$6:$Y$105,Étages!$C$6:$C$105,$B73)</f>
        <v>2.316</v>
      </c>
      <c r="G73" s="113" t="n">
        <f aca="false">SUMIFS(Étages!$Z$6:$Z$105,Étages!$C$6:$C$105,$B73)</f>
        <v>2.7245</v>
      </c>
      <c r="H73" s="113" t="n">
        <f aca="false">SUMIFS(Étages!$AA$6:$AA$105,Étages!$C$6:$C$105,$B73)</f>
        <v>2.1244</v>
      </c>
      <c r="I73" s="113" t="n">
        <f aca="false">SUMIFS(Étages!$AB$6:$AB$105,Étages!$C$6:$C$105,$B73)</f>
        <v>1.04425</v>
      </c>
      <c r="J73" s="113" t="n">
        <f aca="false">SUMIFS(Étages!$AC$6:$AC$105,Étages!$C$6:$C$105,$B73)</f>
        <v>0.26225</v>
      </c>
      <c r="K73" s="113" t="n">
        <f aca="false">SUMIFS(Étages!$AD$6:$AD$105,Étages!$C$6:$C$105,$B73)</f>
        <v>0.3251</v>
      </c>
      <c r="L73" s="112" t="n">
        <f aca="false">D73/10</f>
        <v>1.035</v>
      </c>
    </row>
    <row r="74" customFormat="false" ht="15" hidden="false" customHeight="true" outlineLevel="0" collapsed="false">
      <c r="A74" s="107" t="n">
        <v>7</v>
      </c>
      <c r="B74" s="108" t="str">
        <f aca="false">Éléments!B11</f>
        <v>Iceberg</v>
      </c>
      <c r="C74" s="107" t="str">
        <f aca="false">Éléments!C11&amp;"–"&amp;Éléments!D11</f>
        <v>61–70</v>
      </c>
      <c r="D74" s="112" t="n">
        <f aca="false">SUMIFS(Étages!$W$6:$W$105,Étages!$C$6:$C$105,B74)</f>
        <v>10.35</v>
      </c>
      <c r="E74" s="113" t="n">
        <f aca="false">SUMIFS(Étages!$X$6:$X$105,Étages!$C$6:$C$105,$B74)</f>
        <v>1.1695</v>
      </c>
      <c r="F74" s="113" t="n">
        <f aca="false">SUMIFS(Étages!$Y$6:$Y$105,Étages!$C$6:$C$105,$B74)</f>
        <v>2.003</v>
      </c>
      <c r="G74" s="113" t="n">
        <f aca="false">SUMIFS(Étages!$Z$6:$Z$105,Étages!$C$6:$C$105,$B74)</f>
        <v>2.6695</v>
      </c>
      <c r="H74" s="113" t="n">
        <f aca="false">SUMIFS(Étages!$AA$6:$AA$105,Étages!$C$6:$C$105,$B74)</f>
        <v>2.392</v>
      </c>
      <c r="I74" s="113" t="n">
        <f aca="false">SUMIFS(Étages!$AB$6:$AB$105,Étages!$C$6:$C$105,$B74)</f>
        <v>1.34325</v>
      </c>
      <c r="J74" s="113" t="n">
        <f aca="false">SUMIFS(Étages!$AC$6:$AC$105,Étages!$C$6:$C$105,$B74)</f>
        <v>0.4036</v>
      </c>
      <c r="K74" s="113" t="n">
        <f aca="false">SUMIFS(Étages!$AD$6:$AD$105,Étages!$C$6:$C$105,$B74)</f>
        <v>0.36915</v>
      </c>
      <c r="L74" s="112" t="n">
        <f aca="false">D74/10</f>
        <v>1.035</v>
      </c>
    </row>
    <row r="75" customFormat="false" ht="15" hidden="false" customHeight="true" outlineLevel="0" collapsed="false">
      <c r="A75" s="107" t="n">
        <v>8</v>
      </c>
      <c r="B75" s="108" t="str">
        <f aca="false">Éléments!B12</f>
        <v>Haute montagne</v>
      </c>
      <c r="C75" s="107" t="str">
        <f aca="false">Éléments!C12&amp;"–"&amp;Éléments!D12</f>
        <v>71–80</v>
      </c>
      <c r="D75" s="112" t="n">
        <f aca="false">SUMIFS(Étages!$W$6:$W$105,Étages!$C$6:$C$105,B75)</f>
        <v>10.6</v>
      </c>
      <c r="E75" s="113" t="n">
        <f aca="false">SUMIFS(Étages!$X$6:$X$105,Étages!$C$6:$C$105,$B75)</f>
        <v>0.904</v>
      </c>
      <c r="F75" s="113" t="n">
        <f aca="false">SUMIFS(Étages!$Y$6:$Y$105,Étages!$C$6:$C$105,$B75)</f>
        <v>1.78</v>
      </c>
      <c r="G75" s="113" t="n">
        <f aca="false">SUMIFS(Étages!$Z$6:$Z$105,Étages!$C$6:$C$105,$B75)</f>
        <v>2.606</v>
      </c>
      <c r="H75" s="113" t="n">
        <f aca="false">SUMIFS(Étages!$AA$6:$AA$105,Étages!$C$6:$C$105,$B75)</f>
        <v>2.644</v>
      </c>
      <c r="I75" s="113" t="n">
        <f aca="false">SUMIFS(Étages!$AB$6:$AB$105,Étages!$C$6:$C$105,$B75)</f>
        <v>1.6881</v>
      </c>
      <c r="J75" s="113" t="n">
        <f aca="false">SUMIFS(Étages!$AC$6:$AC$105,Étages!$C$6:$C$105,$B75)</f>
        <v>0.5762</v>
      </c>
      <c r="K75" s="113" t="n">
        <f aca="false">SUMIFS(Étages!$AD$6:$AD$105,Étages!$C$6:$C$105,$B75)</f>
        <v>0.4017</v>
      </c>
      <c r="L75" s="112" t="n">
        <f aca="false">D75/10</f>
        <v>1.06</v>
      </c>
    </row>
    <row r="76" customFormat="false" ht="15" hidden="false" customHeight="true" outlineLevel="0" collapsed="false">
      <c r="A76" s="107" t="n">
        <v>9</v>
      </c>
      <c r="B76" s="108" t="str">
        <f aca="false">Éléments!B13</f>
        <v>Palais céleste</v>
      </c>
      <c r="C76" s="107" t="str">
        <f aca="false">Éléments!C13&amp;"–"&amp;Éléments!D13</f>
        <v>81–90</v>
      </c>
      <c r="D76" s="112" t="n">
        <f aca="false">SUMIFS(Étages!$W$6:$W$105,Étages!$C$6:$C$105,B76)</f>
        <v>10.17</v>
      </c>
      <c r="E76" s="113" t="n">
        <f aca="false">SUMIFS(Étages!$X$6:$X$105,Étages!$C$6:$C$105,$B76)</f>
        <v>0.6124</v>
      </c>
      <c r="F76" s="113" t="n">
        <f aca="false">SUMIFS(Étages!$Y$6:$Y$105,Étages!$C$6:$C$105,$B76)</f>
        <v>1.4204</v>
      </c>
      <c r="G76" s="113" t="n">
        <f aca="false">SUMIFS(Étages!$Z$6:$Z$105,Étages!$C$6:$C$105,$B76)</f>
        <v>2.3266</v>
      </c>
      <c r="H76" s="113" t="n">
        <f aca="false">SUMIFS(Étages!$AA$6:$AA$105,Étages!$C$6:$C$105,$B76)</f>
        <v>2.7114</v>
      </c>
      <c r="I76" s="113" t="n">
        <f aca="false">SUMIFS(Étages!$AB$6:$AB$105,Étages!$C$6:$C$105,$B76)</f>
        <v>1.93692</v>
      </c>
      <c r="J76" s="113" t="n">
        <f aca="false">SUMIFS(Étages!$AC$6:$AC$105,Étages!$C$6:$C$105,$B76)</f>
        <v>0.73093</v>
      </c>
      <c r="K76" s="113" t="n">
        <f aca="false">SUMIFS(Étages!$AD$6:$AD$105,Étages!$C$6:$C$105,$B76)</f>
        <v>0.43135</v>
      </c>
      <c r="L76" s="112" t="n">
        <f aca="false">D76/10</f>
        <v>1.017</v>
      </c>
    </row>
    <row r="77" customFormat="false" ht="15" hidden="false" customHeight="true" outlineLevel="0" collapsed="false">
      <c r="A77" s="107" t="n">
        <v>10</v>
      </c>
      <c r="B77" s="108" t="str">
        <f aca="false">Éléments!B14</f>
        <v>Palais démoniaque</v>
      </c>
      <c r="C77" s="107" t="str">
        <f aca="false">Éléments!C14&amp;"–"&amp;Éléments!D14</f>
        <v>91–100</v>
      </c>
      <c r="D77" s="112" t="n">
        <f aca="false">SUMIFS(Étages!$W$6:$W$105,Étages!$C$6:$C$105,B77)</f>
        <v>10.36</v>
      </c>
      <c r="E77" s="113" t="n">
        <f aca="false">SUMIFS(Étages!$X$6:$X$105,Étages!$C$6:$C$105,$B77)</f>
        <v>0.4554</v>
      </c>
      <c r="F77" s="113" t="n">
        <f aca="false">SUMIFS(Étages!$Y$6:$Y$105,Étages!$C$6:$C$105,$B77)</f>
        <v>1.2044</v>
      </c>
      <c r="G77" s="113" t="n">
        <f aca="false">SUMIFS(Étages!$Z$6:$Z$105,Étages!$C$6:$C$105,$B77)</f>
        <v>2.1702</v>
      </c>
      <c r="H77" s="113" t="n">
        <f aca="false">SUMIFS(Étages!$AA$6:$AA$105,Étages!$C$6:$C$105,$B77)</f>
        <v>2.8294</v>
      </c>
      <c r="I77" s="113" t="n">
        <f aca="false">SUMIFS(Étages!$AB$6:$AB$105,Étages!$C$6:$C$105,$B77)</f>
        <v>2.2647</v>
      </c>
      <c r="J77" s="113" t="n">
        <f aca="false">SUMIFS(Étages!$AC$6:$AC$105,Étages!$C$6:$C$105,$B77)</f>
        <v>0.95448</v>
      </c>
      <c r="K77" s="113" t="n">
        <f aca="false">SUMIFS(Étages!$AD$6:$AD$105,Étages!$C$6:$C$105,$B77)</f>
        <v>0.48142</v>
      </c>
      <c r="L77" s="112" t="n">
        <f aca="false">D77/10</f>
        <v>1.036</v>
      </c>
    </row>
    <row r="78" customFormat="false" ht="15" hidden="false" customHeight="true" outlineLevel="0" collapsed="false">
      <c r="A78" s="114" t="s">
        <v>679</v>
      </c>
      <c r="B78" s="114"/>
      <c r="C78" s="114"/>
      <c r="D78" s="115" t="n">
        <f aca="false">SUM(D68:D77)</f>
        <v>103.623333333333</v>
      </c>
      <c r="E78" s="115" t="n">
        <f aca="false">SUM(E68:E77)</f>
        <v>23.2716833333333</v>
      </c>
      <c r="F78" s="115" t="n">
        <f aca="false">SUM(F68:F77)</f>
        <v>24.1684666666667</v>
      </c>
      <c r="G78" s="115" t="n">
        <f aca="false">SUM(G68:G77)</f>
        <v>22.7653833333333</v>
      </c>
      <c r="H78" s="115" t="n">
        <f aca="false">SUM(H68:H77)</f>
        <v>17.6855066666667</v>
      </c>
      <c r="I78" s="115" t="n">
        <f aca="false">SUM(I68:I77)</f>
        <v>9.63698666666667</v>
      </c>
      <c r="J78" s="115" t="n">
        <f aca="false">SUM(J68:J77)</f>
        <v>3.15046</v>
      </c>
      <c r="K78" s="115" t="n">
        <f aca="false">SUM(K68:K77)</f>
        <v>2.94484666666667</v>
      </c>
      <c r="L78" s="115" t="n">
        <f aca="false">D78/10</f>
        <v>10.3623333333333</v>
      </c>
    </row>
    <row r="79" customFormat="false" ht="15" hidden="false" customHeight="true" outlineLevel="0" collapsed="false">
      <c r="A79" s="111" t="s">
        <v>731</v>
      </c>
    </row>
    <row r="81" customFormat="false" ht="19.5" hidden="false" customHeight="true" outlineLevel="0" collapsed="false">
      <c r="A81" s="100" t="s">
        <v>732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</row>
    <row r="82" customFormat="false" ht="30" hidden="false" customHeight="true" outlineLevel="0" collapsed="false">
      <c r="A82" s="102" t="s">
        <v>733</v>
      </c>
      <c r="B82" s="108" t="s">
        <v>734</v>
      </c>
      <c r="C82" s="108"/>
      <c r="D82" s="108"/>
      <c r="E82" s="108"/>
      <c r="F82" s="108"/>
      <c r="G82" s="108"/>
      <c r="H82" s="108"/>
      <c r="I82" s="108"/>
      <c r="J82" s="108"/>
      <c r="K82" s="108"/>
      <c r="L82" s="108"/>
    </row>
    <row r="83" customFormat="false" ht="30" hidden="false" customHeight="true" outlineLevel="0" collapsed="false">
      <c r="A83" s="102" t="s">
        <v>89</v>
      </c>
      <c r="B83" s="108" t="s">
        <v>735</v>
      </c>
      <c r="C83" s="108"/>
      <c r="D83" s="108"/>
      <c r="E83" s="108"/>
      <c r="F83" s="108"/>
      <c r="G83" s="108"/>
      <c r="H83" s="108"/>
      <c r="I83" s="108"/>
      <c r="J83" s="108"/>
      <c r="K83" s="108"/>
      <c r="L83" s="108"/>
    </row>
    <row r="84" customFormat="false" ht="30" hidden="false" customHeight="true" outlineLevel="0" collapsed="false">
      <c r="A84" s="102" t="s">
        <v>736</v>
      </c>
      <c r="B84" s="108" t="s">
        <v>737</v>
      </c>
      <c r="C84" s="108"/>
      <c r="D84" s="108"/>
      <c r="E84" s="108"/>
      <c r="F84" s="108"/>
      <c r="G84" s="108"/>
      <c r="H84" s="108"/>
      <c r="I84" s="108"/>
      <c r="J84" s="108"/>
      <c r="K84" s="108"/>
      <c r="L84" s="108"/>
    </row>
    <row r="85" customFormat="false" ht="30" hidden="false" customHeight="true" outlineLevel="0" collapsed="false">
      <c r="A85" s="102" t="s">
        <v>417</v>
      </c>
      <c r="B85" s="108" t="s">
        <v>738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</row>
    <row r="86" customFormat="false" ht="30" hidden="false" customHeight="true" outlineLevel="0" collapsed="false">
      <c r="A86" s="102" t="s">
        <v>739</v>
      </c>
      <c r="B86" s="108" t="s">
        <v>740</v>
      </c>
      <c r="C86" s="108"/>
      <c r="D86" s="108"/>
      <c r="E86" s="108"/>
      <c r="F86" s="108"/>
      <c r="G86" s="108"/>
      <c r="H86" s="108"/>
      <c r="I86" s="108"/>
      <c r="J86" s="108"/>
      <c r="K86" s="108"/>
      <c r="L86" s="108"/>
    </row>
  </sheetData>
  <mergeCells count="56">
    <mergeCell ref="G6:L6"/>
    <mergeCell ref="G7:L7"/>
    <mergeCell ref="G8:L8"/>
    <mergeCell ref="G9:L9"/>
    <mergeCell ref="G10:L10"/>
    <mergeCell ref="G11:L11"/>
    <mergeCell ref="D53:E53"/>
    <mergeCell ref="F53:G53"/>
    <mergeCell ref="H53:I53"/>
    <mergeCell ref="J53:L53"/>
    <mergeCell ref="D54:E54"/>
    <mergeCell ref="F54:G54"/>
    <mergeCell ref="H54:I54"/>
    <mergeCell ref="J54:L54"/>
    <mergeCell ref="D55:E55"/>
    <mergeCell ref="F55:G55"/>
    <mergeCell ref="H55:I55"/>
    <mergeCell ref="J55:L55"/>
    <mergeCell ref="D56:E56"/>
    <mergeCell ref="F56:G56"/>
    <mergeCell ref="H56:I56"/>
    <mergeCell ref="J56:L56"/>
    <mergeCell ref="D57:E57"/>
    <mergeCell ref="F57:G57"/>
    <mergeCell ref="H57:I57"/>
    <mergeCell ref="J57:L57"/>
    <mergeCell ref="D58:E58"/>
    <mergeCell ref="F58:G58"/>
    <mergeCell ref="H58:I58"/>
    <mergeCell ref="J58:L58"/>
    <mergeCell ref="D59:E59"/>
    <mergeCell ref="F59:G59"/>
    <mergeCell ref="H59:I59"/>
    <mergeCell ref="J59:L59"/>
    <mergeCell ref="D60:E60"/>
    <mergeCell ref="F60:G60"/>
    <mergeCell ref="H60:I60"/>
    <mergeCell ref="J60:L60"/>
    <mergeCell ref="D61:E61"/>
    <mergeCell ref="F61:G61"/>
    <mergeCell ref="H61:I61"/>
    <mergeCell ref="J61:L61"/>
    <mergeCell ref="D62:E62"/>
    <mergeCell ref="F62:G62"/>
    <mergeCell ref="H62:I62"/>
    <mergeCell ref="J62:L62"/>
    <mergeCell ref="D63:E63"/>
    <mergeCell ref="F63:G63"/>
    <mergeCell ref="H63:I63"/>
    <mergeCell ref="J63:L63"/>
    <mergeCell ref="A78:C78"/>
    <mergeCell ref="B82:L82"/>
    <mergeCell ref="B83:L83"/>
    <mergeCell ref="B84:L84"/>
    <mergeCell ref="B85:L85"/>
    <mergeCell ref="B86:L86"/>
  </mergeCells>
  <conditionalFormatting sqref="L15:L24">
    <cfRule type="expression" priority="2" aboveAverage="0" equalAverage="0" bottom="0" percent="0" rank="0" text="" dxfId="30">
      <formula>ABS(L15-1)&gt;0.0001</formula>
    </cfRule>
  </conditionalFormatting>
  <conditionalFormatting sqref="L28:L37">
    <cfRule type="expression" priority="3" aboveAverage="0" equalAverage="0" bottom="0" percent="0" rank="0" text="" dxfId="30">
      <formula>ABS(L28-1)&gt;0.0001</formula>
    </cfRule>
  </conditionalFormatting>
  <conditionalFormatting sqref="L41:L50">
    <cfRule type="expression" priority="4" aboveAverage="0" equalAverage="0" bottom="0" percent="0" rank="0" text="" dxfId="30">
      <formula>ABS(L41-1)&gt;0.0001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54"/>
    <col collapsed="false" customWidth="true" hidden="false" outlineLevel="0" max="5" min="5" style="1" width="9"/>
    <col collapsed="false" customWidth="true" hidden="false" outlineLevel="0" max="6" min="6" style="1" width="26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10" min="9" style="1" width="52"/>
    <col collapsed="false" customWidth="true" hidden="false" outlineLevel="0" max="26" min="11" style="1" width="8.71"/>
  </cols>
  <sheetData>
    <row r="1" customFormat="false" ht="17.25" hidden="false" customHeight="true" outlineLevel="0" collapsed="false">
      <c r="A1" s="8" t="s">
        <v>741</v>
      </c>
    </row>
    <row r="2" customFormat="false" ht="15" hidden="false" customHeight="true" outlineLevel="0" collapsed="false">
      <c r="A2" s="3" t="s">
        <v>742</v>
      </c>
    </row>
    <row r="4" customFormat="false" ht="33.75" hidden="false" customHeight="true" outlineLevel="0" collapsed="false">
      <c r="A4" s="12" t="s">
        <v>401</v>
      </c>
      <c r="B4" s="12" t="s">
        <v>90</v>
      </c>
      <c r="C4" s="12" t="s">
        <v>743</v>
      </c>
      <c r="D4" s="12" t="s">
        <v>744</v>
      </c>
      <c r="E4" s="12" t="s">
        <v>578</v>
      </c>
      <c r="F4" s="12" t="s">
        <v>745</v>
      </c>
      <c r="G4" s="12" t="s">
        <v>746</v>
      </c>
      <c r="H4" s="12" t="s">
        <v>747</v>
      </c>
      <c r="I4" s="12" t="s">
        <v>748</v>
      </c>
      <c r="J4" s="12" t="s">
        <v>749</v>
      </c>
    </row>
    <row r="5" customFormat="false" ht="15" hidden="false" customHeight="true" outlineLevel="0" collapsed="false">
      <c r="A5" s="50" t="s">
        <v>141</v>
      </c>
      <c r="B5" s="116" t="s">
        <v>750</v>
      </c>
      <c r="C5" s="23" t="s">
        <v>751</v>
      </c>
      <c r="D5" s="53" t="s">
        <v>752</v>
      </c>
      <c r="E5" s="51" t="n">
        <v>0.05</v>
      </c>
      <c r="F5" s="53" t="s">
        <v>753</v>
      </c>
      <c r="G5" s="10" t="n">
        <v>3</v>
      </c>
      <c r="H5" s="10" t="n">
        <v>3</v>
      </c>
      <c r="I5" s="53" t="s">
        <v>754</v>
      </c>
      <c r="J5" s="117" t="s">
        <v>755</v>
      </c>
    </row>
    <row r="6" customFormat="false" ht="15" hidden="false" customHeight="true" outlineLevel="0" collapsed="false">
      <c r="A6" s="50" t="s">
        <v>142</v>
      </c>
      <c r="B6" s="116" t="s">
        <v>750</v>
      </c>
      <c r="C6" s="23" t="s">
        <v>756</v>
      </c>
      <c r="D6" s="53" t="s">
        <v>757</v>
      </c>
      <c r="E6" s="10" t="n">
        <v>1</v>
      </c>
      <c r="F6" s="53" t="s">
        <v>758</v>
      </c>
      <c r="G6" s="10" t="n">
        <v>1</v>
      </c>
      <c r="H6" s="10" t="n">
        <v>1</v>
      </c>
      <c r="I6" s="53" t="s">
        <v>759</v>
      </c>
      <c r="J6" s="117" t="s">
        <v>760</v>
      </c>
    </row>
    <row r="7" customFormat="false" ht="15" hidden="false" customHeight="true" outlineLevel="0" collapsed="false">
      <c r="A7" s="50" t="s">
        <v>161</v>
      </c>
      <c r="B7" s="116" t="s">
        <v>750</v>
      </c>
      <c r="C7" s="23" t="s">
        <v>761</v>
      </c>
      <c r="D7" s="53" t="s">
        <v>762</v>
      </c>
      <c r="E7" s="51" t="n">
        <v>0.1</v>
      </c>
      <c r="F7" s="53" t="s">
        <v>763</v>
      </c>
      <c r="G7" s="10" t="n">
        <v>2</v>
      </c>
      <c r="H7" s="10" t="n">
        <v>1</v>
      </c>
      <c r="I7" s="53" t="s">
        <v>764</v>
      </c>
      <c r="J7" s="117" t="s">
        <v>755</v>
      </c>
    </row>
    <row r="8" customFormat="false" ht="15" hidden="false" customHeight="true" outlineLevel="0" collapsed="false">
      <c r="A8" s="50" t="s">
        <v>181</v>
      </c>
      <c r="B8" s="118" t="s">
        <v>765</v>
      </c>
      <c r="C8" s="23" t="s">
        <v>761</v>
      </c>
      <c r="D8" s="53" t="s">
        <v>766</v>
      </c>
      <c r="E8" s="51" t="n">
        <v>0.15</v>
      </c>
      <c r="F8" s="53" t="s">
        <v>767</v>
      </c>
      <c r="G8" s="10" t="n">
        <v>2</v>
      </c>
      <c r="H8" s="10" t="n">
        <v>1</v>
      </c>
      <c r="I8" s="53" t="s">
        <v>764</v>
      </c>
      <c r="J8" s="117" t="s">
        <v>755</v>
      </c>
    </row>
    <row r="9" customFormat="false" ht="15" hidden="false" customHeight="true" outlineLevel="0" collapsed="false">
      <c r="A9" s="50" t="s">
        <v>188</v>
      </c>
      <c r="B9" s="118" t="s">
        <v>765</v>
      </c>
      <c r="C9" s="23" t="s">
        <v>761</v>
      </c>
      <c r="D9" s="53" t="s">
        <v>768</v>
      </c>
      <c r="E9" s="51" t="n">
        <v>0.15</v>
      </c>
      <c r="F9" s="53" t="s">
        <v>769</v>
      </c>
      <c r="G9" s="10" t="n">
        <v>2</v>
      </c>
      <c r="H9" s="10" t="n">
        <v>1</v>
      </c>
      <c r="I9" s="53" t="s">
        <v>764</v>
      </c>
      <c r="J9" s="117" t="s">
        <v>755</v>
      </c>
    </row>
    <row r="10" customFormat="false" ht="15" hidden="false" customHeight="true" outlineLevel="0" collapsed="false">
      <c r="A10" s="50" t="s">
        <v>209</v>
      </c>
      <c r="B10" s="119" t="s">
        <v>770</v>
      </c>
      <c r="C10" s="23" t="s">
        <v>751</v>
      </c>
      <c r="D10" s="53" t="s">
        <v>771</v>
      </c>
      <c r="E10" s="51" t="n">
        <v>0.08</v>
      </c>
      <c r="F10" s="53" t="s">
        <v>772</v>
      </c>
      <c r="G10" s="10" t="n">
        <v>3</v>
      </c>
      <c r="H10" s="10" t="n">
        <v>1</v>
      </c>
      <c r="I10" s="53" t="s">
        <v>773</v>
      </c>
      <c r="J10" s="117" t="s">
        <v>755</v>
      </c>
    </row>
    <row r="11" customFormat="false" ht="15" hidden="false" customHeight="true" outlineLevel="0" collapsed="false">
      <c r="A11" s="50" t="s">
        <v>227</v>
      </c>
      <c r="B11" s="120" t="s">
        <v>774</v>
      </c>
      <c r="C11" s="23" t="s">
        <v>761</v>
      </c>
      <c r="D11" s="53" t="s">
        <v>775</v>
      </c>
      <c r="E11" s="51" t="n">
        <v>0.15</v>
      </c>
      <c r="F11" s="53" t="s">
        <v>776</v>
      </c>
      <c r="G11" s="10" t="n">
        <v>2</v>
      </c>
      <c r="H11" s="10" t="n">
        <v>1</v>
      </c>
      <c r="I11" s="53" t="s">
        <v>764</v>
      </c>
      <c r="J11" s="117" t="s">
        <v>755</v>
      </c>
    </row>
    <row r="12" customFormat="false" ht="15" hidden="false" customHeight="true" outlineLevel="0" collapsed="false">
      <c r="A12" s="50" t="s">
        <v>252</v>
      </c>
      <c r="B12" s="121" t="s">
        <v>777</v>
      </c>
      <c r="C12" s="23" t="s">
        <v>751</v>
      </c>
      <c r="D12" s="53" t="s">
        <v>778</v>
      </c>
      <c r="E12" s="51" t="n">
        <v>0.02</v>
      </c>
      <c r="F12" s="53" t="s">
        <v>779</v>
      </c>
      <c r="G12" s="10" t="n">
        <v>4</v>
      </c>
      <c r="H12" s="10" t="n">
        <v>3</v>
      </c>
      <c r="I12" s="53" t="s">
        <v>780</v>
      </c>
      <c r="J12" s="117" t="s">
        <v>755</v>
      </c>
    </row>
    <row r="13" customFormat="false" ht="15" hidden="false" customHeight="true" outlineLevel="0" collapsed="false">
      <c r="A13" s="50" t="s">
        <v>251</v>
      </c>
      <c r="B13" s="121" t="s">
        <v>777</v>
      </c>
      <c r="C13" s="23" t="s">
        <v>761</v>
      </c>
      <c r="D13" s="53" t="s">
        <v>781</v>
      </c>
      <c r="E13" s="51" t="n">
        <v>0.05</v>
      </c>
      <c r="F13" s="53" t="s">
        <v>782</v>
      </c>
      <c r="G13" s="10" t="n">
        <v>3</v>
      </c>
      <c r="H13" s="10" t="n">
        <v>4</v>
      </c>
      <c r="I13" s="53" t="s">
        <v>783</v>
      </c>
      <c r="J13" s="117" t="s">
        <v>755</v>
      </c>
    </row>
    <row r="14" customFormat="false" ht="15" hidden="false" customHeight="true" outlineLevel="0" collapsed="false">
      <c r="A14" s="50" t="s">
        <v>273</v>
      </c>
      <c r="B14" s="122" t="s">
        <v>784</v>
      </c>
      <c r="C14" s="23" t="s">
        <v>785</v>
      </c>
      <c r="D14" s="53" t="s">
        <v>786</v>
      </c>
      <c r="E14" s="51" t="n">
        <v>0.25</v>
      </c>
      <c r="F14" s="53" t="s">
        <v>787</v>
      </c>
      <c r="G14" s="10" t="n">
        <v>3</v>
      </c>
      <c r="H14" s="10" t="n">
        <v>1</v>
      </c>
      <c r="I14" s="53" t="s">
        <v>764</v>
      </c>
      <c r="J14" s="117" t="s">
        <v>755</v>
      </c>
    </row>
    <row r="15" customFormat="false" ht="15" hidden="false" customHeight="true" outlineLevel="0" collapsed="false">
      <c r="A15" s="50" t="s">
        <v>296</v>
      </c>
      <c r="B15" s="123" t="s">
        <v>788</v>
      </c>
      <c r="C15" s="23" t="s">
        <v>756</v>
      </c>
      <c r="D15" s="53" t="s">
        <v>789</v>
      </c>
      <c r="E15" s="51" t="n">
        <v>0.08</v>
      </c>
      <c r="F15" s="53" t="s">
        <v>790</v>
      </c>
      <c r="G15" s="10" t="n">
        <v>2</v>
      </c>
      <c r="H15" s="10" t="n">
        <v>3</v>
      </c>
      <c r="I15" s="53" t="s">
        <v>791</v>
      </c>
      <c r="J15" s="117" t="s">
        <v>760</v>
      </c>
    </row>
    <row r="16" customFormat="false" ht="15" hidden="false" customHeight="true" outlineLevel="0" collapsed="false">
      <c r="A16" s="50" t="s">
        <v>307</v>
      </c>
      <c r="B16" s="123" t="s">
        <v>788</v>
      </c>
      <c r="C16" s="23" t="s">
        <v>756</v>
      </c>
      <c r="D16" s="53" t="s">
        <v>757</v>
      </c>
      <c r="E16" s="10" t="n">
        <v>1</v>
      </c>
      <c r="F16" s="53" t="s">
        <v>758</v>
      </c>
      <c r="G16" s="10" t="n">
        <v>1</v>
      </c>
      <c r="H16" s="10" t="n">
        <v>1</v>
      </c>
      <c r="I16" s="53" t="s">
        <v>759</v>
      </c>
      <c r="J16" s="117" t="s">
        <v>760</v>
      </c>
    </row>
    <row r="17" customFormat="false" ht="15" hidden="false" customHeight="true" outlineLevel="0" collapsed="false">
      <c r="A17" s="50" t="s">
        <v>320</v>
      </c>
      <c r="B17" s="124" t="s">
        <v>792</v>
      </c>
      <c r="C17" s="23" t="s">
        <v>756</v>
      </c>
      <c r="D17" s="53" t="s">
        <v>757</v>
      </c>
      <c r="E17" s="10" t="n">
        <v>1</v>
      </c>
      <c r="F17" s="53" t="s">
        <v>758</v>
      </c>
      <c r="G17" s="10" t="n">
        <v>1</v>
      </c>
      <c r="H17" s="10" t="n">
        <v>1</v>
      </c>
      <c r="I17" s="53" t="s">
        <v>759</v>
      </c>
      <c r="J17" s="117" t="s">
        <v>760</v>
      </c>
    </row>
    <row r="18" customFormat="false" ht="15" hidden="false" customHeight="true" outlineLevel="0" collapsed="false">
      <c r="A18" s="50" t="s">
        <v>325</v>
      </c>
      <c r="B18" s="125" t="s">
        <v>793</v>
      </c>
      <c r="C18" s="23" t="s">
        <v>761</v>
      </c>
      <c r="D18" s="53" t="s">
        <v>794</v>
      </c>
      <c r="E18" s="51" t="n">
        <v>0.2</v>
      </c>
      <c r="F18" s="53" t="s">
        <v>795</v>
      </c>
      <c r="G18" s="10" t="n">
        <v>2</v>
      </c>
      <c r="H18" s="10" t="n">
        <v>1</v>
      </c>
      <c r="I18" s="53" t="s">
        <v>764</v>
      </c>
      <c r="J18" s="117" t="s">
        <v>755</v>
      </c>
    </row>
    <row r="19" customFormat="false" ht="15" hidden="false" customHeight="true" outlineLevel="0" collapsed="false">
      <c r="A19" s="50" t="s">
        <v>337</v>
      </c>
      <c r="B19" s="125" t="s">
        <v>793</v>
      </c>
      <c r="C19" s="23" t="s">
        <v>785</v>
      </c>
      <c r="D19" s="53" t="s">
        <v>796</v>
      </c>
      <c r="E19" s="10" t="n">
        <v>1</v>
      </c>
      <c r="F19" s="53" t="s">
        <v>797</v>
      </c>
      <c r="G19" s="10" t="n">
        <v>2</v>
      </c>
      <c r="H19" s="10" t="n">
        <v>1</v>
      </c>
      <c r="I19" s="53" t="s">
        <v>764</v>
      </c>
      <c r="J19" s="117" t="s">
        <v>755</v>
      </c>
    </row>
    <row r="20" customFormat="false" ht="15" hidden="false" customHeight="true" outlineLevel="0" collapsed="false">
      <c r="A20" s="50" t="s">
        <v>357</v>
      </c>
      <c r="B20" s="126" t="s">
        <v>798</v>
      </c>
      <c r="C20" s="23" t="s">
        <v>761</v>
      </c>
      <c r="D20" s="53" t="s">
        <v>799</v>
      </c>
      <c r="E20" s="51" t="n">
        <v>0.1</v>
      </c>
      <c r="F20" s="53" t="s">
        <v>800</v>
      </c>
      <c r="G20" s="10" t="n">
        <v>2</v>
      </c>
      <c r="H20" s="10" t="n">
        <v>1</v>
      </c>
      <c r="I20" s="53" t="s">
        <v>801</v>
      </c>
      <c r="J20" s="117" t="s">
        <v>755</v>
      </c>
    </row>
    <row r="21" customFormat="false" ht="15.75" hidden="false" customHeight="true" outlineLevel="0" collapsed="false">
      <c r="A21" s="50" t="s">
        <v>358</v>
      </c>
      <c r="B21" s="126" t="s">
        <v>798</v>
      </c>
      <c r="C21" s="23" t="s">
        <v>756</v>
      </c>
      <c r="D21" s="53" t="s">
        <v>802</v>
      </c>
      <c r="E21" s="51" t="n">
        <v>0.25</v>
      </c>
      <c r="F21" s="53" t="s">
        <v>803</v>
      </c>
      <c r="G21" s="10" t="n">
        <v>2</v>
      </c>
      <c r="H21" s="10" t="n">
        <v>1</v>
      </c>
      <c r="I21" s="53" t="s">
        <v>804</v>
      </c>
      <c r="J21" s="117" t="s">
        <v>760</v>
      </c>
    </row>
    <row r="22" customFormat="false" ht="15.75" hidden="false" customHeight="true" outlineLevel="0" collapsed="false"/>
    <row r="23" customFormat="false" ht="15.75" hidden="false" customHeight="true" outlineLevel="0" collapsed="false">
      <c r="A23" s="11" t="s">
        <v>805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50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50"/>
    <col collapsed="false" customWidth="true" hidden="false" outlineLevel="0" max="11" min="9" style="1" width="12"/>
    <col collapsed="false" customWidth="true" hidden="false" outlineLevel="0" max="26" min="12" style="1" width="8.71"/>
  </cols>
  <sheetData>
    <row r="1" customFormat="false" ht="17.25" hidden="false" customHeight="true" outlineLevel="0" collapsed="false">
      <c r="A1" s="8" t="s">
        <v>806</v>
      </c>
    </row>
    <row r="2" customFormat="false" ht="15" hidden="false" customHeight="true" outlineLevel="0" collapsed="false">
      <c r="A2" s="3" t="s">
        <v>807</v>
      </c>
    </row>
    <row r="4" customFormat="false" ht="33.75" hidden="false" customHeight="true" outlineLevel="0" collapsed="false">
      <c r="A4" s="12" t="s">
        <v>90</v>
      </c>
      <c r="B4" s="12" t="s">
        <v>89</v>
      </c>
      <c r="C4" s="12" t="s">
        <v>808</v>
      </c>
      <c r="D4" s="12" t="s">
        <v>809</v>
      </c>
      <c r="E4" s="12" t="s">
        <v>810</v>
      </c>
      <c r="F4" s="12" t="s">
        <v>113</v>
      </c>
      <c r="G4" s="12" t="s">
        <v>114</v>
      </c>
      <c r="H4" s="12" t="s">
        <v>811</v>
      </c>
    </row>
    <row r="5" customFormat="false" ht="15" hidden="false" customHeight="true" outlineLevel="0" collapsed="false">
      <c r="A5" s="80" t="s">
        <v>750</v>
      </c>
      <c r="B5" s="23" t="s">
        <v>812</v>
      </c>
      <c r="C5" s="23" t="n">
        <v>1</v>
      </c>
      <c r="D5" s="23" t="n">
        <v>10</v>
      </c>
      <c r="E5" s="53" t="s">
        <v>813</v>
      </c>
      <c r="F5" s="23" t="s">
        <v>573</v>
      </c>
      <c r="G5" s="23" t="s">
        <v>573</v>
      </c>
      <c r="H5" s="60" t="s">
        <v>814</v>
      </c>
    </row>
    <row r="6" customFormat="false" ht="15" hidden="false" customHeight="true" outlineLevel="0" collapsed="false">
      <c r="A6" s="127" t="s">
        <v>765</v>
      </c>
      <c r="B6" s="23" t="s">
        <v>815</v>
      </c>
      <c r="C6" s="23" t="n">
        <v>11</v>
      </c>
      <c r="D6" s="23" t="n">
        <v>20</v>
      </c>
      <c r="E6" s="53" t="s">
        <v>816</v>
      </c>
      <c r="F6" s="23" t="s">
        <v>817</v>
      </c>
      <c r="G6" s="23" t="s">
        <v>792</v>
      </c>
      <c r="H6" s="60" t="s">
        <v>818</v>
      </c>
    </row>
    <row r="7" customFormat="false" ht="15" hidden="false" customHeight="true" outlineLevel="0" collapsed="false">
      <c r="A7" s="128" t="s">
        <v>770</v>
      </c>
      <c r="B7" s="23" t="s">
        <v>819</v>
      </c>
      <c r="C7" s="23" t="n">
        <v>21</v>
      </c>
      <c r="D7" s="23" t="n">
        <v>30</v>
      </c>
      <c r="E7" s="53" t="s">
        <v>820</v>
      </c>
      <c r="F7" s="23" t="s">
        <v>784</v>
      </c>
      <c r="G7" s="23" t="s">
        <v>788</v>
      </c>
      <c r="H7" s="60" t="s">
        <v>209</v>
      </c>
    </row>
    <row r="8" customFormat="false" ht="15" hidden="false" customHeight="true" outlineLevel="0" collapsed="false">
      <c r="A8" s="129" t="s">
        <v>774</v>
      </c>
      <c r="B8" s="23" t="s">
        <v>821</v>
      </c>
      <c r="C8" s="23" t="n">
        <v>31</v>
      </c>
      <c r="D8" s="23" t="n">
        <v>40</v>
      </c>
      <c r="E8" s="53" t="s">
        <v>822</v>
      </c>
      <c r="F8" s="23" t="s">
        <v>788</v>
      </c>
      <c r="G8" s="23" t="s">
        <v>765</v>
      </c>
      <c r="H8" s="60" t="s">
        <v>227</v>
      </c>
    </row>
    <row r="9" customFormat="false" ht="15" hidden="false" customHeight="true" outlineLevel="0" collapsed="false">
      <c r="A9" s="130" t="s">
        <v>777</v>
      </c>
      <c r="B9" s="23" t="s">
        <v>823</v>
      </c>
      <c r="C9" s="23" t="n">
        <v>41</v>
      </c>
      <c r="D9" s="23" t="n">
        <v>50</v>
      </c>
      <c r="E9" s="53" t="s">
        <v>824</v>
      </c>
      <c r="F9" s="23" t="s">
        <v>573</v>
      </c>
      <c r="G9" s="23" t="s">
        <v>825</v>
      </c>
      <c r="H9" s="60" t="s">
        <v>826</v>
      </c>
    </row>
    <row r="10" customFormat="false" ht="15" hidden="false" customHeight="true" outlineLevel="0" collapsed="false">
      <c r="A10" s="131" t="s">
        <v>784</v>
      </c>
      <c r="B10" s="23" t="s">
        <v>827</v>
      </c>
      <c r="C10" s="23" t="n">
        <v>51</v>
      </c>
      <c r="D10" s="23" t="n">
        <v>60</v>
      </c>
      <c r="E10" s="53" t="s">
        <v>828</v>
      </c>
      <c r="F10" s="23" t="s">
        <v>792</v>
      </c>
      <c r="G10" s="23" t="s">
        <v>770</v>
      </c>
      <c r="H10" s="60" t="s">
        <v>273</v>
      </c>
    </row>
    <row r="11" customFormat="false" ht="15" hidden="false" customHeight="true" outlineLevel="0" collapsed="false">
      <c r="A11" s="132" t="s">
        <v>788</v>
      </c>
      <c r="B11" s="23" t="s">
        <v>829</v>
      </c>
      <c r="C11" s="23" t="n">
        <v>61</v>
      </c>
      <c r="D11" s="23" t="n">
        <v>70</v>
      </c>
      <c r="E11" s="53" t="s">
        <v>830</v>
      </c>
      <c r="F11" s="23" t="s">
        <v>770</v>
      </c>
      <c r="G11" s="23" t="s">
        <v>774</v>
      </c>
      <c r="H11" s="60" t="s">
        <v>831</v>
      </c>
    </row>
    <row r="12" customFormat="false" ht="15" hidden="false" customHeight="true" outlineLevel="0" collapsed="false">
      <c r="A12" s="133" t="s">
        <v>792</v>
      </c>
      <c r="B12" s="23" t="s">
        <v>832</v>
      </c>
      <c r="C12" s="23" t="n">
        <v>71</v>
      </c>
      <c r="D12" s="23" t="n">
        <v>80</v>
      </c>
      <c r="E12" s="53" t="s">
        <v>833</v>
      </c>
      <c r="F12" s="23" t="s">
        <v>765</v>
      </c>
      <c r="G12" s="23" t="s">
        <v>784</v>
      </c>
      <c r="H12" s="60" t="s">
        <v>320</v>
      </c>
    </row>
    <row r="13" customFormat="false" ht="15" hidden="false" customHeight="true" outlineLevel="0" collapsed="false">
      <c r="A13" s="134" t="s">
        <v>793</v>
      </c>
      <c r="B13" s="23" t="s">
        <v>834</v>
      </c>
      <c r="C13" s="23" t="n">
        <v>81</v>
      </c>
      <c r="D13" s="23" t="n">
        <v>90</v>
      </c>
      <c r="E13" s="53" t="s">
        <v>835</v>
      </c>
      <c r="F13" s="23" t="s">
        <v>798</v>
      </c>
      <c r="G13" s="23" t="s">
        <v>777</v>
      </c>
      <c r="H13" s="60" t="s">
        <v>836</v>
      </c>
    </row>
    <row r="14" customFormat="false" ht="15" hidden="false" customHeight="true" outlineLevel="0" collapsed="false">
      <c r="A14" s="135" t="s">
        <v>798</v>
      </c>
      <c r="B14" s="23" t="s">
        <v>508</v>
      </c>
      <c r="C14" s="23" t="n">
        <v>91</v>
      </c>
      <c r="D14" s="23" t="n">
        <v>100</v>
      </c>
      <c r="E14" s="53" t="s">
        <v>837</v>
      </c>
      <c r="F14" s="23" t="s">
        <v>793</v>
      </c>
      <c r="G14" s="23" t="s">
        <v>573</v>
      </c>
      <c r="H14" s="60" t="s">
        <v>838</v>
      </c>
    </row>
    <row r="17" customFormat="false" ht="15" hidden="false" customHeight="true" outlineLevel="0" collapsed="false">
      <c r="A17" s="52" t="s">
        <v>839</v>
      </c>
    </row>
    <row r="18" customFormat="false" ht="33.75" hidden="false" customHeight="true" outlineLevel="0" collapsed="false">
      <c r="A18" s="12" t="s">
        <v>840</v>
      </c>
      <c r="B18" s="12" t="s">
        <v>770</v>
      </c>
      <c r="C18" s="12" t="s">
        <v>792</v>
      </c>
      <c r="D18" s="12" t="s">
        <v>777</v>
      </c>
      <c r="E18" s="12" t="s">
        <v>788</v>
      </c>
      <c r="F18" s="12" t="s">
        <v>784</v>
      </c>
      <c r="G18" s="12" t="s">
        <v>774</v>
      </c>
      <c r="H18" s="12" t="s">
        <v>765</v>
      </c>
      <c r="I18" s="12" t="s">
        <v>798</v>
      </c>
      <c r="J18" s="12" t="s">
        <v>793</v>
      </c>
      <c r="K18" s="12" t="s">
        <v>750</v>
      </c>
    </row>
    <row r="19" customFormat="false" ht="15" hidden="false" customHeight="true" outlineLevel="0" collapsed="false">
      <c r="A19" s="128" t="s">
        <v>770</v>
      </c>
      <c r="B19" s="37" t="n">
        <v>1</v>
      </c>
      <c r="C19" s="37" t="n">
        <v>1</v>
      </c>
      <c r="D19" s="37" t="n">
        <v>1</v>
      </c>
      <c r="E19" s="136" t="n">
        <v>0.75</v>
      </c>
      <c r="F19" s="137" t="n">
        <v>1.5</v>
      </c>
      <c r="G19" s="37" t="n">
        <v>1</v>
      </c>
      <c r="H19" s="37" t="n">
        <v>1</v>
      </c>
      <c r="I19" s="37" t="n">
        <v>1</v>
      </c>
      <c r="J19" s="37" t="n">
        <v>1</v>
      </c>
      <c r="K19" s="37" t="n">
        <v>1</v>
      </c>
    </row>
    <row r="20" customFormat="false" ht="15" hidden="false" customHeight="true" outlineLevel="0" collapsed="false">
      <c r="A20" s="133" t="s">
        <v>792</v>
      </c>
      <c r="B20" s="37" t="n">
        <v>1</v>
      </c>
      <c r="C20" s="37" t="n">
        <v>1</v>
      </c>
      <c r="D20" s="37" t="n">
        <v>1</v>
      </c>
      <c r="E20" s="37" t="n">
        <v>1</v>
      </c>
      <c r="F20" s="136" t="n">
        <v>0.75</v>
      </c>
      <c r="G20" s="37" t="n">
        <v>1</v>
      </c>
      <c r="H20" s="137" t="n">
        <v>1.5</v>
      </c>
      <c r="I20" s="37" t="n">
        <v>1</v>
      </c>
      <c r="J20" s="37" t="n">
        <v>1</v>
      </c>
      <c r="K20" s="37" t="n">
        <v>1</v>
      </c>
    </row>
    <row r="21" customFormat="false" ht="15.75" hidden="false" customHeight="true" outlineLevel="0" collapsed="false">
      <c r="A21" s="130" t="s">
        <v>777</v>
      </c>
      <c r="B21" s="37" t="n">
        <v>1</v>
      </c>
      <c r="C21" s="37" t="n">
        <v>1</v>
      </c>
      <c r="D21" s="37" t="n">
        <v>1</v>
      </c>
      <c r="E21" s="37" t="n">
        <v>1</v>
      </c>
      <c r="F21" s="37" t="n">
        <v>1</v>
      </c>
      <c r="G21" s="37" t="n">
        <v>1</v>
      </c>
      <c r="H21" s="136" t="n">
        <v>0.75</v>
      </c>
      <c r="I21" s="37" t="n">
        <v>1</v>
      </c>
      <c r="J21" s="136" t="n">
        <v>0.75</v>
      </c>
      <c r="K21" s="37" t="n">
        <v>1</v>
      </c>
    </row>
    <row r="22" customFormat="false" ht="15.75" hidden="false" customHeight="true" outlineLevel="0" collapsed="false">
      <c r="A22" s="132" t="s">
        <v>788</v>
      </c>
      <c r="B22" s="137" t="n">
        <v>1.5</v>
      </c>
      <c r="C22" s="37" t="n">
        <v>1</v>
      </c>
      <c r="D22" s="37" t="n">
        <v>1</v>
      </c>
      <c r="E22" s="37" t="n">
        <v>1</v>
      </c>
      <c r="F22" s="37" t="n">
        <v>1</v>
      </c>
      <c r="G22" s="136" t="n">
        <v>0.75</v>
      </c>
      <c r="H22" s="37" t="n">
        <v>1</v>
      </c>
      <c r="I22" s="37" t="n">
        <v>1</v>
      </c>
      <c r="J22" s="37" t="n">
        <v>1</v>
      </c>
      <c r="K22" s="37" t="n">
        <v>1</v>
      </c>
    </row>
    <row r="23" customFormat="false" ht="15.75" hidden="false" customHeight="true" outlineLevel="0" collapsed="false">
      <c r="A23" s="131" t="s">
        <v>784</v>
      </c>
      <c r="B23" s="136" t="n">
        <v>0.75</v>
      </c>
      <c r="C23" s="137" t="n">
        <v>1.5</v>
      </c>
      <c r="D23" s="37" t="n">
        <v>1</v>
      </c>
      <c r="E23" s="37" t="n">
        <v>1</v>
      </c>
      <c r="F23" s="37" t="n">
        <v>1</v>
      </c>
      <c r="G23" s="37" t="n">
        <v>1</v>
      </c>
      <c r="H23" s="37" t="n">
        <v>1</v>
      </c>
      <c r="I23" s="37" t="n">
        <v>1</v>
      </c>
      <c r="J23" s="37" t="n">
        <v>1</v>
      </c>
      <c r="K23" s="37" t="n">
        <v>1</v>
      </c>
    </row>
    <row r="24" customFormat="false" ht="15.75" hidden="false" customHeight="true" outlineLevel="0" collapsed="false">
      <c r="A24" s="129" t="s">
        <v>774</v>
      </c>
      <c r="B24" s="37" t="n">
        <v>1</v>
      </c>
      <c r="C24" s="37" t="n">
        <v>1</v>
      </c>
      <c r="D24" s="37" t="n">
        <v>1</v>
      </c>
      <c r="E24" s="137" t="n">
        <v>1.5</v>
      </c>
      <c r="F24" s="37" t="n">
        <v>1</v>
      </c>
      <c r="G24" s="37" t="n">
        <v>1</v>
      </c>
      <c r="H24" s="136" t="n">
        <v>0.75</v>
      </c>
      <c r="I24" s="37" t="n">
        <v>1</v>
      </c>
      <c r="J24" s="37" t="n">
        <v>1</v>
      </c>
      <c r="K24" s="37" t="n">
        <v>1</v>
      </c>
    </row>
    <row r="25" customFormat="false" ht="15.75" hidden="false" customHeight="true" outlineLevel="0" collapsed="false">
      <c r="A25" s="127" t="s">
        <v>765</v>
      </c>
      <c r="B25" s="37" t="n">
        <v>1</v>
      </c>
      <c r="C25" s="136" t="n">
        <v>0.75</v>
      </c>
      <c r="D25" s="137" t="n">
        <v>1.5</v>
      </c>
      <c r="E25" s="37" t="n">
        <v>1</v>
      </c>
      <c r="F25" s="37" t="n">
        <v>1</v>
      </c>
      <c r="G25" s="137" t="n">
        <v>1.5</v>
      </c>
      <c r="H25" s="37" t="n">
        <v>1</v>
      </c>
      <c r="I25" s="37" t="n">
        <v>1</v>
      </c>
      <c r="J25" s="37" t="n">
        <v>1</v>
      </c>
      <c r="K25" s="37" t="n">
        <v>1</v>
      </c>
    </row>
    <row r="26" customFormat="false" ht="15.75" hidden="false" customHeight="true" outlineLevel="0" collapsed="false">
      <c r="A26" s="135" t="s">
        <v>798</v>
      </c>
      <c r="B26" s="37" t="n">
        <v>1</v>
      </c>
      <c r="C26" s="37" t="n">
        <v>1</v>
      </c>
      <c r="D26" s="37" t="n">
        <v>1</v>
      </c>
      <c r="E26" s="37" t="n">
        <v>1</v>
      </c>
      <c r="F26" s="37" t="n">
        <v>1</v>
      </c>
      <c r="G26" s="37" t="n">
        <v>1</v>
      </c>
      <c r="H26" s="37" t="n">
        <v>1</v>
      </c>
      <c r="I26" s="37" t="n">
        <v>1</v>
      </c>
      <c r="J26" s="137" t="n">
        <v>1.5</v>
      </c>
      <c r="K26" s="37" t="n">
        <v>1</v>
      </c>
    </row>
    <row r="27" customFormat="false" ht="15.75" hidden="false" customHeight="true" outlineLevel="0" collapsed="false">
      <c r="A27" s="134" t="s">
        <v>793</v>
      </c>
      <c r="B27" s="37" t="n">
        <v>1</v>
      </c>
      <c r="C27" s="37" t="n">
        <v>1</v>
      </c>
      <c r="D27" s="136" t="n">
        <v>0.75</v>
      </c>
      <c r="E27" s="37" t="n">
        <v>1</v>
      </c>
      <c r="F27" s="37" t="n">
        <v>1</v>
      </c>
      <c r="G27" s="37" t="n">
        <v>1</v>
      </c>
      <c r="H27" s="37" t="n">
        <v>1</v>
      </c>
      <c r="I27" s="137" t="n">
        <v>1.5</v>
      </c>
      <c r="J27" s="37" t="n">
        <v>1</v>
      </c>
      <c r="K27" s="37" t="n">
        <v>1</v>
      </c>
    </row>
    <row r="28" customFormat="false" ht="15.75" hidden="false" customHeight="true" outlineLevel="0" collapsed="false">
      <c r="A28" s="80" t="s">
        <v>750</v>
      </c>
      <c r="B28" s="37" t="n">
        <v>1</v>
      </c>
      <c r="C28" s="37" t="n">
        <v>1</v>
      </c>
      <c r="D28" s="37" t="n">
        <v>1</v>
      </c>
      <c r="E28" s="37" t="n">
        <v>1</v>
      </c>
      <c r="F28" s="37" t="n">
        <v>1</v>
      </c>
      <c r="G28" s="37" t="n">
        <v>1</v>
      </c>
      <c r="H28" s="37" t="n">
        <v>1</v>
      </c>
      <c r="I28" s="37" t="n">
        <v>1</v>
      </c>
      <c r="J28" s="37" t="n">
        <v>1</v>
      </c>
      <c r="K28" s="37" t="n">
        <v>1</v>
      </c>
    </row>
    <row r="29" customFormat="false" ht="15.75" hidden="false" customHeight="true" outlineLevel="0" collapsed="false"/>
    <row r="30" customFormat="false" ht="15.75" hidden="false" customHeight="true" outlineLevel="0" collapsed="false">
      <c r="A30" s="11" t="s">
        <v>841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10" min="4" style="1" width="13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62"/>
    <col collapsed="false" customWidth="true" hidden="false" outlineLevel="0" max="26" min="14" style="1" width="12"/>
  </cols>
  <sheetData>
    <row r="1" customFormat="false" ht="17.25" hidden="false" customHeight="true" outlineLevel="0" collapsed="false">
      <c r="A1" s="8" t="s">
        <v>842</v>
      </c>
    </row>
    <row r="2" customFormat="false" ht="15" hidden="false" customHeight="true" outlineLevel="0" collapsed="false">
      <c r="A2" s="3" t="s">
        <v>843</v>
      </c>
    </row>
    <row r="3" customFormat="false" ht="15" hidden="false" customHeight="true" outlineLevel="0" collapsed="false">
      <c r="A3" s="52" t="s">
        <v>844</v>
      </c>
    </row>
    <row r="4" customFormat="false" ht="43.5" hidden="false" customHeight="true" outlineLevel="0" collapsed="false">
      <c r="A4" s="12" t="s">
        <v>94</v>
      </c>
      <c r="B4" s="12" t="s">
        <v>845</v>
      </c>
      <c r="C4" s="12" t="s">
        <v>846</v>
      </c>
      <c r="D4" s="12" t="s">
        <v>847</v>
      </c>
      <c r="E4" s="12" t="s">
        <v>848</v>
      </c>
      <c r="F4" s="12" t="s">
        <v>849</v>
      </c>
      <c r="G4" s="12" t="s">
        <v>850</v>
      </c>
      <c r="H4" s="12" t="s">
        <v>851</v>
      </c>
      <c r="I4" s="12" t="s">
        <v>852</v>
      </c>
      <c r="J4" s="12" t="s">
        <v>853</v>
      </c>
      <c r="K4" s="12" t="s">
        <v>854</v>
      </c>
      <c r="L4" s="12" t="s">
        <v>855</v>
      </c>
      <c r="M4" s="12" t="s">
        <v>856</v>
      </c>
      <c r="N4" s="12" t="s">
        <v>857</v>
      </c>
    </row>
    <row r="5" customFormat="false" ht="15" hidden="false" customHeight="true" outlineLevel="0" collapsed="false">
      <c r="A5" s="50" t="s">
        <v>139</v>
      </c>
      <c r="B5" s="138" t="n">
        <v>0.95</v>
      </c>
      <c r="C5" s="138" t="n">
        <v>1.05</v>
      </c>
      <c r="D5" s="138" t="n">
        <v>0.6</v>
      </c>
      <c r="E5" s="138" t="n">
        <v>0.7</v>
      </c>
      <c r="F5" s="138" t="n">
        <v>1.2</v>
      </c>
      <c r="G5" s="138" t="n">
        <v>1</v>
      </c>
      <c r="H5" s="138" t="n">
        <v>1</v>
      </c>
      <c r="I5" s="138" t="n">
        <v>1</v>
      </c>
      <c r="J5" s="138" t="n">
        <v>0.5</v>
      </c>
      <c r="K5" s="138" t="n">
        <v>0.8</v>
      </c>
      <c r="L5" s="51" t="n">
        <v>0.5</v>
      </c>
      <c r="M5" s="53" t="s">
        <v>858</v>
      </c>
      <c r="N5" s="138" t="n">
        <v>1.2</v>
      </c>
    </row>
    <row r="6" customFormat="false" ht="15" hidden="false" customHeight="true" outlineLevel="0" collapsed="false">
      <c r="A6" s="50" t="s">
        <v>149</v>
      </c>
      <c r="B6" s="138" t="n">
        <v>1.5</v>
      </c>
      <c r="C6" s="138" t="n">
        <v>0.95</v>
      </c>
      <c r="D6" s="138" t="n">
        <v>1.2</v>
      </c>
      <c r="E6" s="138" t="n">
        <v>1.5</v>
      </c>
      <c r="F6" s="138" t="n">
        <v>0.6</v>
      </c>
      <c r="G6" s="138" t="n">
        <v>0.85</v>
      </c>
      <c r="H6" s="138" t="n">
        <v>0.6</v>
      </c>
      <c r="I6" s="138" t="n">
        <v>1</v>
      </c>
      <c r="J6" s="138" t="n">
        <v>0.8</v>
      </c>
      <c r="K6" s="138" t="n">
        <v>1.2</v>
      </c>
      <c r="L6" s="51" t="n">
        <v>0.4</v>
      </c>
      <c r="M6" s="53" t="s">
        <v>859</v>
      </c>
      <c r="N6" s="138" t="n">
        <v>0.7</v>
      </c>
    </row>
    <row r="7" customFormat="false" ht="15" hidden="false" customHeight="true" outlineLevel="0" collapsed="false">
      <c r="A7" s="50" t="s">
        <v>160</v>
      </c>
      <c r="B7" s="138" t="n">
        <v>1.15</v>
      </c>
      <c r="C7" s="138" t="n">
        <v>1</v>
      </c>
      <c r="D7" s="138" t="n">
        <v>1</v>
      </c>
      <c r="E7" s="138" t="n">
        <v>1.2</v>
      </c>
      <c r="F7" s="138" t="n">
        <v>0.9</v>
      </c>
      <c r="G7" s="138" t="n">
        <v>1</v>
      </c>
      <c r="H7" s="138" t="n">
        <v>1</v>
      </c>
      <c r="I7" s="138" t="n">
        <v>1</v>
      </c>
      <c r="J7" s="138" t="n">
        <v>1</v>
      </c>
      <c r="K7" s="138" t="n">
        <v>1</v>
      </c>
      <c r="L7" s="51" t="n">
        <v>0.5</v>
      </c>
      <c r="M7" s="53" t="s">
        <v>860</v>
      </c>
      <c r="N7" s="138" t="n">
        <v>0.95</v>
      </c>
    </row>
    <row r="8" customFormat="false" ht="15" hidden="false" customHeight="true" outlineLevel="0" collapsed="false">
      <c r="A8" s="50" t="s">
        <v>177</v>
      </c>
      <c r="B8" s="138" t="n">
        <v>0.8</v>
      </c>
      <c r="C8" s="138" t="n">
        <v>1.1</v>
      </c>
      <c r="D8" s="138" t="n">
        <v>0.7</v>
      </c>
      <c r="E8" s="138" t="n">
        <v>0.6</v>
      </c>
      <c r="F8" s="138" t="n">
        <v>1.1</v>
      </c>
      <c r="G8" s="138" t="n">
        <v>1.3</v>
      </c>
      <c r="H8" s="138" t="n">
        <v>1.5</v>
      </c>
      <c r="I8" s="138" t="n">
        <v>1.3</v>
      </c>
      <c r="J8" s="138" t="n">
        <v>1.4</v>
      </c>
      <c r="K8" s="138" t="n">
        <v>0.8</v>
      </c>
      <c r="L8" s="51" t="n">
        <v>0.6</v>
      </c>
      <c r="M8" s="53" t="s">
        <v>861</v>
      </c>
      <c r="N8" s="138" t="n">
        <v>1.1</v>
      </c>
    </row>
    <row r="9" customFormat="false" ht="15" hidden="false" customHeight="true" outlineLevel="0" collapsed="false">
      <c r="A9" s="50" t="s">
        <v>195</v>
      </c>
      <c r="B9" s="138" t="n">
        <v>0.7</v>
      </c>
      <c r="C9" s="138" t="n">
        <v>1.25</v>
      </c>
      <c r="D9" s="138" t="n">
        <v>1.1</v>
      </c>
      <c r="E9" s="138" t="n">
        <v>0.4</v>
      </c>
      <c r="F9" s="138" t="n">
        <v>0.9</v>
      </c>
      <c r="G9" s="138" t="n">
        <v>1</v>
      </c>
      <c r="H9" s="138" t="n">
        <v>1</v>
      </c>
      <c r="I9" s="138" t="n">
        <v>1</v>
      </c>
      <c r="J9" s="138" t="n">
        <v>1.3</v>
      </c>
      <c r="K9" s="138" t="n">
        <v>1.2</v>
      </c>
      <c r="L9" s="51" t="n">
        <v>1</v>
      </c>
      <c r="M9" s="53" t="s">
        <v>862</v>
      </c>
      <c r="N9" s="138" t="n">
        <v>0.9</v>
      </c>
    </row>
    <row r="10" customFormat="false" ht="15" hidden="false" customHeight="true" outlineLevel="0" collapsed="false">
      <c r="A10" s="50" t="s">
        <v>172</v>
      </c>
      <c r="B10" s="138" t="n">
        <v>0.85</v>
      </c>
      <c r="C10" s="138" t="n">
        <v>0.8</v>
      </c>
      <c r="D10" s="138" t="n">
        <v>1.2</v>
      </c>
      <c r="E10" s="138" t="n">
        <v>0.5</v>
      </c>
      <c r="F10" s="138" t="n">
        <v>0.9</v>
      </c>
      <c r="G10" s="138" t="n">
        <v>1</v>
      </c>
      <c r="H10" s="138" t="n">
        <v>0.8</v>
      </c>
      <c r="I10" s="138" t="n">
        <v>1</v>
      </c>
      <c r="J10" s="138" t="n">
        <v>0.8</v>
      </c>
      <c r="K10" s="138" t="n">
        <v>1.3</v>
      </c>
      <c r="L10" s="51" t="n">
        <v>0.7</v>
      </c>
      <c r="M10" s="53" t="s">
        <v>863</v>
      </c>
      <c r="N10" s="138" t="n">
        <v>1</v>
      </c>
    </row>
    <row r="11" customFormat="false" ht="15" hidden="false" customHeight="true" outlineLevel="0" collapsed="false">
      <c r="A11" s="50" t="s">
        <v>145</v>
      </c>
      <c r="B11" s="138" t="n">
        <v>0.75</v>
      </c>
      <c r="C11" s="138" t="n">
        <v>1.2</v>
      </c>
      <c r="D11" s="138" t="n">
        <v>0.6</v>
      </c>
      <c r="E11" s="138" t="n">
        <v>0.5</v>
      </c>
      <c r="F11" s="138" t="n">
        <v>1.6</v>
      </c>
      <c r="G11" s="138" t="n">
        <v>1.2</v>
      </c>
      <c r="H11" s="138" t="n">
        <v>1.6</v>
      </c>
      <c r="I11" s="138" t="n">
        <v>1.4</v>
      </c>
      <c r="J11" s="138" t="n">
        <v>1.2</v>
      </c>
      <c r="K11" s="138" t="n">
        <v>0.8</v>
      </c>
      <c r="L11" s="51" t="n">
        <v>0.5</v>
      </c>
      <c r="M11" s="53" t="s">
        <v>864</v>
      </c>
      <c r="N11" s="138" t="n">
        <v>1.5</v>
      </c>
    </row>
    <row r="12" customFormat="false" ht="15" hidden="false" customHeight="true" outlineLevel="0" collapsed="false">
      <c r="A12" s="50" t="s">
        <v>224</v>
      </c>
      <c r="B12" s="138" t="n">
        <v>1</v>
      </c>
      <c r="C12" s="138" t="n">
        <v>1.2</v>
      </c>
      <c r="D12" s="138" t="n">
        <v>1.3</v>
      </c>
      <c r="E12" s="138" t="n">
        <v>0.7</v>
      </c>
      <c r="F12" s="138" t="n">
        <v>1</v>
      </c>
      <c r="G12" s="138" t="n">
        <v>1</v>
      </c>
      <c r="H12" s="138" t="n">
        <v>1</v>
      </c>
      <c r="I12" s="138" t="n">
        <v>1</v>
      </c>
      <c r="J12" s="138" t="n">
        <v>1</v>
      </c>
      <c r="K12" s="138" t="n">
        <v>1.5</v>
      </c>
      <c r="L12" s="51" t="n">
        <v>1</v>
      </c>
      <c r="M12" s="53" t="s">
        <v>865</v>
      </c>
      <c r="N12" s="138" t="n">
        <v>1</v>
      </c>
    </row>
    <row r="13" customFormat="false" ht="15" hidden="false" customHeight="true" outlineLevel="0" collapsed="false">
      <c r="A13" s="50" t="s">
        <v>156</v>
      </c>
      <c r="B13" s="138" t="n">
        <v>1</v>
      </c>
      <c r="C13" s="138" t="n">
        <v>1</v>
      </c>
      <c r="D13" s="138" t="n">
        <v>1.3</v>
      </c>
      <c r="E13" s="138" t="n">
        <v>1.4</v>
      </c>
      <c r="F13" s="138" t="n">
        <v>0.8</v>
      </c>
      <c r="G13" s="138" t="n">
        <v>1</v>
      </c>
      <c r="H13" s="138" t="n">
        <v>1</v>
      </c>
      <c r="I13" s="138" t="n">
        <v>1</v>
      </c>
      <c r="J13" s="138" t="n">
        <v>1</v>
      </c>
      <c r="K13" s="138" t="n">
        <v>1.3</v>
      </c>
      <c r="L13" s="51" t="n">
        <v>1</v>
      </c>
      <c r="M13" s="53" t="s">
        <v>866</v>
      </c>
      <c r="N13" s="138" t="n">
        <v>0.8</v>
      </c>
    </row>
    <row r="16" customFormat="false" ht="15" hidden="false" customHeight="true" outlineLevel="0" collapsed="false">
      <c r="A16" s="52" t="s">
        <v>867</v>
      </c>
    </row>
    <row r="17" customFormat="false" ht="43.5" hidden="false" customHeight="true" outlineLevel="0" collapsed="false">
      <c r="A17" s="12" t="s">
        <v>93</v>
      </c>
      <c r="B17" s="12" t="s">
        <v>868</v>
      </c>
      <c r="C17" s="12" t="s">
        <v>110</v>
      </c>
      <c r="D17" s="12" t="s">
        <v>869</v>
      </c>
      <c r="E17" s="12" t="s">
        <v>112</v>
      </c>
      <c r="F17" s="12" t="s">
        <v>870</v>
      </c>
      <c r="G17" s="12" t="s">
        <v>871</v>
      </c>
      <c r="H17" s="12" t="s">
        <v>872</v>
      </c>
      <c r="I17" s="12" t="s">
        <v>857</v>
      </c>
    </row>
    <row r="18" customFormat="false" ht="15" hidden="false" customHeight="true" outlineLevel="0" collapsed="false">
      <c r="A18" s="50" t="s">
        <v>165</v>
      </c>
      <c r="B18" s="139" t="n">
        <v>1.5</v>
      </c>
      <c r="C18" s="140" t="n">
        <v>0.01</v>
      </c>
      <c r="D18" s="138" t="n">
        <v>0.8</v>
      </c>
      <c r="E18" s="139" t="n">
        <v>0.7</v>
      </c>
      <c r="F18" s="51" t="n">
        <v>0</v>
      </c>
      <c r="G18" s="51" t="n">
        <v>0</v>
      </c>
      <c r="H18" s="53" t="s">
        <v>873</v>
      </c>
      <c r="I18" s="138" t="n">
        <v>0.9</v>
      </c>
    </row>
    <row r="19" customFormat="false" ht="15" hidden="false" customHeight="true" outlineLevel="0" collapsed="false">
      <c r="A19" s="50" t="s">
        <v>138</v>
      </c>
      <c r="B19" s="139" t="n">
        <v>2</v>
      </c>
      <c r="C19" s="140" t="n">
        <v>0.015</v>
      </c>
      <c r="D19" s="138" t="n">
        <v>1</v>
      </c>
      <c r="E19" s="139" t="n">
        <v>1</v>
      </c>
      <c r="F19" s="51" t="n">
        <v>0</v>
      </c>
      <c r="G19" s="51" t="n">
        <v>0</v>
      </c>
      <c r="H19" s="53" t="s">
        <v>874</v>
      </c>
      <c r="I19" s="138" t="n">
        <v>1</v>
      </c>
    </row>
    <row r="20" customFormat="false" ht="15" hidden="false" customHeight="true" outlineLevel="0" collapsed="false">
      <c r="A20" s="50" t="s">
        <v>148</v>
      </c>
      <c r="B20" s="139" t="n">
        <v>2.8</v>
      </c>
      <c r="C20" s="140" t="n">
        <v>0.019</v>
      </c>
      <c r="D20" s="138" t="n">
        <v>1.15</v>
      </c>
      <c r="E20" s="139" t="n">
        <v>1.4</v>
      </c>
      <c r="F20" s="51" t="n">
        <v>0</v>
      </c>
      <c r="G20" s="51" t="n">
        <v>0</v>
      </c>
      <c r="H20" s="53" t="s">
        <v>875</v>
      </c>
      <c r="I20" s="138" t="n">
        <v>1.05</v>
      </c>
    </row>
    <row r="21" customFormat="false" ht="15.75" hidden="false" customHeight="true" outlineLevel="0" collapsed="false">
      <c r="A21" s="50" t="s">
        <v>152</v>
      </c>
      <c r="B21" s="139" t="n">
        <v>12</v>
      </c>
      <c r="C21" s="140" t="n">
        <v>0.03</v>
      </c>
      <c r="D21" s="138" t="n">
        <v>1.3</v>
      </c>
      <c r="E21" s="139" t="n">
        <v>8</v>
      </c>
      <c r="F21" s="51" t="n">
        <v>0.2</v>
      </c>
      <c r="G21" s="51" t="n">
        <v>0.2</v>
      </c>
      <c r="H21" s="53" t="s">
        <v>876</v>
      </c>
      <c r="I21" s="138" t="n">
        <v>1.15</v>
      </c>
    </row>
    <row r="22" customFormat="false" ht="15.75" hidden="false" customHeight="true" outlineLevel="0" collapsed="false">
      <c r="A22" s="50" t="s">
        <v>156</v>
      </c>
      <c r="B22" s="139" t="n">
        <v>20</v>
      </c>
      <c r="C22" s="140" t="n">
        <v>0.03</v>
      </c>
      <c r="D22" s="138" t="n">
        <v>1.3</v>
      </c>
      <c r="E22" s="139" t="n">
        <v>12</v>
      </c>
      <c r="F22" s="51" t="n">
        <v>0</v>
      </c>
      <c r="G22" s="51" t="n">
        <v>0.2</v>
      </c>
      <c r="H22" s="53" t="s">
        <v>877</v>
      </c>
      <c r="I22" s="138" t="n">
        <v>1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11" t="s">
        <v>878</v>
      </c>
    </row>
    <row r="25" customFormat="false" ht="15.75" hidden="false" customHeight="true" outlineLevel="0" collapsed="false">
      <c r="A25" s="11" t="s">
        <v>879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00"/>
    <col collapsed="false" customWidth="true" hidden="false" outlineLevel="0" max="26" min="4" style="1" width="8.71"/>
  </cols>
  <sheetData>
    <row r="1" customFormat="false" ht="17.25" hidden="false" customHeight="true" outlineLevel="0" collapsed="false">
      <c r="A1" s="8" t="s">
        <v>880</v>
      </c>
    </row>
    <row r="2" customFormat="false" ht="15" hidden="false" customHeight="true" outlineLevel="0" collapsed="false">
      <c r="A2" s="3" t="s">
        <v>881</v>
      </c>
    </row>
    <row r="3" customFormat="false" ht="24" hidden="false" customHeight="true" outlineLevel="0" collapsed="false">
      <c r="A3" s="12" t="s">
        <v>882</v>
      </c>
      <c r="B3" s="12" t="s">
        <v>578</v>
      </c>
      <c r="C3" s="12" t="s">
        <v>579</v>
      </c>
    </row>
    <row r="4" customFormat="false" ht="15" hidden="false" customHeight="true" outlineLevel="0" collapsed="false">
      <c r="A4" s="58" t="s">
        <v>883</v>
      </c>
      <c r="B4" s="141"/>
      <c r="C4" s="141"/>
    </row>
    <row r="5" customFormat="false" ht="15" hidden="false" customHeight="true" outlineLevel="0" collapsed="false">
      <c r="A5" s="53" t="s">
        <v>884</v>
      </c>
      <c r="B5" s="51" t="n">
        <v>0.05</v>
      </c>
      <c r="C5" s="60" t="s">
        <v>885</v>
      </c>
    </row>
    <row r="6" customFormat="false" ht="15" hidden="false" customHeight="true" outlineLevel="0" collapsed="false">
      <c r="A6" s="53" t="s">
        <v>886</v>
      </c>
      <c r="B6" s="138" t="n">
        <v>1.2</v>
      </c>
      <c r="C6" s="60" t="s">
        <v>887</v>
      </c>
    </row>
    <row r="7" customFormat="false" ht="15" hidden="false" customHeight="true" outlineLevel="0" collapsed="false">
      <c r="A7" s="53" t="s">
        <v>888</v>
      </c>
      <c r="B7" s="10" t="n">
        <v>1</v>
      </c>
      <c r="C7" s="60"/>
    </row>
    <row r="8" customFormat="false" ht="23.25" hidden="false" customHeight="true" outlineLevel="0" collapsed="false">
      <c r="A8" s="53" t="s">
        <v>889</v>
      </c>
      <c r="B8" s="10" t="n">
        <v>100</v>
      </c>
      <c r="C8" s="60" t="s">
        <v>890</v>
      </c>
    </row>
    <row r="9" customFormat="false" ht="15" hidden="false" customHeight="true" outlineLevel="0" collapsed="false">
      <c r="A9" s="58" t="s">
        <v>891</v>
      </c>
      <c r="B9" s="141"/>
      <c r="C9" s="141"/>
    </row>
    <row r="10" customFormat="false" ht="15" hidden="false" customHeight="true" outlineLevel="0" collapsed="false">
      <c r="A10" s="53" t="s">
        <v>892</v>
      </c>
      <c r="B10" s="142" t="n">
        <v>1600</v>
      </c>
      <c r="C10" s="60" t="s">
        <v>893</v>
      </c>
    </row>
    <row r="11" customFormat="false" ht="15" hidden="false" customHeight="true" outlineLevel="0" collapsed="false">
      <c r="A11" s="53" t="s">
        <v>894</v>
      </c>
      <c r="B11" s="10" t="n">
        <v>10</v>
      </c>
      <c r="C11" s="60" t="s">
        <v>895</v>
      </c>
    </row>
    <row r="12" customFormat="false" ht="15" hidden="false" customHeight="true" outlineLevel="0" collapsed="false">
      <c r="A12" s="53" t="s">
        <v>896</v>
      </c>
      <c r="B12" s="143" t="n">
        <f aca="false">B10*B11</f>
        <v>16000</v>
      </c>
      <c r="C12" s="60" t="s">
        <v>897</v>
      </c>
    </row>
    <row r="13" customFormat="false" ht="15" hidden="false" customHeight="true" outlineLevel="0" collapsed="false">
      <c r="A13" s="53" t="s">
        <v>898</v>
      </c>
      <c r="B13" s="142" t="n">
        <v>700</v>
      </c>
      <c r="C13" s="60" t="s">
        <v>899</v>
      </c>
    </row>
    <row r="14" customFormat="false" ht="15" hidden="false" customHeight="true" outlineLevel="0" collapsed="false">
      <c r="A14" s="53" t="s">
        <v>900</v>
      </c>
      <c r="B14" s="138" t="n">
        <v>1.5</v>
      </c>
      <c r="C14" s="60" t="s">
        <v>901</v>
      </c>
    </row>
    <row r="15" customFormat="false" ht="15" hidden="false" customHeight="true" outlineLevel="0" collapsed="false">
      <c r="A15" s="53" t="s">
        <v>902</v>
      </c>
      <c r="B15" s="51" t="n">
        <v>0.25</v>
      </c>
      <c r="C15" s="60" t="s">
        <v>903</v>
      </c>
    </row>
    <row r="16" customFormat="false" ht="15" hidden="false" customHeight="true" outlineLevel="0" collapsed="false">
      <c r="A16" s="53" t="s">
        <v>904</v>
      </c>
      <c r="B16" s="143" t="n">
        <f aca="false">B13*B14*(1-B15)</f>
        <v>787.5</v>
      </c>
      <c r="C16" s="60" t="s">
        <v>905</v>
      </c>
    </row>
    <row r="17" customFormat="false" ht="15" hidden="false" customHeight="true" outlineLevel="0" collapsed="false">
      <c r="A17" s="58" t="s">
        <v>906</v>
      </c>
      <c r="B17" s="141"/>
      <c r="C17" s="141"/>
    </row>
    <row r="18" customFormat="false" ht="15" hidden="false" customHeight="true" outlineLevel="0" collapsed="false">
      <c r="A18" s="53" t="s">
        <v>99</v>
      </c>
      <c r="B18" s="142" t="n">
        <v>450</v>
      </c>
      <c r="C18" s="60" t="s">
        <v>907</v>
      </c>
    </row>
    <row r="19" customFormat="false" ht="15" hidden="false" customHeight="true" outlineLevel="0" collapsed="false">
      <c r="A19" s="53" t="s">
        <v>100</v>
      </c>
      <c r="B19" s="142" t="n">
        <v>400</v>
      </c>
      <c r="C19" s="60"/>
    </row>
    <row r="20" customFormat="false" ht="15" hidden="false" customHeight="true" outlineLevel="0" collapsed="false">
      <c r="A20" s="53" t="s">
        <v>101</v>
      </c>
      <c r="B20" s="142" t="n">
        <v>120</v>
      </c>
      <c r="C20" s="60"/>
    </row>
    <row r="21" customFormat="false" ht="15.75" hidden="false" customHeight="true" outlineLevel="0" collapsed="false">
      <c r="A21" s="53" t="s">
        <v>908</v>
      </c>
      <c r="B21" s="51" t="n">
        <v>0.9</v>
      </c>
      <c r="C21" s="60" t="s">
        <v>909</v>
      </c>
    </row>
    <row r="22" customFormat="false" ht="15.75" hidden="false" customHeight="true" outlineLevel="0" collapsed="false">
      <c r="A22" s="53" t="s">
        <v>910</v>
      </c>
      <c r="B22" s="51" t="n">
        <v>0.05</v>
      </c>
      <c r="C22" s="60" t="s">
        <v>909</v>
      </c>
    </row>
    <row r="23" customFormat="false" ht="15.75" hidden="false" customHeight="true" outlineLevel="0" collapsed="false">
      <c r="A23" s="53" t="s">
        <v>911</v>
      </c>
      <c r="B23" s="51" t="n">
        <v>0.5</v>
      </c>
      <c r="C23" s="60" t="s">
        <v>912</v>
      </c>
    </row>
    <row r="24" customFormat="false" ht="15.75" hidden="false" customHeight="true" outlineLevel="0" collapsed="false">
      <c r="A24" s="53" t="s">
        <v>913</v>
      </c>
      <c r="B24" s="51" t="n">
        <v>0.05</v>
      </c>
      <c r="C24" s="60"/>
    </row>
    <row r="25" customFormat="false" ht="15.75" hidden="false" customHeight="true" outlineLevel="0" collapsed="false">
      <c r="A25" s="53" t="s">
        <v>914</v>
      </c>
      <c r="B25" s="51" t="n">
        <v>0.05</v>
      </c>
      <c r="C25" s="60" t="s">
        <v>915</v>
      </c>
    </row>
    <row r="26" customFormat="false" ht="15.75" hidden="false" customHeight="true" outlineLevel="0" collapsed="false">
      <c r="A26" s="53" t="s">
        <v>916</v>
      </c>
      <c r="B26" s="51" t="n">
        <v>0.3</v>
      </c>
      <c r="C26" s="60" t="s">
        <v>917</v>
      </c>
    </row>
    <row r="27" customFormat="false" ht="15.75" hidden="false" customHeight="true" outlineLevel="0" collapsed="false">
      <c r="A27" s="53" t="s">
        <v>918</v>
      </c>
      <c r="B27" s="51" t="n">
        <v>0.75</v>
      </c>
      <c r="C27" s="60"/>
    </row>
    <row r="28" customFormat="false" ht="15.75" hidden="false" customHeight="true" outlineLevel="0" collapsed="false">
      <c r="A28" s="53" t="s">
        <v>919</v>
      </c>
      <c r="B28" s="51" t="n">
        <v>0.5</v>
      </c>
      <c r="C28" s="60"/>
    </row>
    <row r="29" customFormat="false" ht="15.75" hidden="false" customHeight="true" outlineLevel="0" collapsed="false">
      <c r="A29" s="53" t="s">
        <v>920</v>
      </c>
      <c r="B29" s="51" t="n">
        <v>0.5</v>
      </c>
      <c r="C29" s="60"/>
    </row>
    <row r="30" customFormat="false" ht="15.75" hidden="false" customHeight="true" outlineLevel="0" collapsed="false">
      <c r="A30" s="53" t="s">
        <v>921</v>
      </c>
      <c r="B30" s="51" t="n">
        <v>0.2</v>
      </c>
      <c r="C30" s="60" t="s">
        <v>922</v>
      </c>
    </row>
    <row r="31" customFormat="false" ht="15.75" hidden="false" customHeight="true" outlineLevel="0" collapsed="false">
      <c r="A31" s="53" t="s">
        <v>923</v>
      </c>
      <c r="B31" s="51" t="n">
        <v>0.15</v>
      </c>
      <c r="C31" s="60" t="s">
        <v>924</v>
      </c>
    </row>
    <row r="32" customFormat="false" ht="15.75" hidden="false" customHeight="true" outlineLevel="0" collapsed="false">
      <c r="A32" s="53" t="s">
        <v>925</v>
      </c>
      <c r="B32" s="51" t="n">
        <v>0.75</v>
      </c>
      <c r="C32" s="60" t="s">
        <v>926</v>
      </c>
    </row>
    <row r="33" customFormat="false" ht="15.75" hidden="false" customHeight="true" outlineLevel="0" collapsed="false">
      <c r="A33" s="58" t="s">
        <v>927</v>
      </c>
      <c r="B33" s="141"/>
      <c r="C33" s="141"/>
    </row>
    <row r="34" customFormat="false" ht="15.75" hidden="false" customHeight="true" outlineLevel="0" collapsed="false">
      <c r="A34" s="53" t="s">
        <v>928</v>
      </c>
      <c r="B34" s="51" t="n">
        <v>0.85</v>
      </c>
      <c r="C34" s="60" t="s">
        <v>929</v>
      </c>
    </row>
    <row r="35" customFormat="false" ht="15.75" hidden="false" customHeight="true" outlineLevel="0" collapsed="false">
      <c r="A35" s="53" t="s">
        <v>930</v>
      </c>
      <c r="B35" s="138" t="n">
        <v>1</v>
      </c>
      <c r="C35" s="60"/>
    </row>
    <row r="36" customFormat="false" ht="15.75" hidden="false" customHeight="true" outlineLevel="0" collapsed="false">
      <c r="A36" s="53" t="s">
        <v>931</v>
      </c>
      <c r="B36" s="51" t="n">
        <v>0.3</v>
      </c>
      <c r="C36" s="60" t="s">
        <v>932</v>
      </c>
    </row>
    <row r="37" customFormat="false" ht="15.75" hidden="false" customHeight="true" outlineLevel="0" collapsed="false">
      <c r="A37" s="53" t="s">
        <v>933</v>
      </c>
      <c r="B37" s="51" t="n">
        <v>0.7</v>
      </c>
      <c r="C37" s="60" t="s">
        <v>934</v>
      </c>
    </row>
    <row r="38" customFormat="false" ht="15.75" hidden="false" customHeight="true" outlineLevel="0" collapsed="false">
      <c r="A38" s="58" t="s">
        <v>935</v>
      </c>
      <c r="B38" s="141"/>
      <c r="C38" s="141"/>
    </row>
    <row r="39" customFormat="false" ht="15.75" hidden="false" customHeight="true" outlineLevel="0" collapsed="false">
      <c r="A39" s="53" t="s">
        <v>936</v>
      </c>
      <c r="B39" s="10" t="n">
        <v>3</v>
      </c>
      <c r="C39" s="60" t="s">
        <v>937</v>
      </c>
    </row>
    <row r="40" customFormat="false" ht="15.75" hidden="false" customHeight="true" outlineLevel="0" collapsed="false">
      <c r="A40" s="53" t="s">
        <v>938</v>
      </c>
      <c r="B40" s="10" t="n">
        <v>3</v>
      </c>
      <c r="C40" s="60" t="s">
        <v>939</v>
      </c>
    </row>
    <row r="41" customFormat="false" ht="15.75" hidden="false" customHeight="true" outlineLevel="0" collapsed="false">
      <c r="A41" s="53" t="s">
        <v>940</v>
      </c>
      <c r="B41" s="10" t="n">
        <v>5</v>
      </c>
      <c r="C41" s="60" t="s">
        <v>941</v>
      </c>
    </row>
    <row r="42" customFormat="false" ht="15.75" hidden="false" customHeight="true" outlineLevel="0" collapsed="false">
      <c r="A42" s="53" t="s">
        <v>942</v>
      </c>
      <c r="B42" s="10" t="n">
        <v>2</v>
      </c>
      <c r="C42" s="60" t="s">
        <v>943</v>
      </c>
    </row>
    <row r="43" customFormat="false" ht="15.75" hidden="false" customHeight="true" outlineLevel="0" collapsed="false">
      <c r="A43" s="53" t="s">
        <v>944</v>
      </c>
      <c r="B43" s="10" t="n">
        <v>10</v>
      </c>
      <c r="C43" s="60" t="s">
        <v>945</v>
      </c>
    </row>
    <row r="44" customFormat="false" ht="15.75" hidden="false" customHeight="true" outlineLevel="0" collapsed="false">
      <c r="A44" s="58" t="s">
        <v>946</v>
      </c>
      <c r="B44" s="141"/>
      <c r="C44" s="141"/>
    </row>
    <row r="45" customFormat="false" ht="15.75" hidden="false" customHeight="true" outlineLevel="0" collapsed="false">
      <c r="A45" s="53" t="s">
        <v>947</v>
      </c>
      <c r="B45" s="139" t="n">
        <v>5</v>
      </c>
      <c r="C45" s="60" t="s">
        <v>948</v>
      </c>
    </row>
    <row r="46" customFormat="false" ht="15.75" hidden="false" customHeight="true" outlineLevel="0" collapsed="false">
      <c r="A46" s="53" t="s">
        <v>949</v>
      </c>
      <c r="B46" s="51" t="n">
        <v>0.25</v>
      </c>
      <c r="C46" s="60" t="s">
        <v>950</v>
      </c>
    </row>
    <row r="47" customFormat="false" ht="15.75" hidden="false" customHeight="true" outlineLevel="0" collapsed="false">
      <c r="A47" s="53" t="s">
        <v>951</v>
      </c>
      <c r="B47" s="10" t="n">
        <v>4</v>
      </c>
      <c r="C47" s="60" t="s">
        <v>952</v>
      </c>
    </row>
    <row r="48" customFormat="false" ht="15.75" hidden="false" customHeight="true" outlineLevel="0" collapsed="false">
      <c r="A48" s="58" t="s">
        <v>953</v>
      </c>
      <c r="B48" s="141"/>
      <c r="C48" s="141"/>
    </row>
    <row r="49" customFormat="false" ht="15.75" hidden="false" customHeight="true" outlineLevel="0" collapsed="false">
      <c r="A49" s="53" t="s">
        <v>954</v>
      </c>
      <c r="B49" s="139" t="n">
        <v>6</v>
      </c>
      <c r="C49" s="60" t="s">
        <v>955</v>
      </c>
    </row>
    <row r="50" customFormat="false" ht="15.75" hidden="false" customHeight="true" outlineLevel="0" collapsed="false">
      <c r="A50" s="53" t="s">
        <v>956</v>
      </c>
      <c r="B50" s="138" t="n">
        <v>1.25</v>
      </c>
      <c r="C50" s="60"/>
    </row>
    <row r="51" customFormat="false" ht="15.75" hidden="false" customHeight="true" outlineLevel="0" collapsed="false">
      <c r="A51" s="53" t="s">
        <v>957</v>
      </c>
      <c r="B51" s="139" t="n">
        <v>10</v>
      </c>
      <c r="C51" s="60" t="s">
        <v>958</v>
      </c>
    </row>
    <row r="52" customFormat="false" ht="15.75" hidden="false" customHeight="true" outlineLevel="0" collapsed="false">
      <c r="A52" s="53" t="s">
        <v>959</v>
      </c>
      <c r="B52" s="138" t="n">
        <v>0.7</v>
      </c>
      <c r="C52" s="60" t="s">
        <v>960</v>
      </c>
    </row>
    <row r="53" customFormat="false" ht="15.75" hidden="false" customHeight="true" outlineLevel="0" collapsed="false">
      <c r="A53" s="53" t="s">
        <v>961</v>
      </c>
      <c r="B53" s="139" t="n">
        <v>3</v>
      </c>
      <c r="C53" s="60" t="s">
        <v>962</v>
      </c>
    </row>
    <row r="54" customFormat="false" ht="15.75" hidden="false" customHeight="true" outlineLevel="0" collapsed="false">
      <c r="A54" s="53" t="s">
        <v>963</v>
      </c>
      <c r="B54" s="138" t="n">
        <v>1.35</v>
      </c>
      <c r="C54" s="60"/>
    </row>
    <row r="55" customFormat="false" ht="15.75" hidden="false" customHeight="true" outlineLevel="0" collapsed="false">
      <c r="A55" s="53" t="s">
        <v>964</v>
      </c>
      <c r="B55" s="51" t="n">
        <v>0.1</v>
      </c>
      <c r="C55" s="60" t="s">
        <v>965</v>
      </c>
    </row>
    <row r="56" customFormat="false" ht="15.75" hidden="false" customHeight="true" outlineLevel="0" collapsed="false">
      <c r="A56" s="53" t="s">
        <v>966</v>
      </c>
      <c r="B56" s="138" t="n">
        <v>0.25</v>
      </c>
      <c r="C56" s="60" t="s">
        <v>967</v>
      </c>
    </row>
    <row r="57" customFormat="false" ht="15.75" hidden="false" customHeight="true" outlineLevel="0" collapsed="false">
      <c r="A57" s="53" t="s">
        <v>968</v>
      </c>
      <c r="B57" s="138" t="n">
        <v>1.5</v>
      </c>
      <c r="C57" s="60" t="s">
        <v>969</v>
      </c>
    </row>
    <row r="58" customFormat="false" ht="15.75" hidden="false" customHeight="true" outlineLevel="0" collapsed="false">
      <c r="A58" s="53" t="s">
        <v>970</v>
      </c>
      <c r="B58" s="10" t="n">
        <v>8</v>
      </c>
      <c r="C58" s="60" t="s">
        <v>971</v>
      </c>
    </row>
    <row r="59" customFormat="false" ht="15.75" hidden="false" customHeight="true" outlineLevel="0" collapsed="false">
      <c r="A59" s="53" t="s">
        <v>972</v>
      </c>
      <c r="B59" s="139" t="n">
        <v>3</v>
      </c>
      <c r="C59" s="60" t="s">
        <v>973</v>
      </c>
    </row>
    <row r="60" customFormat="false" ht="15.75" hidden="false" customHeight="true" outlineLevel="0" collapsed="false">
      <c r="A60" s="58" t="s">
        <v>974</v>
      </c>
      <c r="B60" s="141"/>
      <c r="C60" s="141"/>
    </row>
    <row r="61" customFormat="false" ht="15.75" hidden="false" customHeight="true" outlineLevel="0" collapsed="false">
      <c r="A61" s="53" t="s">
        <v>975</v>
      </c>
      <c r="B61" s="10" t="n">
        <v>3</v>
      </c>
      <c r="C61" s="60" t="s">
        <v>976</v>
      </c>
    </row>
    <row r="62" customFormat="false" ht="15.75" hidden="false" customHeight="true" outlineLevel="0" collapsed="false"/>
    <row r="63" customFormat="false" ht="15.75" hidden="false" customHeight="true" outlineLevel="0" collapsed="false">
      <c r="A63" s="58" t="s">
        <v>977</v>
      </c>
      <c r="B63" s="58"/>
      <c r="C63" s="58"/>
    </row>
    <row r="64" customFormat="false" ht="15.75" hidden="false" customHeight="true" outlineLevel="0" collapsed="false">
      <c r="A64" s="53" t="s">
        <v>978</v>
      </c>
      <c r="B64" s="10" t="n">
        <v>100</v>
      </c>
      <c r="C64" s="60" t="s">
        <v>979</v>
      </c>
    </row>
    <row r="65" customFormat="false" ht="15.75" hidden="false" customHeight="true" outlineLevel="0" collapsed="false">
      <c r="A65" s="53" t="s">
        <v>980</v>
      </c>
      <c r="B65" s="10" t="n">
        <v>70</v>
      </c>
      <c r="C65" s="60" t="s">
        <v>981</v>
      </c>
    </row>
    <row r="66" customFormat="false" ht="15.75" hidden="false" customHeight="true" outlineLevel="0" collapsed="false">
      <c r="A66" s="53" t="s">
        <v>982</v>
      </c>
      <c r="B66" s="10" t="n">
        <v>80</v>
      </c>
      <c r="C66" s="60" t="s">
        <v>983</v>
      </c>
    </row>
    <row r="67" customFormat="false" ht="15.75" hidden="false" customHeight="true" outlineLevel="0" collapsed="false">
      <c r="A67" s="53" t="s">
        <v>984</v>
      </c>
      <c r="B67" s="10" t="n">
        <v>100</v>
      </c>
      <c r="C67" s="60" t="s">
        <v>985</v>
      </c>
    </row>
    <row r="68" customFormat="false" ht="15.75" hidden="false" customHeight="true" outlineLevel="0" collapsed="false">
      <c r="A68" s="53" t="s">
        <v>986</v>
      </c>
      <c r="B68" s="144" t="s">
        <v>987</v>
      </c>
      <c r="C68" s="60" t="s">
        <v>988</v>
      </c>
    </row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2026-10-11T19:51:48Z</dcterms:created>
  <dc:creator>openpyxl</dc:creator>
  <dc:description/>
  <dc:language>en-US</dc:language>
  <cp:lastModifiedBy/>
  <dcterms:modified xsi:type="dcterms:W3CDTF">2026-10-12T19:19:14Z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